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7819D7D7-425F-4F51-96DC-2BA2DFD2C955}" xr6:coauthVersionLast="47" xr6:coauthVersionMax="47" xr10:uidLastSave="{00000000-0000-0000-0000-000000000000}"/>
  <bookViews>
    <workbookView xWindow="-108" yWindow="-108" windowWidth="23256" windowHeight="12456" firstSheet="2" activeTab="4" xr2:uid="{5E0A4FA1-8BC9-4B67-8BC6-FE3F58116AB9}"/>
  </bookViews>
  <sheets>
    <sheet name="college_fest_dataset" sheetId="1" r:id="rId1"/>
    <sheet name="Questions " sheetId="2" r:id="rId2"/>
    <sheet name="Easy_Level_Solved" sheetId="3" r:id="rId3"/>
    <sheet name="Medium_Level_Solved" sheetId="5" r:id="rId4"/>
    <sheet name="Hard_Level_Solved" sheetId="6" r:id="rId5"/>
    <sheet name="StudentTable" sheetId="7" r:id="rId6"/>
    <sheet name="DashBoard" sheetId="12" r:id="rId7"/>
  </sheets>
  <definedNames>
    <definedName name="_xlnm._FilterDatabase" localSheetId="2" hidden="1">Easy_Level_Solved!$A$1:$J$601</definedName>
    <definedName name="_xlnm._FilterDatabase" localSheetId="4" hidden="1">Hard_Level_Solved!$L$37:$U$38</definedName>
    <definedName name="Slicer_Department">#N/A</definedName>
    <definedName name="Slicer_Yea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8" i="6" l="1" a="1"/>
  <c r="L38" i="6" s="1"/>
  <c r="M33" i="6"/>
  <c r="N18" i="6"/>
  <c r="N21" i="6"/>
  <c r="N26" i="6"/>
  <c r="N25" i="6"/>
  <c r="N24" i="6"/>
  <c r="N20" i="6"/>
  <c r="N22" i="6"/>
  <c r="N23" i="6"/>
  <c r="N19" i="6"/>
  <c r="M11" i="6" a="1"/>
  <c r="M11" i="6" s="1"/>
  <c r="P7" i="6"/>
  <c r="O7" i="6"/>
  <c r="N7" i="6"/>
  <c r="M7" i="6"/>
  <c r="P86" i="5"/>
  <c r="P87" i="5"/>
  <c r="P88" i="5"/>
  <c r="P89" i="5"/>
  <c r="P85" i="5"/>
  <c r="O89" i="5"/>
  <c r="O88" i="5"/>
  <c r="O87" i="5"/>
  <c r="O86" i="5"/>
  <c r="O85" i="5"/>
  <c r="N85" i="5"/>
  <c r="N89" i="5"/>
  <c r="N88" i="5"/>
  <c r="N87" i="5"/>
  <c r="N86" i="5"/>
  <c r="M89" i="5"/>
  <c r="M88" i="5"/>
  <c r="M87" i="5"/>
  <c r="M86" i="5"/>
  <c r="M85" i="5"/>
  <c r="M70" i="5"/>
  <c r="M71" i="5"/>
  <c r="M72" i="5"/>
  <c r="M73" i="5"/>
  <c r="M74" i="5"/>
  <c r="M75" i="5"/>
  <c r="L65" i="5"/>
  <c r="O16" i="5"/>
  <c r="O17" i="5"/>
  <c r="O15" i="5"/>
  <c r="O14" i="5"/>
  <c r="O13" i="5"/>
  <c r="O7" i="5"/>
  <c r="N50" i="3"/>
  <c r="Q34" i="3"/>
  <c r="P34" i="3"/>
  <c r="M24" i="3"/>
  <c r="N24" i="3"/>
  <c r="O24" i="3"/>
  <c r="P24" i="3"/>
  <c r="Q2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<sst xmlns="http://schemas.openxmlformats.org/spreadsheetml/2006/main" count="24257" uniqueCount="695">
  <si>
    <t>Name</t>
  </si>
  <si>
    <t>Year</t>
  </si>
  <si>
    <t>Department</t>
  </si>
  <si>
    <t>Semester</t>
  </si>
  <si>
    <t>Phone Number</t>
  </si>
  <si>
    <t>Fest Amount Status</t>
  </si>
  <si>
    <t>Coupon Collected</t>
  </si>
  <si>
    <t>Food Preference</t>
  </si>
  <si>
    <t>Tech Fest Participation</t>
  </si>
  <si>
    <t>Cultural Fest Participation</t>
  </si>
  <si>
    <t>Jyoti Roy</t>
  </si>
  <si>
    <t>2nd</t>
  </si>
  <si>
    <t>ME</t>
  </si>
  <si>
    <t>Due</t>
  </si>
  <si>
    <t>Yes</t>
  </si>
  <si>
    <t>Veg</t>
  </si>
  <si>
    <t>Art</t>
  </si>
  <si>
    <t>Singing</t>
  </si>
  <si>
    <t>Aparna Kumar</t>
  </si>
  <si>
    <t>Paid</t>
  </si>
  <si>
    <t>No</t>
  </si>
  <si>
    <t>Non-Veg</t>
  </si>
  <si>
    <t>None</t>
  </si>
  <si>
    <t>Dance</t>
  </si>
  <si>
    <t>Manish Kumar</t>
  </si>
  <si>
    <t>3rd</t>
  </si>
  <si>
    <t>CE</t>
  </si>
  <si>
    <t>Science Exhibition</t>
  </si>
  <si>
    <t>Aditya Yadav</t>
  </si>
  <si>
    <t>Gaming</t>
  </si>
  <si>
    <t>Sandhya Dubey</t>
  </si>
  <si>
    <t>Ananya Choudhary</t>
  </si>
  <si>
    <t>4th</t>
  </si>
  <si>
    <t>ECE</t>
  </si>
  <si>
    <t>Swati Srivastava</t>
  </si>
  <si>
    <t>1st</t>
  </si>
  <si>
    <t>CSE</t>
  </si>
  <si>
    <t>Quiz</t>
  </si>
  <si>
    <t>Tarun Datta</t>
  </si>
  <si>
    <t>Kavya Biswas</t>
  </si>
  <si>
    <t>Om Tiwari</t>
  </si>
  <si>
    <t>Coding</t>
  </si>
  <si>
    <t>Kavya Paul</t>
  </si>
  <si>
    <t>EE</t>
  </si>
  <si>
    <t>Aishwarya Tiwari</t>
  </si>
  <si>
    <t>Shikha Saxena</t>
  </si>
  <si>
    <t>Sourabh Choudhary</t>
  </si>
  <si>
    <t>Sonali Bhatia</t>
  </si>
  <si>
    <t>Aditi Rao</t>
  </si>
  <si>
    <t>Pallavi Singh</t>
  </si>
  <si>
    <t>Priya Bhatia</t>
  </si>
  <si>
    <t>Arnav Dubey</t>
  </si>
  <si>
    <t>Mansi Bose</t>
  </si>
  <si>
    <t>Zara Khanna</t>
  </si>
  <si>
    <t>Prachi Das</t>
  </si>
  <si>
    <t>Akanksha Iyer</t>
  </si>
  <si>
    <t>Om Rajput</t>
  </si>
  <si>
    <t>Sonali Chopra</t>
  </si>
  <si>
    <t>Amrita Kumar</t>
  </si>
  <si>
    <t>Karan Pandey</t>
  </si>
  <si>
    <t>Alok Kumar</t>
  </si>
  <si>
    <t>Pallavi Mehta</t>
  </si>
  <si>
    <t>Divya Chatterjee</t>
  </si>
  <si>
    <t>Trisha Rajput</t>
  </si>
  <si>
    <t>Sachin Shah</t>
  </si>
  <si>
    <t>Sakshi Tiwari</t>
  </si>
  <si>
    <t>Amar Agarwal</t>
  </si>
  <si>
    <t>Sonam Chopra</t>
  </si>
  <si>
    <t>Manish Datta</t>
  </si>
  <si>
    <t>Abhishek Ahuja</t>
  </si>
  <si>
    <t>Rishabh Malhotra</t>
  </si>
  <si>
    <t>Archana Kapoor</t>
  </si>
  <si>
    <t>Ankita Tiwari</t>
  </si>
  <si>
    <t>Rohit Chopra</t>
  </si>
  <si>
    <t>Raj Chatterjee</t>
  </si>
  <si>
    <t>Ananya Mishra</t>
  </si>
  <si>
    <t>Vishal Jain</t>
  </si>
  <si>
    <t>Urvashi Menon</t>
  </si>
  <si>
    <t>Garima Chauhan</t>
  </si>
  <si>
    <t>Tushar Kumar</t>
  </si>
  <si>
    <t>Akash Ahuja</t>
  </si>
  <si>
    <t>Abhinav Datta</t>
  </si>
  <si>
    <t>Ayush Malhotra</t>
  </si>
  <si>
    <t>Sourabh Rajput</t>
  </si>
  <si>
    <t>Sakshi Mishra</t>
  </si>
  <si>
    <t>Pallavi Chatterjee</t>
  </si>
  <si>
    <t>Farhan Tiwari</t>
  </si>
  <si>
    <t>Manish Gupta</t>
  </si>
  <si>
    <t>Karan Choudhary</t>
  </si>
  <si>
    <t>Deepika Srivastava</t>
  </si>
  <si>
    <t>Aarav Mondal</t>
  </si>
  <si>
    <t>Nikita Ahuja</t>
  </si>
  <si>
    <t>Kavya Chatterjee</t>
  </si>
  <si>
    <t>Saloni Kumar</t>
  </si>
  <si>
    <t>Rupali Saxena</t>
  </si>
  <si>
    <t>Shikha Sharma</t>
  </si>
  <si>
    <t>Monika Gupta</t>
  </si>
  <si>
    <t>Ishan Kapoor</t>
  </si>
  <si>
    <t>Aarav Gupta</t>
  </si>
  <si>
    <t>Tanvi Dubey</t>
  </si>
  <si>
    <t>Tarun Chopra</t>
  </si>
  <si>
    <t>Ankit Mishra</t>
  </si>
  <si>
    <t>Komal Chopra</t>
  </si>
  <si>
    <t>Akhil Agarwal</t>
  </si>
  <si>
    <t>Madhuri Nair</t>
  </si>
  <si>
    <t>Prachi Shah</t>
  </si>
  <si>
    <t>Kunal Bajaj</t>
  </si>
  <si>
    <t>Amar Biswas</t>
  </si>
  <si>
    <t>Poonam Bajaj</t>
  </si>
  <si>
    <t>Jyoti Dubey</t>
  </si>
  <si>
    <t>Nitin Singh</t>
  </si>
  <si>
    <t>Megha Sharma</t>
  </si>
  <si>
    <t>Abhishek Shah</t>
  </si>
  <si>
    <t>Ishan Bose</t>
  </si>
  <si>
    <t>Amrita Rajput</t>
  </si>
  <si>
    <t>Harsh Yadav</t>
  </si>
  <si>
    <t>Manish Menon</t>
  </si>
  <si>
    <t>Sourabh Malhotra</t>
  </si>
  <si>
    <t>Rajat Bansal</t>
  </si>
  <si>
    <t>Riya Bhatia</t>
  </si>
  <si>
    <t>Sakshi Arora</t>
  </si>
  <si>
    <t>Kajal Chauhan</t>
  </si>
  <si>
    <t>Kajal Iyer</t>
  </si>
  <si>
    <t>Bhavesh Chauhan</t>
  </si>
  <si>
    <t>Sonam Sen</t>
  </si>
  <si>
    <t>Karan Saxena</t>
  </si>
  <si>
    <t>Muskan Chauhan</t>
  </si>
  <si>
    <t>Alok Yadav</t>
  </si>
  <si>
    <t>Sandhya Singh</t>
  </si>
  <si>
    <t>Arjun Sen</t>
  </si>
  <si>
    <t>Aditya Chatterjee</t>
  </si>
  <si>
    <t>Tushar Ahuja</t>
  </si>
  <si>
    <t>Pragya Reddy</t>
  </si>
  <si>
    <t>Jyoti Bansal</t>
  </si>
  <si>
    <t>Vipasha Mehta</t>
  </si>
  <si>
    <t>Mohit Pandey</t>
  </si>
  <si>
    <t>Rohan Mehta</t>
  </si>
  <si>
    <t>Harsh Chauhan</t>
  </si>
  <si>
    <t>Arjun Roy</t>
  </si>
  <si>
    <t>Aarav Chauhan</t>
  </si>
  <si>
    <t>Deepika Dey</t>
  </si>
  <si>
    <t>Sakshi Menon</t>
  </si>
  <si>
    <t>Divya Bajaj</t>
  </si>
  <si>
    <t>Ishan Shah</t>
  </si>
  <si>
    <t>Rishabh Gupta</t>
  </si>
  <si>
    <t>Sumit Yadav</t>
  </si>
  <si>
    <t>Rishabh Shah</t>
  </si>
  <si>
    <t>Anushka Singh</t>
  </si>
  <si>
    <t>Pragya Malhotra</t>
  </si>
  <si>
    <t>Saurabh Mishra</t>
  </si>
  <si>
    <t>Jay Saxena</t>
  </si>
  <si>
    <t>Simran Menon</t>
  </si>
  <si>
    <t>Poonam Tiwari</t>
  </si>
  <si>
    <t>Sakshi Chauhan</t>
  </si>
  <si>
    <t>Chirag Bajaj</t>
  </si>
  <si>
    <t>Amit Mondal</t>
  </si>
  <si>
    <t>Jay Mishra</t>
  </si>
  <si>
    <t>Ankit Mondal</t>
  </si>
  <si>
    <t>Rohan Kumar</t>
  </si>
  <si>
    <t>Shubham Reddy</t>
  </si>
  <si>
    <t>Komal Jain</t>
  </si>
  <si>
    <t>Jay Das</t>
  </si>
  <si>
    <t>Nikita Dey</t>
  </si>
  <si>
    <t>Ayush Rao</t>
  </si>
  <si>
    <t>Sumit Bansal</t>
  </si>
  <si>
    <t>Swati Shah</t>
  </si>
  <si>
    <t>Shikha Datta</t>
  </si>
  <si>
    <t>Vivek Chauhan</t>
  </si>
  <si>
    <t>Kriti Pillai</t>
  </si>
  <si>
    <t>Vikram Naidu</t>
  </si>
  <si>
    <t>Karan Kumar</t>
  </si>
  <si>
    <t>Tanya Nair</t>
  </si>
  <si>
    <t>Rohan Chatterjee</t>
  </si>
  <si>
    <t>Amar Shah</t>
  </si>
  <si>
    <t>Uday Pillai</t>
  </si>
  <si>
    <t>Nikhil Saxena</t>
  </si>
  <si>
    <t>Ritika Chatterjee</t>
  </si>
  <si>
    <t>Mansi Khanna</t>
  </si>
  <si>
    <t>Archana Gupta</t>
  </si>
  <si>
    <t>Aditi Bansal</t>
  </si>
  <si>
    <t>Pooja Joshi</t>
  </si>
  <si>
    <t>Tanya Jain</t>
  </si>
  <si>
    <t>Nandini Ahuja</t>
  </si>
  <si>
    <t>Pooja Malhotra</t>
  </si>
  <si>
    <t>Rishabh Sen</t>
  </si>
  <si>
    <t>Aishwarya Datta</t>
  </si>
  <si>
    <t>Priya Biswas</t>
  </si>
  <si>
    <t>Ritika Bajaj</t>
  </si>
  <si>
    <t>Raj Verma</t>
  </si>
  <si>
    <t>Vishal Srivastava</t>
  </si>
  <si>
    <t>Nisha Das</t>
  </si>
  <si>
    <t>Rupali Patel</t>
  </si>
  <si>
    <t>Pooja Sen</t>
  </si>
  <si>
    <t>Yamini Menon</t>
  </si>
  <si>
    <t>Sejal Chatterjee</t>
  </si>
  <si>
    <t>Divya Chopra</t>
  </si>
  <si>
    <t>Vivek Pillai</t>
  </si>
  <si>
    <t>Anushka Kumar</t>
  </si>
  <si>
    <t>Manish Srivastava</t>
  </si>
  <si>
    <t>Himanshu Ahuja</t>
  </si>
  <si>
    <t>Amrita Bajaj</t>
  </si>
  <si>
    <t>Aarti Shah</t>
  </si>
  <si>
    <t>Lokesh Shah</t>
  </si>
  <si>
    <t>Dhruv Reddy</t>
  </si>
  <si>
    <t>Megha Agarwal</t>
  </si>
  <si>
    <t>Monika Roy</t>
  </si>
  <si>
    <t>Nitin Das</t>
  </si>
  <si>
    <t>Mansi Dubey</t>
  </si>
  <si>
    <t>Mansi Saxena</t>
  </si>
  <si>
    <t>Akanksha Yadav</t>
  </si>
  <si>
    <t>Neha Arora</t>
  </si>
  <si>
    <t>Aishwarya Dey</t>
  </si>
  <si>
    <t>Pranav Biswas</t>
  </si>
  <si>
    <t>Jay Kapoor</t>
  </si>
  <si>
    <t>Lokesh Mondal</t>
  </si>
  <si>
    <t>Jay Sen</t>
  </si>
  <si>
    <t>Aniket Malhotra</t>
  </si>
  <si>
    <t>Uday Bose</t>
  </si>
  <si>
    <t>Alok Datta</t>
  </si>
  <si>
    <t>Ishita Reddy</t>
  </si>
  <si>
    <t>Yamini Reddy</t>
  </si>
  <si>
    <t>Simran Sethi</t>
  </si>
  <si>
    <t>Nitin Shah</t>
  </si>
  <si>
    <t>Akhil Kumar</t>
  </si>
  <si>
    <t>Muskan Rajput</t>
  </si>
  <si>
    <t>Ankit Menon</t>
  </si>
  <si>
    <t>Riya Mehta</t>
  </si>
  <si>
    <t>Nikita Sharma</t>
  </si>
  <si>
    <t>Mohit Gupta</t>
  </si>
  <si>
    <t>Muskan Arora</t>
  </si>
  <si>
    <t>Rashmi Biswas</t>
  </si>
  <si>
    <t>Ishan Bhatia</t>
  </si>
  <si>
    <t>Vipasha Malhotra</t>
  </si>
  <si>
    <t>Amit Gupta</t>
  </si>
  <si>
    <t>Sonali Chauhan</t>
  </si>
  <si>
    <t>Varun Yadav</t>
  </si>
  <si>
    <t>Harsh Mondal</t>
  </si>
  <si>
    <t>Abhinav Sharma</t>
  </si>
  <si>
    <t>Tanya Singh</t>
  </si>
  <si>
    <t>Shikha Sethi</t>
  </si>
  <si>
    <t>Sejal Khanna</t>
  </si>
  <si>
    <t>Neha Choudhary</t>
  </si>
  <si>
    <t>Deepika Naidu</t>
  </si>
  <si>
    <t>Akash Mukherjee</t>
  </si>
  <si>
    <t>Ishan Bansal</t>
  </si>
  <si>
    <t>Mansi Chatterjee</t>
  </si>
  <si>
    <t>Archana Sharma</t>
  </si>
  <si>
    <t>Simran Sharma</t>
  </si>
  <si>
    <t>Ankita Saxena</t>
  </si>
  <si>
    <t>Sandhya Paul</t>
  </si>
  <si>
    <t>Vivek Sharma</t>
  </si>
  <si>
    <t>Bhavna Ahuja</t>
  </si>
  <si>
    <t>Pranav Tiwari</t>
  </si>
  <si>
    <t>Tanya Ahuja</t>
  </si>
  <si>
    <t>Sandhya Jain</t>
  </si>
  <si>
    <t>Priyanshi Das</t>
  </si>
  <si>
    <t>Amar Paul</t>
  </si>
  <si>
    <t>Anushka Joshi</t>
  </si>
  <si>
    <t>Tarun Saxena</t>
  </si>
  <si>
    <t>Saurabh Yadav</t>
  </si>
  <si>
    <t>Abhinav Choudhary</t>
  </si>
  <si>
    <t>Siddharth Dey</t>
  </si>
  <si>
    <t>Vipasha Dey</t>
  </si>
  <si>
    <t>Vipasha Chatterjee</t>
  </si>
  <si>
    <t>Raj Arora</t>
  </si>
  <si>
    <t>Akash Malhotra</t>
  </si>
  <si>
    <t>Sejal Mehta</t>
  </si>
  <si>
    <t>Vipasha Bhatia</t>
  </si>
  <si>
    <t>Rajat Dubey</t>
  </si>
  <si>
    <t>Arnav Saxena</t>
  </si>
  <si>
    <t>Ajay Reddy</t>
  </si>
  <si>
    <t>Pallavi Naidu</t>
  </si>
  <si>
    <t>Zara Ghosh</t>
  </si>
  <si>
    <t>Vivek Ghosh</t>
  </si>
  <si>
    <t>Pooja Chatterjee</t>
  </si>
  <si>
    <t>Nitin Menon</t>
  </si>
  <si>
    <t>Harsh Datta</t>
  </si>
  <si>
    <t>Nandini Kumar</t>
  </si>
  <si>
    <t>Archana Dubey</t>
  </si>
  <si>
    <t>Vikram Verma</t>
  </si>
  <si>
    <t>Yamini Kumar</t>
  </si>
  <si>
    <t>Priya Mukherjee</t>
  </si>
  <si>
    <t>Nitin Chauhan</t>
  </si>
  <si>
    <t>Ayush Datta</t>
  </si>
  <si>
    <t>Swati Malhotra</t>
  </si>
  <si>
    <t>Aaditya Verma</t>
  </si>
  <si>
    <t>Neha Menon</t>
  </si>
  <si>
    <t>Ishita Pandey</t>
  </si>
  <si>
    <t>Rashmi Dey</t>
  </si>
  <si>
    <t>Prachi Mishra</t>
  </si>
  <si>
    <t>Himanshu Mehta</t>
  </si>
  <si>
    <t>Manish Ahuja</t>
  </si>
  <si>
    <t>Tanvi Chopra</t>
  </si>
  <si>
    <t>Ayush Choudhary</t>
  </si>
  <si>
    <t>Dhruv Roy</t>
  </si>
  <si>
    <t>Amol Dubey</t>
  </si>
  <si>
    <t>Shreya Datta</t>
  </si>
  <si>
    <t>Pooja Agarwal</t>
  </si>
  <si>
    <t>Gaurav Sharma</t>
  </si>
  <si>
    <t>Urvashi Bose</t>
  </si>
  <si>
    <t>Ishan Mishra</t>
  </si>
  <si>
    <t>Pragya Chopra</t>
  </si>
  <si>
    <t>Neha Kumar</t>
  </si>
  <si>
    <t>Lokesh Khanna</t>
  </si>
  <si>
    <t>Deepika Dubey</t>
  </si>
  <si>
    <t>Ananya Jain</t>
  </si>
  <si>
    <t>Saurabh Mondal</t>
  </si>
  <si>
    <t>Kunal Pillai</t>
  </si>
  <si>
    <t>Aarti Mehta</t>
  </si>
  <si>
    <t>Deepika Mondal</t>
  </si>
  <si>
    <t>Aaditya Mondal</t>
  </si>
  <si>
    <t>Kajal Singh</t>
  </si>
  <si>
    <t>Aishwarya Kapoor</t>
  </si>
  <si>
    <t>Abhinav Kapoor</t>
  </si>
  <si>
    <t>Farhan Patel</t>
  </si>
  <si>
    <t>Deepika Joshi</t>
  </si>
  <si>
    <t>Shreya Srivastava</t>
  </si>
  <si>
    <t>Ankita Chatterjee</t>
  </si>
  <si>
    <t>Pooja Roy</t>
  </si>
  <si>
    <t>Divya Verma</t>
  </si>
  <si>
    <t>Gaurav Datta</t>
  </si>
  <si>
    <t>Deepak Pillai</t>
  </si>
  <si>
    <t>Neha Reddy</t>
  </si>
  <si>
    <t>Poonam Bhatia</t>
  </si>
  <si>
    <t>Priya Agarwal</t>
  </si>
  <si>
    <t>Lokesh Mehta</t>
  </si>
  <si>
    <t>Neha Joshi</t>
  </si>
  <si>
    <t>Aditya Ahuja</t>
  </si>
  <si>
    <t>Deepak Choudhary</t>
  </si>
  <si>
    <t>Rajat Kapoor</t>
  </si>
  <si>
    <t>Akhil Bhatia</t>
  </si>
  <si>
    <t>Amar Yadav</t>
  </si>
  <si>
    <t>Ananya Shah</t>
  </si>
  <si>
    <t>Bhavesh Jain</t>
  </si>
  <si>
    <t>Ayush Verma</t>
  </si>
  <si>
    <t>Akash Patel</t>
  </si>
  <si>
    <t>Priyanshi Sharma</t>
  </si>
  <si>
    <t>Neha Chatterjee</t>
  </si>
  <si>
    <t>Amit Kapoor</t>
  </si>
  <si>
    <t>Shubham Mukherjee</t>
  </si>
  <si>
    <t>Nandini Kapoor</t>
  </si>
  <si>
    <t>Madhuri Rao</t>
  </si>
  <si>
    <t>Tushar Joshi</t>
  </si>
  <si>
    <t>Akhil Roy</t>
  </si>
  <si>
    <t>Rishabh Dubey</t>
  </si>
  <si>
    <t>Om Sethi</t>
  </si>
  <si>
    <t>Shreya Bhatia</t>
  </si>
  <si>
    <t>Sandhya Sharma</t>
  </si>
  <si>
    <t>Bhavna Saxena</t>
  </si>
  <si>
    <t>Varun Biswas</t>
  </si>
  <si>
    <t>Ishan Roy</t>
  </si>
  <si>
    <t>Raj Kapoor</t>
  </si>
  <si>
    <t>Vidya Reddy</t>
  </si>
  <si>
    <t>Shikha Mukherjee</t>
  </si>
  <si>
    <t>Rishabh Rao</t>
  </si>
  <si>
    <t>Tarun Mehta</t>
  </si>
  <si>
    <t>Dhruv Pandey</t>
  </si>
  <si>
    <t>Ayush Chatterjee</t>
  </si>
  <si>
    <t>Alok Das</t>
  </si>
  <si>
    <t>Om Kumar</t>
  </si>
  <si>
    <t>Aditya Bajaj</t>
  </si>
  <si>
    <t>Pranav Mukherjee</t>
  </si>
  <si>
    <t>Kajal Bajaj</t>
  </si>
  <si>
    <t>Farhan Bose</t>
  </si>
  <si>
    <t>Tanvi Rao</t>
  </si>
  <si>
    <t>Sonali Sharma</t>
  </si>
  <si>
    <t>Alok Mishra</t>
  </si>
  <si>
    <t>Shreya Chopra</t>
  </si>
  <si>
    <t>Vikram Nair</t>
  </si>
  <si>
    <t>Manish Mukherjee</t>
  </si>
  <si>
    <t>Rupali Gupta</t>
  </si>
  <si>
    <t>Sonali Bose</t>
  </si>
  <si>
    <t>Pallavi Malhotra</t>
  </si>
  <si>
    <t>Madhuri Sethi</t>
  </si>
  <si>
    <t>Sneha Chatterjee</t>
  </si>
  <si>
    <t>Om Sharma</t>
  </si>
  <si>
    <t>Rohit Pillai</t>
  </si>
  <si>
    <t>Shikha Shah</t>
  </si>
  <si>
    <t>Rashmi Chauhan</t>
  </si>
  <si>
    <t>Pallavi Dubey</t>
  </si>
  <si>
    <t>Priyanshi Kumar</t>
  </si>
  <si>
    <t>Garima Jain</t>
  </si>
  <si>
    <t>Karan Verma</t>
  </si>
  <si>
    <t>Yamini Mehta</t>
  </si>
  <si>
    <t>Kunal Malhotra</t>
  </si>
  <si>
    <t>Vipasha Mukherjee</t>
  </si>
  <si>
    <t>Bhavesh Srivastava</t>
  </si>
  <si>
    <t>Neha Singh</t>
  </si>
  <si>
    <t>Tushar Choudhary</t>
  </si>
  <si>
    <t>Amrita Verma</t>
  </si>
  <si>
    <t>Himanshu Ghosh</t>
  </si>
  <si>
    <t>Sandhya Kumar</t>
  </si>
  <si>
    <t>Om Patel</t>
  </si>
  <si>
    <t>Alok Srivastava</t>
  </si>
  <si>
    <t>Tarun Nair</t>
  </si>
  <si>
    <t>Siddharth Roy</t>
  </si>
  <si>
    <t>Riya Chauhan</t>
  </si>
  <si>
    <t>Rohit Yadav</t>
  </si>
  <si>
    <t>Deepika Chauhan</t>
  </si>
  <si>
    <t>Komal Yadav</t>
  </si>
  <si>
    <t>Sneha Kumar</t>
  </si>
  <si>
    <t>Vidya Bose</t>
  </si>
  <si>
    <t>Arjun Pandey</t>
  </si>
  <si>
    <t>Trisha Nair</t>
  </si>
  <si>
    <t>Monika Jain</t>
  </si>
  <si>
    <t>Sahil Kumar</t>
  </si>
  <si>
    <t>Madhuri Patel</t>
  </si>
  <si>
    <t>Arnav Naidu</t>
  </si>
  <si>
    <t>Yamini Pillai</t>
  </si>
  <si>
    <t>Harsh Joshi</t>
  </si>
  <si>
    <t>Sandhya Rao</t>
  </si>
  <si>
    <t>Zara Agarwal</t>
  </si>
  <si>
    <t>Monika Biswas</t>
  </si>
  <si>
    <t>Aaditya Srivastava</t>
  </si>
  <si>
    <t>Amar Choudhary</t>
  </si>
  <si>
    <t>Suraj Naidu</t>
  </si>
  <si>
    <t>Vishal Pillai</t>
  </si>
  <si>
    <t>Aaditya Iyer</t>
  </si>
  <si>
    <t>Kunal Saxena</t>
  </si>
  <si>
    <t>Trisha Bose</t>
  </si>
  <si>
    <t>Anushka Mukherjee</t>
  </si>
  <si>
    <t>Shreya Mukherjee</t>
  </si>
  <si>
    <t>Deepika Menon</t>
  </si>
  <si>
    <t>Shubham Mehta</t>
  </si>
  <si>
    <t>Ayush Ghosh</t>
  </si>
  <si>
    <t>Trisha Bhatia</t>
  </si>
  <si>
    <t>Karan Bajaj</t>
  </si>
  <si>
    <t>Manish Mishra</t>
  </si>
  <si>
    <t>Sonali Khanna</t>
  </si>
  <si>
    <t>Zara Dey</t>
  </si>
  <si>
    <t>Simran Datta</t>
  </si>
  <si>
    <t>Rakesh Arora</t>
  </si>
  <si>
    <t>Uday Bansal</t>
  </si>
  <si>
    <t>Ritika Saxena</t>
  </si>
  <si>
    <t>Nandini Bhatia</t>
  </si>
  <si>
    <t>Komal Dubey</t>
  </si>
  <si>
    <t>Rishabh Kapoor</t>
  </si>
  <si>
    <t>Tarun Sethi</t>
  </si>
  <si>
    <t>Sneha Rajput</t>
  </si>
  <si>
    <t>Abhinav Patel</t>
  </si>
  <si>
    <t>Priyanshi Kapoor</t>
  </si>
  <si>
    <t>Trisha Chatterjee</t>
  </si>
  <si>
    <t>Sejal Menon</t>
  </si>
  <si>
    <t>Urvashi Das</t>
  </si>
  <si>
    <t>Tarun Roy</t>
  </si>
  <si>
    <t>Ankita Kapoor</t>
  </si>
  <si>
    <t>Deepak Agarwal</t>
  </si>
  <si>
    <t>Vishal Mondal</t>
  </si>
  <si>
    <t>Nitin Joshi</t>
  </si>
  <si>
    <t>Suraj Reddy</t>
  </si>
  <si>
    <t>Sachin Das</t>
  </si>
  <si>
    <t>Megha Chopra</t>
  </si>
  <si>
    <t>Rohit Sharma</t>
  </si>
  <si>
    <t>Himanshu Arora</t>
  </si>
  <si>
    <t>Monika Ghosh</t>
  </si>
  <si>
    <t>Muskan Menon</t>
  </si>
  <si>
    <t>Sumit Paul</t>
  </si>
  <si>
    <t>Ankit Rajput</t>
  </si>
  <si>
    <t>Deepak Mondal</t>
  </si>
  <si>
    <t>Rohit Saxena</t>
  </si>
  <si>
    <t>Amar Reddy</t>
  </si>
  <si>
    <t>Himanshu Kapoor</t>
  </si>
  <si>
    <t>Varun Dubey</t>
  </si>
  <si>
    <t>Sakshi Patel</t>
  </si>
  <si>
    <t>Akhil Khanna</t>
  </si>
  <si>
    <t>Sandhya Bose</t>
  </si>
  <si>
    <t>Ishita Kumar</t>
  </si>
  <si>
    <t>Akhil Verma</t>
  </si>
  <si>
    <t>Sneha Bajaj</t>
  </si>
  <si>
    <t>Rashmi Menon</t>
  </si>
  <si>
    <t>Vipasha Paul</t>
  </si>
  <si>
    <t>Nisha Mondal</t>
  </si>
  <si>
    <t>Jyoti Sharma</t>
  </si>
  <si>
    <t>Priya Naidu</t>
  </si>
  <si>
    <t>Aditya Verma</t>
  </si>
  <si>
    <t>Rahul Joshi</t>
  </si>
  <si>
    <t>Farhan Das</t>
  </si>
  <si>
    <t>Neha Iyer</t>
  </si>
  <si>
    <t>Simran Rajput</t>
  </si>
  <si>
    <t>Rupali Bose</t>
  </si>
  <si>
    <t>Ritika Dubey</t>
  </si>
  <si>
    <t>Saloni Menon</t>
  </si>
  <si>
    <t>Ankita Choudhary</t>
  </si>
  <si>
    <t>Himanshu Chauhan</t>
  </si>
  <si>
    <t>Rohan Mishra</t>
  </si>
  <si>
    <t>Alok Bose</t>
  </si>
  <si>
    <t>Simran Ghosh</t>
  </si>
  <si>
    <t>Pranav Mondal</t>
  </si>
  <si>
    <t>Neha Datta</t>
  </si>
  <si>
    <t>Tanya Mehta</t>
  </si>
  <si>
    <t>Ishita Sen</t>
  </si>
  <si>
    <t>Sonali Paul</t>
  </si>
  <si>
    <t>Nandini Rajput</t>
  </si>
  <si>
    <t>Madhuri Dey</t>
  </si>
  <si>
    <t>Chirag Chauhan</t>
  </si>
  <si>
    <t>Monika Pillai</t>
  </si>
  <si>
    <t>Deepika Roy</t>
  </si>
  <si>
    <t>Ayush Bhatia</t>
  </si>
  <si>
    <t>Sachin Sethi</t>
  </si>
  <si>
    <t>Tarun Verma</t>
  </si>
  <si>
    <t>Akash Dey</t>
  </si>
  <si>
    <t>Akanksha Bansal</t>
  </si>
  <si>
    <t>Aarti Malhotra</t>
  </si>
  <si>
    <t>Rupali Dubey</t>
  </si>
  <si>
    <t>Neha Chopra</t>
  </si>
  <si>
    <t>Amrita Ahuja</t>
  </si>
  <si>
    <t>Priya Khanna</t>
  </si>
  <si>
    <t>Sumit Choudhary</t>
  </si>
  <si>
    <t>Saloni Rao</t>
  </si>
  <si>
    <t>Megha Reddy</t>
  </si>
  <si>
    <t>Aishwarya Yadav</t>
  </si>
  <si>
    <t>Sonam Agarwal</t>
  </si>
  <si>
    <t>Deepika Rao</t>
  </si>
  <si>
    <t>Megha Gupta</t>
  </si>
  <si>
    <t>Sachin Kapoor</t>
  </si>
  <si>
    <t>Kajal Yadav</t>
  </si>
  <si>
    <t>Bhavesh Bhatia</t>
  </si>
  <si>
    <t>Akanksha Nair</t>
  </si>
  <si>
    <t>Ishan Dubey</t>
  </si>
  <si>
    <t>Chirag Tiwari</t>
  </si>
  <si>
    <t>Archana Sen</t>
  </si>
  <si>
    <t>Arnav Mehta</t>
  </si>
  <si>
    <t>Varsha Mishra</t>
  </si>
  <si>
    <t>Prachi Gupta</t>
  </si>
  <si>
    <t>Arjun Ghosh</t>
  </si>
  <si>
    <t>Nikita Kumar</t>
  </si>
  <si>
    <t>Rajat Bajaj</t>
  </si>
  <si>
    <t>Pragya Menon</t>
  </si>
  <si>
    <t>Abhinav Verma</t>
  </si>
  <si>
    <t>Ananya Iyer</t>
  </si>
  <si>
    <t>Sneha Pillai</t>
  </si>
  <si>
    <t>Sakshi Ghosh</t>
  </si>
  <si>
    <t>Vipasha Shah</t>
  </si>
  <si>
    <t>Rupali Dey</t>
  </si>
  <si>
    <t>Rajat Patel</t>
  </si>
  <si>
    <t>Aaditya Bansal</t>
  </si>
  <si>
    <t>Pragya Choudhary</t>
  </si>
  <si>
    <t>Megha Pandey</t>
  </si>
  <si>
    <t>Vidya Saxena</t>
  </si>
  <si>
    <t>Karan Roy</t>
  </si>
  <si>
    <t>Shikha Patel</t>
  </si>
  <si>
    <t>Tushar Pandey</t>
  </si>
  <si>
    <t>Shikha Sen</t>
  </si>
  <si>
    <t>Archana Das</t>
  </si>
  <si>
    <t>Rakesh Choudhary</t>
  </si>
  <si>
    <t>Nandini Roy</t>
  </si>
  <si>
    <t>Lokesh Chatterjee</t>
  </si>
  <si>
    <t>Sonali Sen</t>
  </si>
  <si>
    <t>Yamini Gupta</t>
  </si>
  <si>
    <t>Jyoti Mehta</t>
  </si>
  <si>
    <t>Pallavi Agarwal</t>
  </si>
  <si>
    <t>Arnav Mukherjee</t>
  </si>
  <si>
    <t>Ankita Shah</t>
  </si>
  <si>
    <t>Anushka Patel</t>
  </si>
  <si>
    <t>Manish Yadav</t>
  </si>
  <si>
    <t>Kajal Kumar</t>
  </si>
  <si>
    <t>Jay Sharma</t>
  </si>
  <si>
    <t>Aditi Sharma</t>
  </si>
  <si>
    <t>Pragya Jain</t>
  </si>
  <si>
    <t>Sumit Singh</t>
  </si>
  <si>
    <t>Siddharth Bose</t>
  </si>
  <si>
    <t>Komal Chatterjee</t>
  </si>
  <si>
    <t>Alok Verma</t>
  </si>
  <si>
    <t>Dhruv Joshi</t>
  </si>
  <si>
    <t>Vikas Rao</t>
  </si>
  <si>
    <t>Kriti Gupta</t>
  </si>
  <si>
    <t>Ritika Ghosh</t>
  </si>
  <si>
    <t>Arnav Khanna</t>
  </si>
  <si>
    <t>Nandini Reddy</t>
  </si>
  <si>
    <t>Jyoti Verma</t>
  </si>
  <si>
    <t>Chirag Mehta</t>
  </si>
  <si>
    <t>Farhan Ghosh</t>
  </si>
  <si>
    <t>Divya Sethi</t>
  </si>
  <si>
    <t>Ankit Sharma</t>
  </si>
  <si>
    <t>Sumit Chopra</t>
  </si>
  <si>
    <t>Muskan Choudhary</t>
  </si>
  <si>
    <t>Nikhil Biswas</t>
  </si>
  <si>
    <t>Nikita Reddy</t>
  </si>
  <si>
    <t>Aaditya Biswas</t>
  </si>
  <si>
    <t>Arnav Bansal</t>
  </si>
  <si>
    <t>Swati Arora</t>
  </si>
  <si>
    <t>Nikita Rajput</t>
  </si>
  <si>
    <t>Ajay Chauhan</t>
  </si>
  <si>
    <t>Varsha Sen</t>
  </si>
  <si>
    <t>Sumit Das</t>
  </si>
  <si>
    <t>Aarav Iyer</t>
  </si>
  <si>
    <t>Abhinav Joshi</t>
  </si>
  <si>
    <t>Amit Bose</t>
  </si>
  <si>
    <t>Dhruv Agarwal</t>
  </si>
  <si>
    <t>Aparna Chauhan</t>
  </si>
  <si>
    <t>Ananya Sethi</t>
  </si>
  <si>
    <t>Jyoti Mishra</t>
  </si>
  <si>
    <t>Sejal Agarwal</t>
  </si>
  <si>
    <t>Gaurav Sen</t>
  </si>
  <si>
    <t>Nisha Sethi</t>
  </si>
  <si>
    <t>Kriti Sen</t>
  </si>
  <si>
    <t>Shikha Mishra</t>
  </si>
  <si>
    <t>Ajay Sethi</t>
  </si>
  <si>
    <t>Yamini Das</t>
  </si>
  <si>
    <t>Aniket Datta</t>
  </si>
  <si>
    <t>COLLEGE FEST DATASET — 20 Practice Questions</t>
  </si>
  <si>
    <r>
      <t xml:space="preserve">🟢 </t>
    </r>
    <r>
      <rPr>
        <b/>
        <sz val="11"/>
        <color indexed="8"/>
        <rFont val="Calibri"/>
        <family val="2"/>
      </rPr>
      <t>EASY</t>
    </r>
  </si>
  <si>
    <t>Q1. Filter all students whose Fest Amount Status is "Due" and count how many haven't paid yet.</t>
  </si>
  <si>
    <t>Q2. Sort the entire dataset by Department alphabetically, then by Year within each department.</t>
  </si>
  <si>
    <t>Q3. Use COUNTIF to count how many students are in each Department (CSE, ECE, ME, CE, EE).</t>
  </si>
  <si>
    <t>Q4. What percentage of total students chose Non-Veg food preference? Write a formula.</t>
  </si>
  <si>
    <t>Q5. Use Conditional Formatting to highlight all rows where Fest Amount Status is "Due" in red and "Paid" in green.</t>
  </si>
  <si>
    <t>Q6. How many students have not collected their Coupon? Use COUNTIF.</t>
  </si>
  <si>
    <r>
      <t xml:space="preserve">🟡 </t>
    </r>
    <r>
      <rPr>
        <b/>
        <sz val="11"/>
        <color indexed="8"/>
        <rFont val="Calibri"/>
        <family val="2"/>
      </rPr>
      <t>MEDIUM</t>
    </r>
  </si>
  <si>
    <t>Q8. Use COUNTIFS to find how many CSE students in 2nd Year have Paid their fest amount.</t>
  </si>
  <si>
    <t>Q9. Create a Pivot Table showing Tech Fest Participation count department-wise.</t>
  </si>
  <si>
    <t>Q11. Create a Pivot Table showing Food Preference (Veg/Non-Veg) split across all 4 years.</t>
  </si>
  <si>
    <t>Q12. Use COUNTIFS with 3 conditions — count students from ECE, in 3rd Year, who participated in Dance.</t>
  </si>
  <si>
    <t>Q13. Build a Bar Chart showing number of participants in each Tech Fest event (Coding, Gaming, Quiz, Art, Science Exhibition, None).</t>
  </si>
  <si>
    <t>Q14. Create a Department-wise Summary Table using COUNTIFS showing Total Students, Total Paid, Total Due, and % Paid for each department (CSE, ECE, ME, CE, EE).</t>
  </si>
  <si>
    <r>
      <t xml:space="preserve">🔴 </t>
    </r>
    <r>
      <rPr>
        <b/>
        <sz val="11"/>
        <color indexed="8"/>
        <rFont val="Calibri"/>
        <family val="2"/>
      </rPr>
      <t>HARD</t>
    </r>
  </si>
  <si>
    <t>Q16. Use INDEX + MATCH to find the first student from ME department whose Fest Amount Status is "Due" and Coupon Collected is "No" — both conditions together.</t>
  </si>
  <si>
    <t>Q17. Use the FILTER function to dynamically list all students from a selected Department — change the department name in one cell and the list updates automatically.</t>
  </si>
  <si>
    <t>Q18. Use SORT + FILTER together to show all CSE students sorted by Year in ascending order — fully dynamic output.</t>
  </si>
  <si>
    <t>Q19. Build a Student Profile Card using XLOOKUP — enter a Phone Number and auto-fill Student Name, Year and Department, Semester, Food Preference, Fest Amount Status (✅ if Paid ❌ if Due), Coupon Collected, Tech Fest Participation, Cultural Fest Participation.</t>
  </si>
  <si>
    <t>Q20. Create a full Excel Dashboard with 2 Slicers (Department + Year), 3 Charts (Fest Amount Paid/Due pie, Tech event bar, Food preference bar), Summary KPI boxes showing Total Students, Total Paid, Total Due, Most Popular Tech Event, Most Popular Cultural Event — and everything updates dynamically when slicers are changed.</t>
  </si>
  <si>
    <t>Q2. Sort the entire dataset by Name  alphabetically, then by Year within each department.</t>
  </si>
  <si>
    <t xml:space="preserve">Easy Level </t>
  </si>
  <si>
    <t xml:space="preserve">ME </t>
  </si>
  <si>
    <t>Q5. Use Conditional Formatting to highlight all rows where Fest Food Preference is "Non-Veg" in Orange and "Veg" in green.</t>
  </si>
  <si>
    <t>Total Student</t>
  </si>
  <si>
    <t xml:space="preserve">Not Coupon Collected </t>
  </si>
  <si>
    <t xml:space="preserve">CSE 2nd Year </t>
  </si>
  <si>
    <t>Count Paid</t>
  </si>
  <si>
    <t xml:space="preserve">Q7. Create a Pie Chart showing Paid vs Due ratio of fest amount status. </t>
  </si>
  <si>
    <t>Medium Level</t>
  </si>
  <si>
    <t>Q10. Use COUNTIFS to find how many students in each Department have collected their Coupon (Coupon Collected = "Yes") — show result for all 5 departments separately.</t>
  </si>
  <si>
    <t xml:space="preserve">Depertment </t>
  </si>
  <si>
    <t>Coupoun Collected "Yes"</t>
  </si>
  <si>
    <t>Grand Total</t>
  </si>
  <si>
    <t>CE Total</t>
  </si>
  <si>
    <t>CSE Total</t>
  </si>
  <si>
    <t>ECE Total</t>
  </si>
  <si>
    <t>EE Total</t>
  </si>
  <si>
    <t>ME Total</t>
  </si>
  <si>
    <t>Count of Tech Fest Participation</t>
  </si>
  <si>
    <t>Total</t>
  </si>
  <si>
    <t xml:space="preserve">ECE 3rd Year Perticipation in Dance </t>
  </si>
  <si>
    <t>Tech Fest Event</t>
  </si>
  <si>
    <t>Count</t>
  </si>
  <si>
    <t>Total Students</t>
  </si>
  <si>
    <t>Total Paid</t>
  </si>
  <si>
    <t>Total Due</t>
  </si>
  <si>
    <t>% Paid</t>
  </si>
  <si>
    <t>HARD</t>
  </si>
  <si>
    <t xml:space="preserve">Student Name </t>
  </si>
  <si>
    <t xml:space="preserve">Ans =&gt; </t>
  </si>
  <si>
    <t>STUDENT PROFILE CARD</t>
  </si>
  <si>
    <t>Enter Phone Number →</t>
  </si>
  <si>
    <t>Student Name →</t>
  </si>
  <si>
    <t>Year →</t>
  </si>
  <si>
    <t>Department →</t>
  </si>
  <si>
    <t>Semester →</t>
  </si>
  <si>
    <t>Food Preference →</t>
  </si>
  <si>
    <t>Fest Amount Status →</t>
  </si>
  <si>
    <t>Coupon Collected →</t>
  </si>
  <si>
    <t>Tech Fest Event →</t>
  </si>
  <si>
    <t>Cultural Fest Event →</t>
  </si>
  <si>
    <t>Column1</t>
  </si>
  <si>
    <t>Column2</t>
  </si>
  <si>
    <t>Column3</t>
  </si>
  <si>
    <t>Enter Department:</t>
  </si>
  <si>
    <t xml:space="preserve">Total student </t>
  </si>
  <si>
    <t>Q15. Use VLOOKUP to create a Student Lookup Table — enter a Student Name in one cell and pull their Department, Semester, Tech Fest Participation, and Cultural Fest Participation.</t>
  </si>
  <si>
    <t>Row Labels</t>
  </si>
  <si>
    <t>Count of Fest Amount Status</t>
  </si>
  <si>
    <t xml:space="preserve">🎓  COLLEGE FEST 2024 — STUDENT ANALYTICS DASHBOARD  </t>
  </si>
  <si>
    <t>📅 Academic Year 2024</t>
  </si>
  <si>
    <t>🏫 Engineering College</t>
  </si>
  <si>
    <t>📊 600 Students Enrolled</t>
  </si>
  <si>
    <t>👥</t>
  </si>
  <si>
    <t>✅</t>
  </si>
  <si>
    <t>⚠️</t>
  </si>
  <si>
    <t>🎟️</t>
  </si>
  <si>
    <t>🍽️</t>
  </si>
  <si>
    <t>Total
Students</t>
  </si>
  <si>
    <t>Fees
Paid</t>
  </si>
  <si>
    <t>Fees
Pending</t>
  </si>
  <si>
    <t>Coupons
Issued</t>
  </si>
  <si>
    <t>Veg
Students</t>
  </si>
  <si>
    <t>600</t>
  </si>
  <si>
    <t>327</t>
  </si>
  <si>
    <t>273</t>
  </si>
  <si>
    <t>275</t>
  </si>
  <si>
    <t>310</t>
  </si>
  <si>
    <t>All Depts Combined</t>
  </si>
  <si>
    <t>54.5% Students</t>
  </si>
  <si>
    <t>45.5% Students</t>
  </si>
  <si>
    <t>45.8% Collection</t>
  </si>
  <si>
    <t>51.7% Prefer Veg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</si>
</sst>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sz val="12"/>
      <color theme="1"/>
      <name val="Calibri"/>
      <family val="2"/>
      <scheme val="minor"/>
    </font>
    <font>
      <sz val="10"/>
      <color theme="1"/>
      <name val="Segoe UI"/>
      <family val="2"/>
    </font>
    <font>
      <sz val="8"/>
      <color theme="1"/>
      <name val="Calibri"/>
      <family val="2"/>
      <scheme val="minor"/>
    </font>
    <font>
      <b/>
      <sz val="10"/>
      <color rgb="FFFDEBD0"/>
      <name val="Calibri"/>
    </font>
    <font>
      <b/>
      <sz val="9"/>
      <color rgb="FFD4AC0D"/>
      <name val="Calibri"/>
    </font>
    <font>
      <b/>
      <sz val="20"/>
      <color rgb="FFFFFFFF"/>
      <name val="Calibri"/>
      <family val="2"/>
    </font>
    <font>
      <sz val="20"/>
      <color theme="1"/>
      <name val="Calibri"/>
      <family val="2"/>
      <scheme val="minor"/>
    </font>
    <font>
      <sz val="8"/>
      <name val="Calibri"/>
      <family val="2"/>
      <scheme val="minor"/>
    </font>
    <font>
      <sz val="16"/>
      <color rgb="FF2980B9"/>
      <name val="Calibri"/>
      <family val="2"/>
    </font>
    <font>
      <sz val="16"/>
      <color rgb="FF1E8449"/>
      <name val="Calibri"/>
      <family val="2"/>
    </font>
    <font>
      <sz val="16"/>
      <color rgb="FFC0392B"/>
      <name val="Calibri"/>
      <family val="2"/>
    </font>
    <font>
      <sz val="16"/>
      <color rgb="FF6C3483"/>
      <name val="Calibri"/>
      <family val="2"/>
    </font>
    <font>
      <sz val="16"/>
      <color rgb="FF784212"/>
      <name val="Calibri"/>
      <family val="2"/>
    </font>
    <font>
      <b/>
      <sz val="9"/>
      <color rgb="FF5D6D7E"/>
      <name val="Calibri"/>
      <family val="2"/>
    </font>
    <font>
      <b/>
      <sz val="24"/>
      <color rgb="FF2980B9"/>
      <name val="Calibri"/>
      <family val="2"/>
    </font>
    <font>
      <b/>
      <sz val="24"/>
      <color rgb="FF1E8449"/>
      <name val="Calibri"/>
      <family val="2"/>
    </font>
    <font>
      <b/>
      <sz val="24"/>
      <color rgb="FFC0392B"/>
      <name val="Calibri"/>
      <family val="2"/>
    </font>
    <font>
      <b/>
      <sz val="24"/>
      <color rgb="FF6C3483"/>
      <name val="Calibri"/>
      <family val="2"/>
    </font>
    <font>
      <b/>
      <sz val="24"/>
      <color rgb="FF784212"/>
      <name val="Calibri"/>
      <family val="2"/>
    </font>
    <font>
      <b/>
      <sz val="11"/>
      <color rgb="FF5D6D7E"/>
      <name val="Calibri"/>
      <family val="2"/>
    </font>
    <font>
      <i/>
      <sz val="12"/>
      <color rgb="FF5D6D7E"/>
      <name val="Calibri"/>
      <family val="2"/>
    </font>
    <font>
      <i/>
      <sz val="14"/>
      <color rgb="FF5D6D7E"/>
      <name val="Calibri"/>
      <family val="2"/>
    </font>
    <font>
      <sz val="14"/>
      <color theme="1"/>
      <name val="Calibri"/>
      <family val="2"/>
      <scheme val="minor"/>
    </font>
  </fonts>
  <fills count="50">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bgColor indexed="64"/>
      </patternFill>
    </fill>
    <fill>
      <patternFill patternType="solid">
        <fgColor theme="6"/>
        <bgColor indexed="64"/>
      </patternFill>
    </fill>
    <fill>
      <patternFill patternType="solid">
        <fgColor rgb="FF00B0F0"/>
        <bgColor indexed="64"/>
      </patternFill>
    </fill>
    <fill>
      <patternFill patternType="solid">
        <fgColor theme="2"/>
        <bgColor indexed="64"/>
      </patternFill>
    </fill>
    <fill>
      <patternFill patternType="solid">
        <fgColor theme="5"/>
        <bgColor indexed="64"/>
      </patternFill>
    </fill>
    <fill>
      <patternFill patternType="solid">
        <fgColor rgb="FFC0392B"/>
      </patternFill>
    </fill>
    <fill>
      <patternFill patternType="solid">
        <fgColor rgb="FFA93226"/>
      </patternFill>
    </fill>
    <fill>
      <patternFill patternType="solid">
        <fgColor rgb="FFA9CCE3"/>
      </patternFill>
    </fill>
    <fill>
      <patternFill patternType="solid">
        <fgColor rgb="FFA9DFBF"/>
      </patternFill>
    </fill>
    <fill>
      <patternFill patternType="solid">
        <fgColor rgb="FFFADBD8"/>
      </patternFill>
    </fill>
    <fill>
      <patternFill patternType="solid">
        <fgColor rgb="FFD7BDE2"/>
      </patternFill>
    </fill>
    <fill>
      <patternFill patternType="solid">
        <fgColor rgb="FFF5CBA7"/>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indexed="65"/>
      </left>
      <right/>
      <top style="thin">
        <color rgb="FFABABAB"/>
      </top>
      <bottom style="thin">
        <color rgb="FFABABAB"/>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E59866"/>
      </left>
      <right style="thin">
        <color rgb="FFE59866"/>
      </right>
      <top style="thin">
        <color rgb="FFE59866"/>
      </top>
      <bottom style="thin">
        <color rgb="FFE59866"/>
      </bottom>
      <diagonal/>
    </border>
    <border>
      <left/>
      <right/>
      <top style="thin">
        <color rgb="FFE59866"/>
      </top>
      <bottom/>
      <diagonal/>
    </border>
    <border>
      <left/>
      <right style="thin">
        <color rgb="FFE59866"/>
      </right>
      <top style="thin">
        <color rgb="FFE59866"/>
      </top>
      <bottom/>
      <diagonal/>
    </border>
    <border>
      <left style="thin">
        <color rgb="FFE59866"/>
      </left>
      <right/>
      <top/>
      <bottom style="thin">
        <color rgb="FFE59866"/>
      </bottom>
      <diagonal/>
    </border>
    <border>
      <left/>
      <right/>
      <top/>
      <bottom style="thin">
        <color rgb="FFE59866"/>
      </bottom>
      <diagonal/>
    </border>
    <border>
      <left/>
      <right style="thin">
        <color rgb="FFE59866"/>
      </right>
      <top/>
      <bottom style="thin">
        <color rgb="FFE59866"/>
      </bottom>
      <diagonal/>
    </border>
  </borders>
  <cellStyleXfs count="4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4" fillId="26" borderId="0" applyNumberFormat="0" applyBorder="0" applyAlignment="0" applyProtection="0"/>
    <xf numFmtId="0" fontId="5" fillId="27" borderId="13" applyNumberFormat="0" applyAlignment="0" applyProtection="0"/>
    <xf numFmtId="0" fontId="6" fillId="28" borderId="14" applyNumberFormat="0" applyAlignment="0" applyProtection="0"/>
    <xf numFmtId="0" fontId="7" fillId="0" borderId="0" applyNumberFormat="0" applyFill="0" applyBorder="0" applyAlignment="0" applyProtection="0"/>
    <xf numFmtId="0" fontId="8" fillId="29" borderId="0" applyNumberFormat="0" applyBorder="0" applyAlignment="0" applyProtection="0"/>
    <xf numFmtId="0" fontId="9" fillId="0" borderId="15" applyNumberFormat="0" applyFill="0" applyAlignment="0" applyProtection="0"/>
    <xf numFmtId="0" fontId="10" fillId="0" borderId="16" applyNumberFormat="0" applyFill="0" applyAlignment="0" applyProtection="0"/>
    <xf numFmtId="0" fontId="11" fillId="0" borderId="17" applyNumberFormat="0" applyFill="0" applyAlignment="0" applyProtection="0"/>
    <xf numFmtId="0" fontId="11" fillId="0" borderId="0" applyNumberFormat="0" applyFill="0" applyBorder="0" applyAlignment="0" applyProtection="0"/>
    <xf numFmtId="0" fontId="12" fillId="30" borderId="13" applyNumberFormat="0" applyAlignment="0" applyProtection="0"/>
    <xf numFmtId="0" fontId="13" fillId="0" borderId="18" applyNumberFormat="0" applyFill="0" applyAlignment="0" applyProtection="0"/>
    <xf numFmtId="0" fontId="14" fillId="31" borderId="0" applyNumberFormat="0" applyBorder="0" applyAlignment="0" applyProtection="0"/>
    <xf numFmtId="0" fontId="2" fillId="32" borderId="19" applyNumberFormat="0" applyFont="0" applyAlignment="0" applyProtection="0"/>
    <xf numFmtId="0" fontId="15" fillId="27" borderId="20" applyNumberFormat="0" applyAlignment="0" applyProtection="0"/>
    <xf numFmtId="0" fontId="16" fillId="0" borderId="0" applyNumberFormat="0" applyFill="0" applyBorder="0" applyAlignment="0" applyProtection="0"/>
    <xf numFmtId="0" fontId="17" fillId="0" borderId="21" applyNumberFormat="0" applyFill="0" applyAlignment="0" applyProtection="0"/>
    <xf numFmtId="0" fontId="18" fillId="0" borderId="0" applyNumberFormat="0" applyFill="0" applyBorder="0" applyAlignment="0" applyProtection="0"/>
  </cellStyleXfs>
  <cellXfs count="154">
    <xf numFmtId="0" fontId="0" fillId="0" borderId="0" xfId="0"/>
    <xf numFmtId="0" fontId="17" fillId="0" borderId="0" xfId="0" applyFont="1"/>
    <xf numFmtId="0" fontId="0" fillId="0" borderId="1" xfId="0" applyBorder="1" applyAlignment="1">
      <alignment horizontal="right"/>
    </xf>
    <xf numFmtId="0" fontId="17" fillId="33" borderId="1" xfId="0" applyFont="1" applyFill="1" applyBorder="1" applyAlignment="1">
      <alignment horizontal="center"/>
    </xf>
    <xf numFmtId="0" fontId="19" fillId="34"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35" borderId="1" xfId="0" applyFill="1" applyBorder="1"/>
    <xf numFmtId="0" fontId="20" fillId="0" borderId="0" xfId="0" applyFont="1"/>
    <xf numFmtId="0" fontId="0" fillId="0" borderId="22" xfId="0" applyBorder="1"/>
    <xf numFmtId="0" fontId="0" fillId="0" borderId="23" xfId="0" applyBorder="1"/>
    <xf numFmtId="0" fontId="0" fillId="0" borderId="22" xfId="0" pivotButton="1" applyBorder="1"/>
    <xf numFmtId="0" fontId="0" fillId="0" borderId="24" xfId="0" applyBorder="1"/>
    <xf numFmtId="0" fontId="0" fillId="0" borderId="25" xfId="0" applyBorder="1"/>
    <xf numFmtId="0" fontId="0" fillId="0" borderId="26" xfId="0" applyBorder="1"/>
    <xf numFmtId="0" fontId="0" fillId="37" borderId="0" xfId="0" applyFill="1"/>
    <xf numFmtId="0" fontId="0" fillId="38" borderId="0" xfId="0" applyFill="1"/>
    <xf numFmtId="0" fontId="0" fillId="0" borderId="8" xfId="0" applyBorder="1" applyAlignment="1">
      <alignment horizontal="right"/>
    </xf>
    <xf numFmtId="0" fontId="0" fillId="0" borderId="0" xfId="0" applyAlignment="1">
      <alignment horizontal="right"/>
    </xf>
    <xf numFmtId="0" fontId="0" fillId="39" borderId="1" xfId="0" applyFill="1" applyBorder="1" applyAlignment="1">
      <alignment horizontal="right"/>
    </xf>
    <xf numFmtId="1" fontId="0" fillId="0" borderId="1" xfId="0" applyNumberFormat="1" applyBorder="1"/>
    <xf numFmtId="0" fontId="17" fillId="41" borderId="1" xfId="0" applyFont="1" applyFill="1" applyBorder="1" applyAlignment="1">
      <alignment horizontal="right"/>
    </xf>
    <xf numFmtId="0" fontId="17" fillId="41" borderId="1" xfId="0" applyFont="1" applyFill="1" applyBorder="1" applyAlignment="1">
      <alignment horizontal="center"/>
    </xf>
    <xf numFmtId="0" fontId="3" fillId="40" borderId="0" xfId="0" applyFont="1" applyFill="1" applyAlignment="1">
      <alignment horizontal="center"/>
    </xf>
    <xf numFmtId="0" fontId="0" fillId="36" borderId="0" xfId="0" applyFill="1" applyAlignment="1">
      <alignment horizontal="center"/>
    </xf>
    <xf numFmtId="0" fontId="0" fillId="34" borderId="0" xfId="0" applyFill="1"/>
    <xf numFmtId="0" fontId="0" fillId="42" borderId="0" xfId="0" applyFill="1"/>
    <xf numFmtId="0" fontId="0" fillId="0" borderId="0" xfId="0" applyAlignment="1">
      <alignment horizontal="left"/>
    </xf>
    <xf numFmtId="0" fontId="17" fillId="38" borderId="1" xfId="0" applyFont="1" applyFill="1" applyBorder="1" applyAlignment="1">
      <alignment horizontal="center"/>
    </xf>
    <xf numFmtId="0" fontId="0" fillId="0" borderId="29" xfId="0" applyBorder="1"/>
    <xf numFmtId="0" fontId="0" fillId="0" borderId="27" xfId="0" applyBorder="1"/>
    <xf numFmtId="0" fontId="0" fillId="0" borderId="30" xfId="0" applyBorder="1"/>
    <xf numFmtId="0" fontId="0" fillId="0" borderId="28" xfId="0" applyBorder="1"/>
    <xf numFmtId="0" fontId="0" fillId="0" borderId="4" xfId="0" applyBorder="1" applyAlignment="1">
      <alignment horizontal="right"/>
    </xf>
    <xf numFmtId="0" fontId="0" fillId="0" borderId="2" xfId="0" applyBorder="1" applyAlignment="1">
      <alignment horizontal="right"/>
    </xf>
    <xf numFmtId="0" fontId="17" fillId="33" borderId="12" xfId="0" applyFont="1" applyFill="1" applyBorder="1" applyAlignment="1">
      <alignment horizontal="center"/>
    </xf>
    <xf numFmtId="0" fontId="17" fillId="33" borderId="31" xfId="0" applyFont="1" applyFill="1" applyBorder="1" applyAlignment="1">
      <alignment horizontal="center"/>
    </xf>
    <xf numFmtId="0" fontId="17" fillId="33" borderId="10" xfId="0" applyFont="1" applyFill="1" applyBorder="1" applyAlignment="1">
      <alignment horizontal="center"/>
    </xf>
    <xf numFmtId="0" fontId="0" fillId="0" borderId="7" xfId="0" applyBorder="1" applyAlignment="1">
      <alignment horizontal="right"/>
    </xf>
    <xf numFmtId="0" fontId="0" fillId="0" borderId="32" xfId="0" applyBorder="1" applyAlignment="1">
      <alignment horizontal="right"/>
    </xf>
    <xf numFmtId="0" fontId="0" fillId="0" borderId="5" xfId="0" applyBorder="1" applyAlignment="1">
      <alignment horizontal="right"/>
    </xf>
    <xf numFmtId="0" fontId="0" fillId="0" borderId="0" xfId="0" pivotButton="1"/>
    <xf numFmtId="0" fontId="0" fillId="0" borderId="0" xfId="0" applyAlignment="1">
      <alignment horizontal="left" indent="1"/>
    </xf>
    <xf numFmtId="0" fontId="0" fillId="0" borderId="1" xfId="0" pivotButton="1" applyBorder="1"/>
    <xf numFmtId="0" fontId="21" fillId="0" borderId="1" xfId="0" applyFont="1" applyBorder="1"/>
    <xf numFmtId="0" fontId="0" fillId="0" borderId="1" xfId="0" applyBorder="1" applyAlignment="1">
      <alignment horizontal="left"/>
    </xf>
    <xf numFmtId="0" fontId="0" fillId="0" borderId="1" xfId="0" applyBorder="1" applyAlignment="1">
      <alignment horizontal="left" indent="1"/>
    </xf>
    <xf numFmtId="0" fontId="0" fillId="45" borderId="34" xfId="0" applyFill="1" applyBorder="1"/>
    <xf numFmtId="0" fontId="0" fillId="45" borderId="35" xfId="0" applyFill="1" applyBorder="1"/>
    <xf numFmtId="0" fontId="0" fillId="45" borderId="36" xfId="0" applyFill="1" applyBorder="1"/>
    <xf numFmtId="0" fontId="0" fillId="45" borderId="37" xfId="0" applyFill="1" applyBorder="1"/>
    <xf numFmtId="0" fontId="0" fillId="45" borderId="38" xfId="0" applyFill="1" applyBorder="1"/>
    <xf numFmtId="0" fontId="0" fillId="46" borderId="34" xfId="0" applyFill="1" applyBorder="1"/>
    <xf numFmtId="0" fontId="0" fillId="46" borderId="35" xfId="0" applyFill="1" applyBorder="1"/>
    <xf numFmtId="0" fontId="0" fillId="46" borderId="36" xfId="0" applyFill="1" applyBorder="1"/>
    <xf numFmtId="0" fontId="0" fillId="46" borderId="37" xfId="0" applyFill="1" applyBorder="1"/>
    <xf numFmtId="0" fontId="0" fillId="46" borderId="38" xfId="0" applyFill="1" applyBorder="1"/>
    <xf numFmtId="0" fontId="0" fillId="47" borderId="34" xfId="0" applyFill="1" applyBorder="1"/>
    <xf numFmtId="0" fontId="0" fillId="47" borderId="35" xfId="0" applyFill="1" applyBorder="1"/>
    <xf numFmtId="0" fontId="0" fillId="47" borderId="36" xfId="0" applyFill="1" applyBorder="1"/>
    <xf numFmtId="0" fontId="0" fillId="47" borderId="37" xfId="0" applyFill="1" applyBorder="1"/>
    <xf numFmtId="0" fontId="0" fillId="47" borderId="38" xfId="0" applyFill="1" applyBorder="1"/>
    <xf numFmtId="0" fontId="0" fillId="48" borderId="34" xfId="0" applyFill="1" applyBorder="1"/>
    <xf numFmtId="0" fontId="0" fillId="48" borderId="35" xfId="0" applyFill="1" applyBorder="1"/>
    <xf numFmtId="0" fontId="0" fillId="48" borderId="36" xfId="0" applyFill="1" applyBorder="1"/>
    <xf numFmtId="0" fontId="0" fillId="48" borderId="37" xfId="0" applyFill="1" applyBorder="1"/>
    <xf numFmtId="0" fontId="0" fillId="48" borderId="38" xfId="0" applyFill="1" applyBorder="1"/>
    <xf numFmtId="0" fontId="0" fillId="49" borderId="34" xfId="0" applyFill="1" applyBorder="1"/>
    <xf numFmtId="0" fontId="0" fillId="49" borderId="35" xfId="0" applyFill="1" applyBorder="1"/>
    <xf numFmtId="0" fontId="0" fillId="49" borderId="36" xfId="0" applyFill="1" applyBorder="1"/>
    <xf numFmtId="0" fontId="0" fillId="49" borderId="37" xfId="0" applyFill="1" applyBorder="1"/>
    <xf numFmtId="0" fontId="0" fillId="49" borderId="38" xfId="0" applyFill="1" applyBorder="1"/>
    <xf numFmtId="0" fontId="32" fillId="45" borderId="33" xfId="0" applyFont="1" applyFill="1" applyBorder="1" applyAlignment="1">
      <alignment horizontal="center" vertical="center" wrapText="1"/>
    </xf>
    <xf numFmtId="0" fontId="33" fillId="45" borderId="33" xfId="0" applyFont="1" applyFill="1" applyBorder="1" applyAlignment="1">
      <alignment horizontal="center" vertical="center"/>
    </xf>
    <xf numFmtId="0" fontId="34" fillId="46" borderId="33" xfId="0" applyFont="1" applyFill="1" applyBorder="1" applyAlignment="1">
      <alignment horizontal="center" vertical="center"/>
    </xf>
    <xf numFmtId="0" fontId="35" fillId="47" borderId="33" xfId="0" applyFont="1" applyFill="1" applyBorder="1" applyAlignment="1">
      <alignment horizontal="center" vertical="center"/>
    </xf>
    <xf numFmtId="0" fontId="36" fillId="48" borderId="33" xfId="0" applyFont="1" applyFill="1" applyBorder="1" applyAlignment="1">
      <alignment horizontal="center" vertical="center"/>
    </xf>
    <xf numFmtId="0" fontId="37" fillId="49" borderId="33" xfId="0" applyFont="1" applyFill="1" applyBorder="1" applyAlignment="1">
      <alignment horizontal="center" vertical="center"/>
    </xf>
    <xf numFmtId="0" fontId="24" fillId="43" borderId="0" xfId="0" applyFont="1" applyFill="1" applyAlignment="1">
      <alignment horizontal="center" vertical="center"/>
    </xf>
    <xf numFmtId="0" fontId="25" fillId="43" borderId="0" xfId="0" applyFont="1" applyFill="1"/>
    <xf numFmtId="0" fontId="22" fillId="44" borderId="0" xfId="0" applyFont="1" applyFill="1" applyAlignment="1">
      <alignment horizontal="center" vertical="center"/>
    </xf>
    <xf numFmtId="0" fontId="0" fillId="44" borderId="0" xfId="0" applyFill="1"/>
    <xf numFmtId="0" fontId="23" fillId="44" borderId="0" xfId="0" applyFont="1" applyFill="1" applyAlignment="1">
      <alignment horizontal="center" vertical="center"/>
    </xf>
    <xf numFmtId="0" fontId="27" fillId="45" borderId="33" xfId="0" applyFont="1" applyFill="1" applyBorder="1" applyAlignment="1">
      <alignment horizontal="center" vertical="center"/>
    </xf>
    <xf numFmtId="0" fontId="28" fillId="46" borderId="33" xfId="0" applyFont="1" applyFill="1" applyBorder="1" applyAlignment="1">
      <alignment horizontal="center" vertical="center"/>
    </xf>
    <xf numFmtId="0" fontId="29" fillId="47" borderId="33" xfId="0" applyFont="1" applyFill="1" applyBorder="1" applyAlignment="1">
      <alignment horizontal="center" vertical="center"/>
    </xf>
    <xf numFmtId="0" fontId="30" fillId="48" borderId="33" xfId="0" applyFont="1" applyFill="1" applyBorder="1" applyAlignment="1">
      <alignment horizontal="center" vertical="center"/>
    </xf>
    <xf numFmtId="0" fontId="31" fillId="49" borderId="33" xfId="0" applyFont="1" applyFill="1" applyBorder="1" applyAlignment="1">
      <alignment horizontal="center" vertical="center"/>
    </xf>
    <xf numFmtId="0" fontId="38" fillId="46" borderId="33" xfId="0" applyFont="1" applyFill="1" applyBorder="1" applyAlignment="1">
      <alignment horizontal="center" vertical="center" wrapText="1"/>
    </xf>
    <xf numFmtId="0" fontId="0" fillId="46" borderId="34" xfId="0" applyFont="1" applyFill="1" applyBorder="1"/>
    <xf numFmtId="0" fontId="0" fillId="46" borderId="35" xfId="0" applyFont="1" applyFill="1" applyBorder="1"/>
    <xf numFmtId="0" fontId="0" fillId="46" borderId="36" xfId="0" applyFont="1" applyFill="1" applyBorder="1"/>
    <xf numFmtId="0" fontId="0" fillId="46" borderId="37" xfId="0" applyFont="1" applyFill="1" applyBorder="1"/>
    <xf numFmtId="0" fontId="0" fillId="46" borderId="38" xfId="0" applyFont="1" applyFill="1" applyBorder="1"/>
    <xf numFmtId="0" fontId="38" fillId="47" borderId="33" xfId="0" applyFont="1" applyFill="1" applyBorder="1" applyAlignment="1">
      <alignment horizontal="center" vertical="center" wrapText="1"/>
    </xf>
    <xf numFmtId="0" fontId="0" fillId="47" borderId="34" xfId="0" applyFont="1" applyFill="1" applyBorder="1"/>
    <xf numFmtId="0" fontId="0" fillId="47" borderId="35" xfId="0" applyFont="1" applyFill="1" applyBorder="1"/>
    <xf numFmtId="0" fontId="0" fillId="47" borderId="36" xfId="0" applyFont="1" applyFill="1" applyBorder="1"/>
    <xf numFmtId="0" fontId="0" fillId="47" borderId="37" xfId="0" applyFont="1" applyFill="1" applyBorder="1"/>
    <xf numFmtId="0" fontId="0" fillId="47" borderId="38" xfId="0" applyFont="1" applyFill="1" applyBorder="1"/>
    <xf numFmtId="0" fontId="38" fillId="48" borderId="33" xfId="0" applyFont="1" applyFill="1" applyBorder="1" applyAlignment="1">
      <alignment horizontal="center" vertical="center" wrapText="1"/>
    </xf>
    <xf numFmtId="0" fontId="0" fillId="48" borderId="34" xfId="0" applyFont="1" applyFill="1" applyBorder="1"/>
    <xf numFmtId="0" fontId="0" fillId="48" borderId="35" xfId="0" applyFont="1" applyFill="1" applyBorder="1"/>
    <xf numFmtId="0" fontId="0" fillId="48" borderId="36" xfId="0" applyFont="1" applyFill="1" applyBorder="1"/>
    <xf numFmtId="0" fontId="0" fillId="48" borderId="37" xfId="0" applyFont="1" applyFill="1" applyBorder="1"/>
    <xf numFmtId="0" fontId="0" fillId="48" borderId="38" xfId="0" applyFont="1" applyFill="1" applyBorder="1"/>
    <xf numFmtId="0" fontId="38" fillId="49" borderId="33" xfId="0" applyFont="1" applyFill="1" applyBorder="1" applyAlignment="1">
      <alignment horizontal="center" vertical="center" wrapText="1"/>
    </xf>
    <xf numFmtId="0" fontId="0" fillId="49" borderId="34" xfId="0" applyFont="1" applyFill="1" applyBorder="1"/>
    <xf numFmtId="0" fontId="0" fillId="49" borderId="35" xfId="0" applyFont="1" applyFill="1" applyBorder="1"/>
    <xf numFmtId="0" fontId="0" fillId="49" borderId="36" xfId="0" applyFont="1" applyFill="1" applyBorder="1"/>
    <xf numFmtId="0" fontId="0" fillId="49" borderId="37" xfId="0" applyFont="1" applyFill="1" applyBorder="1"/>
    <xf numFmtId="0" fontId="0" fillId="49" borderId="38" xfId="0" applyFont="1" applyFill="1" applyBorder="1"/>
    <xf numFmtId="0" fontId="40" fillId="49" borderId="33" xfId="0" applyFont="1" applyFill="1" applyBorder="1" applyAlignment="1">
      <alignment horizontal="center" vertical="center"/>
    </xf>
    <xf numFmtId="0" fontId="41" fillId="49" borderId="34" xfId="0" applyFont="1" applyFill="1" applyBorder="1"/>
    <xf numFmtId="0" fontId="41" fillId="49" borderId="35" xfId="0" applyFont="1" applyFill="1" applyBorder="1"/>
    <xf numFmtId="0" fontId="41" fillId="49" borderId="36" xfId="0" applyFont="1" applyFill="1" applyBorder="1"/>
    <xf numFmtId="0" fontId="41" fillId="49" borderId="37" xfId="0" applyFont="1" applyFill="1" applyBorder="1"/>
    <xf numFmtId="0" fontId="41" fillId="49" borderId="38" xfId="0" applyFont="1" applyFill="1" applyBorder="1"/>
    <xf numFmtId="0" fontId="39" fillId="48" borderId="33" xfId="0" applyFont="1" applyFill="1" applyBorder="1" applyAlignment="1">
      <alignment horizontal="center" vertical="center"/>
    </xf>
    <xf numFmtId="0" fontId="19" fillId="48" borderId="34" xfId="0" applyFont="1" applyFill="1" applyBorder="1"/>
    <xf numFmtId="0" fontId="19" fillId="48" borderId="35" xfId="0" applyFont="1" applyFill="1" applyBorder="1"/>
    <xf numFmtId="0" fontId="19" fillId="48" borderId="36" xfId="0" applyFont="1" applyFill="1" applyBorder="1"/>
    <xf numFmtId="0" fontId="19" fillId="48" borderId="37" xfId="0" applyFont="1" applyFill="1" applyBorder="1"/>
    <xf numFmtId="0" fontId="19" fillId="48" borderId="38" xfId="0" applyFont="1" applyFill="1" applyBorder="1"/>
    <xf numFmtId="0" fontId="39" fillId="47" borderId="33" xfId="0" applyFont="1" applyFill="1" applyBorder="1" applyAlignment="1">
      <alignment horizontal="center" vertical="center"/>
    </xf>
    <xf numFmtId="0" fontId="19" fillId="47" borderId="34" xfId="0" applyFont="1" applyFill="1" applyBorder="1"/>
    <xf numFmtId="0" fontId="19" fillId="47" borderId="35" xfId="0" applyFont="1" applyFill="1" applyBorder="1"/>
    <xf numFmtId="0" fontId="19" fillId="47" borderId="36" xfId="0" applyFont="1" applyFill="1" applyBorder="1"/>
    <xf numFmtId="0" fontId="19" fillId="47" borderId="37" xfId="0" applyFont="1" applyFill="1" applyBorder="1"/>
    <xf numFmtId="0" fontId="19" fillId="47" borderId="38" xfId="0" applyFont="1" applyFill="1" applyBorder="1"/>
    <xf numFmtId="0" fontId="40" fillId="46" borderId="33" xfId="0" applyFont="1" applyFill="1" applyBorder="1" applyAlignment="1">
      <alignment horizontal="center" vertical="center"/>
    </xf>
    <xf numFmtId="0" fontId="41" fillId="46" borderId="34" xfId="0" applyFont="1" applyFill="1" applyBorder="1"/>
    <xf numFmtId="0" fontId="41" fillId="46" borderId="35" xfId="0" applyFont="1" applyFill="1" applyBorder="1"/>
    <xf numFmtId="0" fontId="41" fillId="46" borderId="36" xfId="0" applyFont="1" applyFill="1" applyBorder="1"/>
    <xf numFmtId="0" fontId="41" fillId="46" borderId="37" xfId="0" applyFont="1" applyFill="1" applyBorder="1"/>
    <xf numFmtId="0" fontId="41" fillId="46" borderId="38" xfId="0" applyFont="1" applyFill="1" applyBorder="1"/>
    <xf numFmtId="0" fontId="39" fillId="45" borderId="33" xfId="0" applyFont="1" applyFill="1" applyBorder="1" applyAlignment="1">
      <alignment horizontal="center" vertical="center"/>
    </xf>
    <xf numFmtId="0" fontId="19" fillId="45" borderId="34" xfId="0" applyFont="1" applyFill="1" applyBorder="1"/>
    <xf numFmtId="0" fontId="19" fillId="45" borderId="35" xfId="0" applyFont="1" applyFill="1" applyBorder="1"/>
    <xf numFmtId="0" fontId="19" fillId="45" borderId="36" xfId="0" applyFont="1" applyFill="1" applyBorder="1"/>
    <xf numFmtId="0" fontId="19" fillId="45" borderId="37" xfId="0" applyFont="1" applyFill="1" applyBorder="1"/>
    <xf numFmtId="0" fontId="19" fillId="45" borderId="38" xfId="0" applyFont="1" applyFill="1" applyBorder="1"/>
    <xf numFmtId="0" fontId="0" fillId="0" borderId="0" xfId="0" applyNumberFormat="1"/>
    <xf numFmtId="0" fontId="0" fillId="0" borderId="1" xfId="0" applyNumberFormat="1" applyBorder="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63">
    <dxf>
      <font>
        <sz val="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ont>
        <color theme="0"/>
      </font>
      <fill>
        <patternFill>
          <bgColor rgb="FFF25A0E"/>
        </patternFill>
      </fill>
    </dxf>
    <dxf>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7580927384077009E-2"/>
          <c:y val="0.15782407407407409"/>
          <c:w val="0.89019685039370078"/>
          <c:h val="0.67003098571011954"/>
        </c:manualLayout>
      </c:layout>
      <c:barChart>
        <c:barDir val="col"/>
        <c:grouping val="clustered"/>
        <c:varyColors val="0"/>
        <c:ser>
          <c:idx val="0"/>
          <c:order val="0"/>
          <c:tx>
            <c:strRef>
              <c:f>Medium_Level_Solved!$M$69</c:f>
              <c:strCache>
                <c:ptCount val="1"/>
                <c:pt idx="0">
                  <c:v>Count</c:v>
                </c:pt>
              </c:strCache>
            </c:strRef>
          </c:tx>
          <c:spPr>
            <a:solidFill>
              <a:schemeClr val="accent1"/>
            </a:solidFill>
            <a:ln>
              <a:noFill/>
            </a:ln>
            <a:effectLst/>
          </c:spPr>
          <c:invertIfNegative val="0"/>
          <c:cat>
            <c:strRef>
              <c:f>Medium_Level_Solved!$L$70:$L$75</c:f>
              <c:strCache>
                <c:ptCount val="6"/>
                <c:pt idx="0">
                  <c:v>Coding</c:v>
                </c:pt>
                <c:pt idx="1">
                  <c:v>Gaming</c:v>
                </c:pt>
                <c:pt idx="2">
                  <c:v>Quiz</c:v>
                </c:pt>
                <c:pt idx="3">
                  <c:v>Art</c:v>
                </c:pt>
                <c:pt idx="4">
                  <c:v>Science Exhibition</c:v>
                </c:pt>
                <c:pt idx="5">
                  <c:v>None</c:v>
                </c:pt>
              </c:strCache>
            </c:strRef>
          </c:cat>
          <c:val>
            <c:numRef>
              <c:f>Medium_Level_Solved!$M$70:$M$75</c:f>
              <c:numCache>
                <c:formatCode>General</c:formatCode>
                <c:ptCount val="6"/>
                <c:pt idx="0">
                  <c:v>91</c:v>
                </c:pt>
                <c:pt idx="1">
                  <c:v>78</c:v>
                </c:pt>
                <c:pt idx="2">
                  <c:v>88</c:v>
                </c:pt>
                <c:pt idx="3">
                  <c:v>61</c:v>
                </c:pt>
                <c:pt idx="4">
                  <c:v>71</c:v>
                </c:pt>
                <c:pt idx="5">
                  <c:v>211</c:v>
                </c:pt>
              </c:numCache>
            </c:numRef>
          </c:val>
          <c:extLst>
            <c:ext xmlns:c16="http://schemas.microsoft.com/office/drawing/2014/chart" uri="{C3380CC4-5D6E-409C-BE32-E72D297353CC}">
              <c16:uniqueId val="{00000000-1D83-4CC1-9C9A-889B2A1E04A3}"/>
            </c:ext>
          </c:extLst>
        </c:ser>
        <c:dLbls>
          <c:showLegendKey val="0"/>
          <c:showVal val="0"/>
          <c:showCatName val="0"/>
          <c:showSerName val="0"/>
          <c:showPercent val="0"/>
          <c:showBubbleSize val="0"/>
        </c:dLbls>
        <c:gapWidth val="219"/>
        <c:overlap val="-27"/>
        <c:axId val="642885680"/>
        <c:axId val="642890480"/>
      </c:barChart>
      <c:catAx>
        <c:axId val="64288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890480"/>
        <c:crosses val="autoZero"/>
        <c:auto val="1"/>
        <c:lblAlgn val="ctr"/>
        <c:lblOffset val="100"/>
        <c:noMultiLvlLbl val="0"/>
      </c:catAx>
      <c:valAx>
        <c:axId val="64289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88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[college_fest_dataset_Mini Project.xlsx]DashBoard!PivotTable7</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DashBoard!$B$29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36B-46B9-9A49-E773D14B9B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36B-46B9-9A49-E773D14B9B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DashBoard!$A$30:$A$34</c:f>
              <c:multiLvlStrCache>
                <c:ptCount val="2"/>
                <c:lvl>
                  <c:pt idx="0">
                    <c:v>1st</c:v>
                  </c:pt>
                  <c:pt idx="1">
                    <c:v>1st</c:v>
                  </c:pt>
                </c:lvl>
                <c:lvl>
                  <c:pt idx="0">
                    <c:v>Due</c:v>
                  </c:pt>
                  <c:pt idx="1">
                    <c:v>Paid</c:v>
                  </c:pt>
                </c:lvl>
              </c:multiLvlStrCache>
            </c:multiLvlStrRef>
          </c:cat>
          <c:val>
            <c:numRef>
              <c:f>DashBoard!$B$30:$B$34</c:f>
              <c:numCache>
                <c:formatCode>General</c:formatCode>
                <c:ptCount val="2"/>
                <c:pt idx="0">
                  <c:v>15</c:v>
                </c:pt>
                <c:pt idx="1">
                  <c:v>19</c:v>
                </c:pt>
              </c:numCache>
            </c:numRef>
          </c:val>
          <c:extLst>
            <c:ext xmlns:c16="http://schemas.microsoft.com/office/drawing/2014/chart" uri="{C3380CC4-5D6E-409C-BE32-E72D297353CC}">
              <c16:uniqueId val="{00000000-11CD-4F1F-BBBB-517EF9A2A57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[college_fest_dataset_Mini Project.xlsx]DashBoard!PivotTable2</c:name>
    <c:fmtId val="1"/>
  </c:pivotSource>
  <c:chart>
    <c:title>
      <c:layout>
        <c:manualLayout>
          <c:xMode val="edge"/>
          <c:yMode val="edge"/>
          <c:x val="0.43972222222222224"/>
          <c:y val="9.6201516477106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DashBoard!$A$15:$A$21</c:f>
              <c:strCache>
                <c:ptCount val="6"/>
                <c:pt idx="0">
                  <c:v>Art</c:v>
                </c:pt>
                <c:pt idx="1">
                  <c:v>Coding</c:v>
                </c:pt>
                <c:pt idx="2">
                  <c:v>Gaming</c:v>
                </c:pt>
                <c:pt idx="3">
                  <c:v>None</c:v>
                </c:pt>
                <c:pt idx="4">
                  <c:v>Quiz</c:v>
                </c:pt>
                <c:pt idx="5">
                  <c:v>Science Exhibition</c:v>
                </c:pt>
              </c:strCache>
            </c:strRef>
          </c:cat>
          <c:val>
            <c:numRef>
              <c:f>DashBoard!$B$15:$B$21</c:f>
              <c:numCache>
                <c:formatCode>General</c:formatCode>
                <c:ptCount val="6"/>
                <c:pt idx="0">
                  <c:v>3</c:v>
                </c:pt>
                <c:pt idx="1">
                  <c:v>5</c:v>
                </c:pt>
                <c:pt idx="2">
                  <c:v>5</c:v>
                </c:pt>
                <c:pt idx="3">
                  <c:v>12</c:v>
                </c:pt>
                <c:pt idx="4">
                  <c:v>4</c:v>
                </c:pt>
                <c:pt idx="5">
                  <c:v>5</c:v>
                </c:pt>
              </c:numCache>
            </c:numRef>
          </c:val>
          <c:extLst>
            <c:ext xmlns:c16="http://schemas.microsoft.com/office/drawing/2014/chart" uri="{C3380CC4-5D6E-409C-BE32-E72D297353CC}">
              <c16:uniqueId val="{00000000-4AA2-442B-9E64-C9A0418D9B07}"/>
            </c:ext>
          </c:extLst>
        </c:ser>
        <c:dLbls>
          <c:dLblPos val="outEnd"/>
          <c:showLegendKey val="0"/>
          <c:showVal val="1"/>
          <c:showCatName val="0"/>
          <c:showSerName val="0"/>
          <c:showPercent val="0"/>
          <c:showBubbleSize val="0"/>
        </c:dLbls>
        <c:gapWidth val="100"/>
        <c:overlap val="-24"/>
        <c:axId val="142919360"/>
        <c:axId val="142911680"/>
      </c:barChart>
      <c:catAx>
        <c:axId val="142919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911680"/>
        <c:crosses val="autoZero"/>
        <c:auto val="1"/>
        <c:lblAlgn val="ctr"/>
        <c:lblOffset val="100"/>
        <c:noMultiLvlLbl val="0"/>
      </c:catAx>
      <c:valAx>
        <c:axId val="142911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91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678180</xdr:colOff>
      <xdr:row>67</xdr:row>
      <xdr:rowOff>26670</xdr:rowOff>
    </xdr:from>
    <xdr:to>
      <xdr:col>14</xdr:col>
      <xdr:colOff>114300</xdr:colOff>
      <xdr:row>78</xdr:row>
      <xdr:rowOff>91440</xdr:rowOff>
    </xdr:to>
    <xdr:graphicFrame macro="">
      <xdr:nvGraphicFramePr>
        <xdr:cNvPr id="2" name="Chart 1">
          <a:extLst>
            <a:ext uri="{FF2B5EF4-FFF2-40B4-BE49-F238E27FC236}">
              <a16:creationId xmlns:a16="http://schemas.microsoft.com/office/drawing/2014/main" id="{108DC3C9-02E4-1F2C-D128-A28C4F4B6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132523</xdr:colOff>
      <xdr:row>13</xdr:row>
      <xdr:rowOff>24185</xdr:rowOff>
    </xdr:from>
    <xdr:to>
      <xdr:col>7</xdr:col>
      <xdr:colOff>162340</xdr:colOff>
      <xdr:row>26</xdr:row>
      <xdr:rowOff>100385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1AD94BD6-C648-BDE8-4E3F-9B8CDB0F9E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149588" y="2393011"/>
              <a:ext cx="1835426" cy="2445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39759</xdr:colOff>
      <xdr:row>13</xdr:row>
      <xdr:rowOff>16566</xdr:rowOff>
    </xdr:from>
    <xdr:to>
      <xdr:col>5</xdr:col>
      <xdr:colOff>33133</xdr:colOff>
      <xdr:row>26</xdr:row>
      <xdr:rowOff>106101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CAF7F47B-45F0-CE43-4A2E-B00C5041732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18085" y="2385392"/>
              <a:ext cx="1832113" cy="2458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262723</xdr:colOff>
      <xdr:row>13</xdr:row>
      <xdr:rowOff>57977</xdr:rowOff>
    </xdr:from>
    <xdr:to>
      <xdr:col>14</xdr:col>
      <xdr:colOff>449248</xdr:colOff>
      <xdr:row>28</xdr:row>
      <xdr:rowOff>57977</xdr:rowOff>
    </xdr:to>
    <xdr:graphicFrame macro="">
      <xdr:nvGraphicFramePr>
        <xdr:cNvPr id="6" name="Chart 5">
          <a:extLst>
            <a:ext uri="{FF2B5EF4-FFF2-40B4-BE49-F238E27FC236}">
              <a16:creationId xmlns:a16="http://schemas.microsoft.com/office/drawing/2014/main" id="{95628A1C-5E2B-BFD3-982B-5048EABD9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513520</xdr:colOff>
      <xdr:row>13</xdr:row>
      <xdr:rowOff>53007</xdr:rowOff>
    </xdr:from>
    <xdr:to>
      <xdr:col>22</xdr:col>
      <xdr:colOff>182216</xdr:colOff>
      <xdr:row>28</xdr:row>
      <xdr:rowOff>62946</xdr:rowOff>
    </xdr:to>
    <xdr:graphicFrame macro="">
      <xdr:nvGraphicFramePr>
        <xdr:cNvPr id="7" name="Chart 6">
          <a:extLst>
            <a:ext uri="{FF2B5EF4-FFF2-40B4-BE49-F238E27FC236}">
              <a16:creationId xmlns:a16="http://schemas.microsoft.com/office/drawing/2014/main" id="{ACC17413-9DBC-A3C0-2313-EB16BB1BE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04.536016782411" createdVersion="8" refreshedVersion="8" recordCount="600" xr:uid="{4F63BB1F-8FDB-4CDF-82EF-2ED25A82137F}">
  <cacheSource type="worksheet">
    <worksheetSource ref="B1:J601" sheet="Medium_Level_Solved"/>
  </cacheSource>
  <cacheFields count="9">
    <cacheField name="Year" numFmtId="0">
      <sharedItems/>
    </cacheField>
    <cacheField name="Department" numFmtId="0">
      <sharedItems count="5">
        <s v="ME"/>
        <s v="CE"/>
        <s v="ECE"/>
        <s v="CSE"/>
        <s v="EE"/>
      </sharedItems>
    </cacheField>
    <cacheField name="Semester" numFmtId="0">
      <sharedItems containsSemiMixedTypes="0" containsString="0" containsNumber="1" containsInteger="1" minValue="1" maxValue="7"/>
    </cacheField>
    <cacheField name="Phone Number" numFmtId="0">
      <sharedItems containsSemiMixedTypes="0" containsString="0" containsNumber="1" containsInteger="1" minValue="6001798181" maxValue="9998783356"/>
    </cacheField>
    <cacheField name="Fest Amount Status" numFmtId="0">
      <sharedItems/>
    </cacheField>
    <cacheField name="Coupon Collected" numFmtId="0">
      <sharedItems/>
    </cacheField>
    <cacheField name="Food Preference" numFmtId="0">
      <sharedItems/>
    </cacheField>
    <cacheField name="Tech Fest Participation" numFmtId="0">
      <sharedItems count="6">
        <s v="Art"/>
        <s v="None"/>
        <s v="Science Exhibition"/>
        <s v="Gaming"/>
        <s v="Quiz"/>
        <s v="Coding"/>
      </sharedItems>
    </cacheField>
    <cacheField name="Cultural Fest Participation" numFmtId="0">
      <sharedItems count="3">
        <s v="Singing"/>
        <s v="Dance"/>
        <s v="None"/>
      </sharedItems>
    </cacheField>
  </cacheFields>
  <extLst>
    <ext xmlns:x14="http://schemas.microsoft.com/office/spreadsheetml/2009/9/main" uri="{725AE2AE-9491-48be-B2B4-4EB974FC3084}">
      <x14:pivotCacheDefinition pivotCacheId="7691628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04.841110069443" createdVersion="8" refreshedVersion="8" minRefreshableVersion="3" recordCount="600" xr:uid="{7E9CBEA7-8AEB-4344-8712-8F813274BA0C}">
  <cacheSource type="worksheet">
    <worksheetSource name="Table4"/>
  </cacheSource>
  <cacheFields count="10">
    <cacheField name="Name" numFmtId="0">
      <sharedItems/>
    </cacheField>
    <cacheField name="Year" numFmtId="0">
      <sharedItems count="4">
        <s v="2nd"/>
        <s v="3rd"/>
        <s v="4th"/>
        <s v="1st"/>
      </sharedItems>
    </cacheField>
    <cacheField name="Department" numFmtId="0">
      <sharedItems count="5">
        <s v="ME"/>
        <s v="CE"/>
        <s v="ECE"/>
        <s v="CSE"/>
        <s v="EE"/>
      </sharedItems>
    </cacheField>
    <cacheField name="Semester" numFmtId="0">
      <sharedItems containsSemiMixedTypes="0" containsString="0" containsNumber="1" containsInteger="1" minValue="1" maxValue="7"/>
    </cacheField>
    <cacheField name="Phone Number" numFmtId="0">
      <sharedItems containsSemiMixedTypes="0" containsString="0" containsNumber="1" containsInteger="1" minValue="6001798181" maxValue="9998783356"/>
    </cacheField>
    <cacheField name="Fest Amount Status" numFmtId="0">
      <sharedItems count="2">
        <s v="Due"/>
        <s v="Paid"/>
      </sharedItems>
    </cacheField>
    <cacheField name="Coupon Collected" numFmtId="0">
      <sharedItems/>
    </cacheField>
    <cacheField name="Food Preference" numFmtId="0">
      <sharedItems/>
    </cacheField>
    <cacheField name="Tech Fest Participation" numFmtId="0">
      <sharedItems count="6">
        <s v="Art"/>
        <s v="None"/>
        <s v="Science Exhibition"/>
        <s v="Gaming"/>
        <s v="Quiz"/>
        <s v="Coding"/>
      </sharedItems>
    </cacheField>
    <cacheField name="Cultural Fest Participation" numFmtId="0">
      <sharedItems/>
    </cacheField>
  </cacheFields>
  <extLst>
    <ext xmlns:x14="http://schemas.microsoft.com/office/spreadsheetml/2009/9/main" uri="{725AE2AE-9491-48be-B2B4-4EB974FC3084}">
      <x14:pivotCacheDefinition pivotCacheId="122904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2nd"/>
    <x v="0"/>
    <n v="3"/>
    <n v="9706233821"/>
    <s v="Due"/>
    <s v="Yes"/>
    <s v="Veg"/>
    <x v="0"/>
    <x v="0"/>
  </r>
  <r>
    <s v="2nd"/>
    <x v="0"/>
    <n v="3"/>
    <n v="6669525518"/>
    <s v="Paid"/>
    <s v="No"/>
    <s v="Non-Veg"/>
    <x v="1"/>
    <x v="1"/>
  </r>
  <r>
    <s v="3rd"/>
    <x v="1"/>
    <n v="5"/>
    <n v="6105851450"/>
    <s v="Due"/>
    <s v="Yes"/>
    <s v="Veg"/>
    <x v="2"/>
    <x v="2"/>
  </r>
  <r>
    <s v="2nd"/>
    <x v="1"/>
    <n v="3"/>
    <n v="6421418421"/>
    <s v="Paid"/>
    <s v="No"/>
    <s v="Non-Veg"/>
    <x v="3"/>
    <x v="0"/>
  </r>
  <r>
    <s v="3rd"/>
    <x v="0"/>
    <n v="5"/>
    <n v="6345416297"/>
    <s v="Paid"/>
    <s v="Yes"/>
    <s v="Non-Veg"/>
    <x v="1"/>
    <x v="2"/>
  </r>
  <r>
    <s v="4th"/>
    <x v="2"/>
    <n v="7"/>
    <n v="9825291736"/>
    <s v="Paid"/>
    <s v="No"/>
    <s v="Veg"/>
    <x v="1"/>
    <x v="1"/>
  </r>
  <r>
    <s v="1st"/>
    <x v="3"/>
    <n v="1"/>
    <n v="6196589644"/>
    <s v="Paid"/>
    <s v="Yes"/>
    <s v="Non-Veg"/>
    <x v="4"/>
    <x v="1"/>
  </r>
  <r>
    <s v="1st"/>
    <x v="0"/>
    <n v="1"/>
    <n v="8951489573"/>
    <s v="Due"/>
    <s v="Yes"/>
    <s v="Veg"/>
    <x v="3"/>
    <x v="0"/>
  </r>
  <r>
    <s v="1st"/>
    <x v="3"/>
    <n v="1"/>
    <n v="6429670666"/>
    <s v="Due"/>
    <s v="No"/>
    <s v="Veg"/>
    <x v="2"/>
    <x v="0"/>
  </r>
  <r>
    <s v="2nd"/>
    <x v="2"/>
    <n v="3"/>
    <n v="8887349101"/>
    <s v="Paid"/>
    <s v="Yes"/>
    <s v="Veg"/>
    <x v="5"/>
    <x v="2"/>
  </r>
  <r>
    <s v="4th"/>
    <x v="4"/>
    <n v="7"/>
    <n v="6298823994"/>
    <s v="Paid"/>
    <s v="No"/>
    <s v="Veg"/>
    <x v="4"/>
    <x v="2"/>
  </r>
  <r>
    <s v="3rd"/>
    <x v="4"/>
    <n v="5"/>
    <n v="8691092011"/>
    <s v="Paid"/>
    <s v="Yes"/>
    <s v="Non-Veg"/>
    <x v="0"/>
    <x v="0"/>
  </r>
  <r>
    <s v="4th"/>
    <x v="0"/>
    <n v="7"/>
    <n v="9663364571"/>
    <s v="Due"/>
    <s v="Yes"/>
    <s v="Non-Veg"/>
    <x v="2"/>
    <x v="2"/>
  </r>
  <r>
    <s v="2nd"/>
    <x v="3"/>
    <n v="3"/>
    <n v="9798746487"/>
    <s v="Paid"/>
    <s v="No"/>
    <s v="Non-Veg"/>
    <x v="4"/>
    <x v="2"/>
  </r>
  <r>
    <s v="4th"/>
    <x v="3"/>
    <n v="7"/>
    <n v="6799619179"/>
    <s v="Due"/>
    <s v="Yes"/>
    <s v="Non-Veg"/>
    <x v="0"/>
    <x v="1"/>
  </r>
  <r>
    <s v="1st"/>
    <x v="0"/>
    <n v="1"/>
    <n v="7611578541"/>
    <s v="Paid"/>
    <s v="Yes"/>
    <s v="Veg"/>
    <x v="5"/>
    <x v="2"/>
  </r>
  <r>
    <s v="4th"/>
    <x v="4"/>
    <n v="7"/>
    <n v="9406157743"/>
    <s v="Due"/>
    <s v="Yes"/>
    <s v="Veg"/>
    <x v="1"/>
    <x v="2"/>
  </r>
  <r>
    <s v="4th"/>
    <x v="0"/>
    <n v="7"/>
    <n v="8427455838"/>
    <s v="Paid"/>
    <s v="No"/>
    <s v="Veg"/>
    <x v="5"/>
    <x v="2"/>
  </r>
  <r>
    <s v="2nd"/>
    <x v="3"/>
    <n v="3"/>
    <n v="7545515893"/>
    <s v="Paid"/>
    <s v="No"/>
    <s v="Non-Veg"/>
    <x v="1"/>
    <x v="1"/>
  </r>
  <r>
    <s v="1st"/>
    <x v="4"/>
    <n v="1"/>
    <n v="8168011907"/>
    <s v="Due"/>
    <s v="Yes"/>
    <s v="Non-Veg"/>
    <x v="3"/>
    <x v="0"/>
  </r>
  <r>
    <s v="2nd"/>
    <x v="0"/>
    <n v="3"/>
    <n v="7831255140"/>
    <s v="Paid"/>
    <s v="Yes"/>
    <s v="Veg"/>
    <x v="1"/>
    <x v="2"/>
  </r>
  <r>
    <s v="4th"/>
    <x v="3"/>
    <n v="7"/>
    <n v="8613857136"/>
    <s v="Due"/>
    <s v="No"/>
    <s v="Veg"/>
    <x v="1"/>
    <x v="1"/>
  </r>
  <r>
    <s v="1st"/>
    <x v="0"/>
    <n v="1"/>
    <n v="6412964213"/>
    <s v="Due"/>
    <s v="No"/>
    <s v="Veg"/>
    <x v="5"/>
    <x v="2"/>
  </r>
  <r>
    <s v="4th"/>
    <x v="2"/>
    <n v="7"/>
    <n v="8066276413"/>
    <s v="Due"/>
    <s v="No"/>
    <s v="Veg"/>
    <x v="4"/>
    <x v="0"/>
  </r>
  <r>
    <s v="4th"/>
    <x v="2"/>
    <n v="7"/>
    <n v="6921494613"/>
    <s v="Due"/>
    <s v="Yes"/>
    <s v="Veg"/>
    <x v="5"/>
    <x v="1"/>
  </r>
  <r>
    <s v="3rd"/>
    <x v="2"/>
    <n v="5"/>
    <n v="9046695504"/>
    <s v="Due"/>
    <s v="No"/>
    <s v="Veg"/>
    <x v="1"/>
    <x v="0"/>
  </r>
  <r>
    <s v="3rd"/>
    <x v="0"/>
    <n v="5"/>
    <n v="7695328163"/>
    <s v="Paid"/>
    <s v="No"/>
    <s v="Veg"/>
    <x v="4"/>
    <x v="0"/>
  </r>
  <r>
    <s v="4th"/>
    <x v="2"/>
    <n v="7"/>
    <n v="7895155500"/>
    <s v="Paid"/>
    <s v="Yes"/>
    <s v="Veg"/>
    <x v="3"/>
    <x v="1"/>
  </r>
  <r>
    <s v="1st"/>
    <x v="1"/>
    <n v="1"/>
    <n v="7271880462"/>
    <s v="Due"/>
    <s v="Yes"/>
    <s v="Non-Veg"/>
    <x v="0"/>
    <x v="1"/>
  </r>
  <r>
    <s v="4th"/>
    <x v="3"/>
    <n v="7"/>
    <n v="6680106355"/>
    <s v="Due"/>
    <s v="Yes"/>
    <s v="Non-Veg"/>
    <x v="0"/>
    <x v="2"/>
  </r>
  <r>
    <s v="4th"/>
    <x v="3"/>
    <n v="7"/>
    <n v="7412875404"/>
    <s v="Paid"/>
    <s v="No"/>
    <s v="Non-Veg"/>
    <x v="2"/>
    <x v="2"/>
  </r>
  <r>
    <s v="2nd"/>
    <x v="3"/>
    <n v="3"/>
    <n v="7169453702"/>
    <s v="Paid"/>
    <s v="No"/>
    <s v="Veg"/>
    <x v="1"/>
    <x v="0"/>
  </r>
  <r>
    <s v="1st"/>
    <x v="0"/>
    <n v="1"/>
    <n v="9089863696"/>
    <s v="Due"/>
    <s v="No"/>
    <s v="Veg"/>
    <x v="3"/>
    <x v="2"/>
  </r>
  <r>
    <s v="1st"/>
    <x v="3"/>
    <n v="1"/>
    <n v="7961237762"/>
    <s v="Paid"/>
    <s v="No"/>
    <s v="Non-Veg"/>
    <x v="1"/>
    <x v="2"/>
  </r>
  <r>
    <s v="2nd"/>
    <x v="3"/>
    <n v="3"/>
    <n v="9248280618"/>
    <s v="Paid"/>
    <s v="Yes"/>
    <s v="Veg"/>
    <x v="1"/>
    <x v="1"/>
  </r>
  <r>
    <s v="1st"/>
    <x v="2"/>
    <n v="1"/>
    <n v="8834834922"/>
    <s v="Paid"/>
    <s v="No"/>
    <s v="Veg"/>
    <x v="1"/>
    <x v="2"/>
  </r>
  <r>
    <s v="2nd"/>
    <x v="2"/>
    <n v="3"/>
    <n v="7056970334"/>
    <s v="Due"/>
    <s v="No"/>
    <s v="Non-Veg"/>
    <x v="5"/>
    <x v="1"/>
  </r>
  <r>
    <s v="2nd"/>
    <x v="1"/>
    <n v="3"/>
    <n v="9024007668"/>
    <s v="Paid"/>
    <s v="No"/>
    <s v="Veg"/>
    <x v="5"/>
    <x v="0"/>
  </r>
  <r>
    <s v="1st"/>
    <x v="0"/>
    <n v="1"/>
    <n v="8716524803"/>
    <s v="Due"/>
    <s v="Yes"/>
    <s v="Non-Veg"/>
    <x v="1"/>
    <x v="0"/>
  </r>
  <r>
    <s v="4th"/>
    <x v="2"/>
    <n v="7"/>
    <n v="9152172923"/>
    <s v="Paid"/>
    <s v="Yes"/>
    <s v="Veg"/>
    <x v="1"/>
    <x v="1"/>
  </r>
  <r>
    <s v="4th"/>
    <x v="1"/>
    <n v="7"/>
    <n v="9629974880"/>
    <s v="Paid"/>
    <s v="No"/>
    <s v="Veg"/>
    <x v="4"/>
    <x v="1"/>
  </r>
  <r>
    <s v="1st"/>
    <x v="1"/>
    <n v="1"/>
    <n v="6510874876"/>
    <s v="Due"/>
    <s v="Yes"/>
    <s v="Veg"/>
    <x v="5"/>
    <x v="2"/>
  </r>
  <r>
    <s v="4th"/>
    <x v="3"/>
    <n v="7"/>
    <n v="7259224000"/>
    <s v="Due"/>
    <s v="Yes"/>
    <s v="Veg"/>
    <x v="3"/>
    <x v="2"/>
  </r>
  <r>
    <s v="2nd"/>
    <x v="0"/>
    <n v="3"/>
    <n v="8048856634"/>
    <s v="Due"/>
    <s v="Yes"/>
    <s v="Non-Veg"/>
    <x v="5"/>
    <x v="0"/>
  </r>
  <r>
    <s v="2nd"/>
    <x v="0"/>
    <n v="3"/>
    <n v="9121272322"/>
    <s v="Paid"/>
    <s v="No"/>
    <s v="Non-Veg"/>
    <x v="4"/>
    <x v="2"/>
  </r>
  <r>
    <s v="1st"/>
    <x v="0"/>
    <n v="1"/>
    <n v="6705996210"/>
    <s v="Paid"/>
    <s v="No"/>
    <s v="Non-Veg"/>
    <x v="4"/>
    <x v="2"/>
  </r>
  <r>
    <s v="4th"/>
    <x v="2"/>
    <n v="7"/>
    <n v="6193128782"/>
    <s v="Due"/>
    <s v="No"/>
    <s v="Non-Veg"/>
    <x v="1"/>
    <x v="2"/>
  </r>
  <r>
    <s v="1st"/>
    <x v="0"/>
    <n v="1"/>
    <n v="7416527689"/>
    <s v="Due"/>
    <s v="Yes"/>
    <s v="Veg"/>
    <x v="4"/>
    <x v="1"/>
  </r>
  <r>
    <s v="1st"/>
    <x v="4"/>
    <n v="1"/>
    <n v="9465256008"/>
    <s v="Due"/>
    <s v="No"/>
    <s v="Veg"/>
    <x v="0"/>
    <x v="0"/>
  </r>
  <r>
    <s v="4th"/>
    <x v="4"/>
    <n v="7"/>
    <n v="9487563540"/>
    <s v="Paid"/>
    <s v="Yes"/>
    <s v="Non-Veg"/>
    <x v="3"/>
    <x v="0"/>
  </r>
  <r>
    <s v="3rd"/>
    <x v="2"/>
    <n v="5"/>
    <n v="6378998397"/>
    <s v="Due"/>
    <s v="Yes"/>
    <s v="Veg"/>
    <x v="4"/>
    <x v="0"/>
  </r>
  <r>
    <s v="2nd"/>
    <x v="0"/>
    <n v="3"/>
    <n v="8147056642"/>
    <s v="Due"/>
    <s v="No"/>
    <s v="Veg"/>
    <x v="0"/>
    <x v="1"/>
  </r>
  <r>
    <s v="4th"/>
    <x v="1"/>
    <n v="7"/>
    <n v="6729820575"/>
    <s v="Paid"/>
    <s v="Yes"/>
    <s v="Non-Veg"/>
    <x v="4"/>
    <x v="1"/>
  </r>
  <r>
    <s v="1st"/>
    <x v="3"/>
    <n v="1"/>
    <n v="8114258594"/>
    <s v="Due"/>
    <s v="No"/>
    <s v="Veg"/>
    <x v="4"/>
    <x v="1"/>
  </r>
  <r>
    <s v="4th"/>
    <x v="4"/>
    <n v="7"/>
    <n v="7473489931"/>
    <s v="Due"/>
    <s v="Yes"/>
    <s v="Veg"/>
    <x v="1"/>
    <x v="2"/>
  </r>
  <r>
    <s v="2nd"/>
    <x v="0"/>
    <n v="3"/>
    <n v="7784045242"/>
    <s v="Due"/>
    <s v="No"/>
    <s v="Veg"/>
    <x v="2"/>
    <x v="0"/>
  </r>
  <r>
    <s v="3rd"/>
    <x v="3"/>
    <n v="5"/>
    <n v="9896116034"/>
    <s v="Due"/>
    <s v="No"/>
    <s v="Veg"/>
    <x v="2"/>
    <x v="2"/>
  </r>
  <r>
    <s v="2nd"/>
    <x v="2"/>
    <n v="3"/>
    <n v="8371487617"/>
    <s v="Paid"/>
    <s v="No"/>
    <s v="Non-Veg"/>
    <x v="4"/>
    <x v="2"/>
  </r>
  <r>
    <s v="1st"/>
    <x v="4"/>
    <n v="1"/>
    <n v="9944199582"/>
    <s v="Paid"/>
    <s v="No"/>
    <s v="Veg"/>
    <x v="4"/>
    <x v="1"/>
  </r>
  <r>
    <s v="3rd"/>
    <x v="4"/>
    <n v="5"/>
    <n v="7198699361"/>
    <s v="Due"/>
    <s v="Yes"/>
    <s v="Veg"/>
    <x v="1"/>
    <x v="0"/>
  </r>
  <r>
    <s v="1st"/>
    <x v="4"/>
    <n v="1"/>
    <n v="9510854464"/>
    <s v="Due"/>
    <s v="Yes"/>
    <s v="Non-Veg"/>
    <x v="2"/>
    <x v="0"/>
  </r>
  <r>
    <s v="1st"/>
    <x v="3"/>
    <n v="1"/>
    <n v="8756328718"/>
    <s v="Due"/>
    <s v="No"/>
    <s v="Veg"/>
    <x v="0"/>
    <x v="0"/>
  </r>
  <r>
    <s v="2nd"/>
    <x v="3"/>
    <n v="3"/>
    <n v="8111844125"/>
    <s v="Due"/>
    <s v="Yes"/>
    <s v="Veg"/>
    <x v="5"/>
    <x v="0"/>
  </r>
  <r>
    <s v="2nd"/>
    <x v="1"/>
    <n v="3"/>
    <n v="9383367846"/>
    <s v="Paid"/>
    <s v="Yes"/>
    <s v="Veg"/>
    <x v="1"/>
    <x v="1"/>
  </r>
  <r>
    <s v="2nd"/>
    <x v="2"/>
    <n v="3"/>
    <n v="6676790613"/>
    <s v="Paid"/>
    <s v="No"/>
    <s v="Veg"/>
    <x v="1"/>
    <x v="2"/>
  </r>
  <r>
    <s v="2nd"/>
    <x v="0"/>
    <n v="3"/>
    <n v="6503352129"/>
    <s v="Due"/>
    <s v="Yes"/>
    <s v="Non-Veg"/>
    <x v="2"/>
    <x v="0"/>
  </r>
  <r>
    <s v="1st"/>
    <x v="1"/>
    <n v="1"/>
    <n v="6812154144"/>
    <s v="Paid"/>
    <s v="No"/>
    <s v="Veg"/>
    <x v="1"/>
    <x v="0"/>
  </r>
  <r>
    <s v="2nd"/>
    <x v="2"/>
    <n v="3"/>
    <n v="8905105497"/>
    <s v="Paid"/>
    <s v="Yes"/>
    <s v="Non-Veg"/>
    <x v="2"/>
    <x v="0"/>
  </r>
  <r>
    <s v="2nd"/>
    <x v="0"/>
    <n v="3"/>
    <n v="8799457176"/>
    <s v="Due"/>
    <s v="Yes"/>
    <s v="Non-Veg"/>
    <x v="1"/>
    <x v="0"/>
  </r>
  <r>
    <s v="2nd"/>
    <x v="4"/>
    <n v="3"/>
    <n v="6353238458"/>
    <s v="Due"/>
    <s v="No"/>
    <s v="Veg"/>
    <x v="1"/>
    <x v="1"/>
  </r>
  <r>
    <s v="3rd"/>
    <x v="0"/>
    <n v="5"/>
    <n v="8818744554"/>
    <s v="Paid"/>
    <s v="Yes"/>
    <s v="Non-Veg"/>
    <x v="5"/>
    <x v="1"/>
  </r>
  <r>
    <s v="1st"/>
    <x v="4"/>
    <n v="1"/>
    <n v="9424927040"/>
    <s v="Paid"/>
    <s v="No"/>
    <s v="Veg"/>
    <x v="1"/>
    <x v="2"/>
  </r>
  <r>
    <s v="4th"/>
    <x v="4"/>
    <n v="7"/>
    <n v="7598011615"/>
    <s v="Due"/>
    <s v="No"/>
    <s v="Veg"/>
    <x v="3"/>
    <x v="2"/>
  </r>
  <r>
    <s v="2nd"/>
    <x v="4"/>
    <n v="3"/>
    <n v="9576782874"/>
    <s v="Due"/>
    <s v="Yes"/>
    <s v="Non-Veg"/>
    <x v="5"/>
    <x v="1"/>
  </r>
  <r>
    <s v="3rd"/>
    <x v="3"/>
    <n v="5"/>
    <n v="9355691350"/>
    <s v="Due"/>
    <s v="Yes"/>
    <s v="Non-Veg"/>
    <x v="3"/>
    <x v="2"/>
  </r>
  <r>
    <s v="4th"/>
    <x v="3"/>
    <n v="7"/>
    <n v="6568918318"/>
    <s v="Paid"/>
    <s v="Yes"/>
    <s v="Veg"/>
    <x v="5"/>
    <x v="1"/>
  </r>
  <r>
    <s v="4th"/>
    <x v="1"/>
    <n v="7"/>
    <n v="8534088133"/>
    <s v="Paid"/>
    <s v="No"/>
    <s v="Non-Veg"/>
    <x v="4"/>
    <x v="2"/>
  </r>
  <r>
    <s v="3rd"/>
    <x v="4"/>
    <n v="5"/>
    <n v="9488762609"/>
    <s v="Paid"/>
    <s v="No"/>
    <s v="Veg"/>
    <x v="3"/>
    <x v="1"/>
  </r>
  <r>
    <s v="3rd"/>
    <x v="1"/>
    <n v="5"/>
    <n v="6783558278"/>
    <s v="Paid"/>
    <s v="No"/>
    <s v="Non-Veg"/>
    <x v="1"/>
    <x v="1"/>
  </r>
  <r>
    <s v="4th"/>
    <x v="4"/>
    <n v="7"/>
    <n v="7114639370"/>
    <s v="Paid"/>
    <s v="No"/>
    <s v="Veg"/>
    <x v="0"/>
    <x v="2"/>
  </r>
  <r>
    <s v="4th"/>
    <x v="4"/>
    <n v="7"/>
    <n v="6590416131"/>
    <s v="Paid"/>
    <s v="No"/>
    <s v="Non-Veg"/>
    <x v="1"/>
    <x v="2"/>
  </r>
  <r>
    <s v="1st"/>
    <x v="1"/>
    <n v="1"/>
    <n v="8466558590"/>
    <s v="Due"/>
    <s v="Yes"/>
    <s v="Veg"/>
    <x v="4"/>
    <x v="0"/>
  </r>
  <r>
    <s v="1st"/>
    <x v="4"/>
    <n v="1"/>
    <n v="9661950055"/>
    <s v="Paid"/>
    <s v="No"/>
    <s v="Veg"/>
    <x v="1"/>
    <x v="2"/>
  </r>
  <r>
    <s v="3rd"/>
    <x v="2"/>
    <n v="5"/>
    <n v="7224290632"/>
    <s v="Due"/>
    <s v="Yes"/>
    <s v="Non-Veg"/>
    <x v="1"/>
    <x v="2"/>
  </r>
  <r>
    <s v="4th"/>
    <x v="4"/>
    <n v="7"/>
    <n v="9402112728"/>
    <s v="Paid"/>
    <s v="No"/>
    <s v="Non-Veg"/>
    <x v="2"/>
    <x v="2"/>
  </r>
  <r>
    <s v="3rd"/>
    <x v="1"/>
    <n v="5"/>
    <n v="8957856655"/>
    <s v="Paid"/>
    <s v="Yes"/>
    <s v="Non-Veg"/>
    <x v="2"/>
    <x v="1"/>
  </r>
  <r>
    <s v="1st"/>
    <x v="0"/>
    <n v="1"/>
    <n v="9703547982"/>
    <s v="Paid"/>
    <s v="No"/>
    <s v="Non-Veg"/>
    <x v="3"/>
    <x v="2"/>
  </r>
  <r>
    <s v="3rd"/>
    <x v="0"/>
    <n v="5"/>
    <n v="6308037387"/>
    <s v="Due"/>
    <s v="Yes"/>
    <s v="Veg"/>
    <x v="5"/>
    <x v="0"/>
  </r>
  <r>
    <s v="1st"/>
    <x v="4"/>
    <n v="1"/>
    <n v="8880845684"/>
    <s v="Paid"/>
    <s v="Yes"/>
    <s v="Veg"/>
    <x v="1"/>
    <x v="0"/>
  </r>
  <r>
    <s v="3rd"/>
    <x v="1"/>
    <n v="5"/>
    <n v="9623694323"/>
    <s v="Due"/>
    <s v="Yes"/>
    <s v="Veg"/>
    <x v="1"/>
    <x v="2"/>
  </r>
  <r>
    <s v="1st"/>
    <x v="3"/>
    <n v="1"/>
    <n v="7932129220"/>
    <s v="Paid"/>
    <s v="No"/>
    <s v="Veg"/>
    <x v="1"/>
    <x v="2"/>
  </r>
  <r>
    <s v="1st"/>
    <x v="4"/>
    <n v="1"/>
    <n v="6715218212"/>
    <s v="Due"/>
    <s v="Yes"/>
    <s v="Veg"/>
    <x v="0"/>
    <x v="0"/>
  </r>
  <r>
    <s v="2nd"/>
    <x v="0"/>
    <n v="3"/>
    <n v="9212516858"/>
    <s v="Paid"/>
    <s v="No"/>
    <s v="Veg"/>
    <x v="2"/>
    <x v="2"/>
  </r>
  <r>
    <s v="3rd"/>
    <x v="3"/>
    <n v="5"/>
    <n v="6682518690"/>
    <s v="Due"/>
    <s v="No"/>
    <s v="Veg"/>
    <x v="4"/>
    <x v="2"/>
  </r>
  <r>
    <s v="1st"/>
    <x v="0"/>
    <n v="1"/>
    <n v="6901412110"/>
    <s v="Due"/>
    <s v="No"/>
    <s v="Non-Veg"/>
    <x v="4"/>
    <x v="2"/>
  </r>
  <r>
    <s v="1st"/>
    <x v="2"/>
    <n v="1"/>
    <n v="7687706194"/>
    <s v="Paid"/>
    <s v="Yes"/>
    <s v="Veg"/>
    <x v="3"/>
    <x v="1"/>
  </r>
  <r>
    <s v="2nd"/>
    <x v="4"/>
    <n v="3"/>
    <n v="8276143334"/>
    <s v="Paid"/>
    <s v="No"/>
    <s v="Non-Veg"/>
    <x v="4"/>
    <x v="0"/>
  </r>
  <r>
    <s v="3rd"/>
    <x v="3"/>
    <n v="5"/>
    <n v="8143011853"/>
    <s v="Due"/>
    <s v="No"/>
    <s v="Veg"/>
    <x v="1"/>
    <x v="2"/>
  </r>
  <r>
    <s v="2nd"/>
    <x v="2"/>
    <n v="3"/>
    <n v="9532838511"/>
    <s v="Due"/>
    <s v="No"/>
    <s v="Non-Veg"/>
    <x v="5"/>
    <x v="0"/>
  </r>
  <r>
    <s v="2nd"/>
    <x v="4"/>
    <n v="3"/>
    <n v="6887653316"/>
    <s v="Paid"/>
    <s v="No"/>
    <s v="Veg"/>
    <x v="2"/>
    <x v="0"/>
  </r>
  <r>
    <s v="2nd"/>
    <x v="1"/>
    <n v="3"/>
    <n v="7361517482"/>
    <s v="Paid"/>
    <s v="Yes"/>
    <s v="Non-Veg"/>
    <x v="1"/>
    <x v="0"/>
  </r>
  <r>
    <s v="1st"/>
    <x v="0"/>
    <n v="1"/>
    <n v="8498773128"/>
    <s v="Paid"/>
    <s v="Yes"/>
    <s v="Non-Veg"/>
    <x v="1"/>
    <x v="0"/>
  </r>
  <r>
    <s v="4th"/>
    <x v="4"/>
    <n v="7"/>
    <n v="6859661098"/>
    <s v="Due"/>
    <s v="No"/>
    <s v="Non-Veg"/>
    <x v="3"/>
    <x v="1"/>
  </r>
  <r>
    <s v="3rd"/>
    <x v="3"/>
    <n v="5"/>
    <n v="9734558695"/>
    <s v="Paid"/>
    <s v="Yes"/>
    <s v="Non-Veg"/>
    <x v="3"/>
    <x v="2"/>
  </r>
  <r>
    <s v="2nd"/>
    <x v="1"/>
    <n v="3"/>
    <n v="6157105091"/>
    <s v="Paid"/>
    <s v="Yes"/>
    <s v="Non-Veg"/>
    <x v="1"/>
    <x v="0"/>
  </r>
  <r>
    <s v="4th"/>
    <x v="4"/>
    <n v="7"/>
    <n v="9448379542"/>
    <s v="Due"/>
    <s v="No"/>
    <s v="Veg"/>
    <x v="2"/>
    <x v="2"/>
  </r>
  <r>
    <s v="4th"/>
    <x v="3"/>
    <n v="7"/>
    <n v="6178349156"/>
    <s v="Paid"/>
    <s v="Yes"/>
    <s v="Veg"/>
    <x v="3"/>
    <x v="0"/>
  </r>
  <r>
    <s v="2nd"/>
    <x v="2"/>
    <n v="3"/>
    <n v="8850593444"/>
    <s v="Due"/>
    <s v="No"/>
    <s v="Veg"/>
    <x v="1"/>
    <x v="2"/>
  </r>
  <r>
    <s v="1st"/>
    <x v="4"/>
    <n v="1"/>
    <n v="7540656138"/>
    <s v="Paid"/>
    <s v="No"/>
    <s v="Non-Veg"/>
    <x v="1"/>
    <x v="1"/>
  </r>
  <r>
    <s v="1st"/>
    <x v="3"/>
    <n v="1"/>
    <n v="7415594741"/>
    <s v="Due"/>
    <s v="No"/>
    <s v="Non-Veg"/>
    <x v="3"/>
    <x v="2"/>
  </r>
  <r>
    <s v="1st"/>
    <x v="0"/>
    <n v="1"/>
    <n v="9145866386"/>
    <s v="Paid"/>
    <s v="Yes"/>
    <s v="Non-Veg"/>
    <x v="3"/>
    <x v="2"/>
  </r>
  <r>
    <s v="2nd"/>
    <x v="3"/>
    <n v="3"/>
    <n v="7125620888"/>
    <s v="Paid"/>
    <s v="Yes"/>
    <s v="Non-Veg"/>
    <x v="3"/>
    <x v="1"/>
  </r>
  <r>
    <s v="4th"/>
    <x v="3"/>
    <n v="7"/>
    <n v="8454879720"/>
    <s v="Due"/>
    <s v="Yes"/>
    <s v="Veg"/>
    <x v="5"/>
    <x v="1"/>
  </r>
  <r>
    <s v="2nd"/>
    <x v="3"/>
    <n v="3"/>
    <n v="6223507926"/>
    <s v="Paid"/>
    <s v="Yes"/>
    <s v="Veg"/>
    <x v="5"/>
    <x v="2"/>
  </r>
  <r>
    <s v="2nd"/>
    <x v="2"/>
    <n v="3"/>
    <n v="7276354356"/>
    <s v="Due"/>
    <s v="Yes"/>
    <s v="Veg"/>
    <x v="5"/>
    <x v="2"/>
  </r>
  <r>
    <s v="2nd"/>
    <x v="3"/>
    <n v="3"/>
    <n v="6250787339"/>
    <s v="Paid"/>
    <s v="Yes"/>
    <s v="Veg"/>
    <x v="2"/>
    <x v="1"/>
  </r>
  <r>
    <s v="3rd"/>
    <x v="0"/>
    <n v="5"/>
    <n v="9353099314"/>
    <s v="Paid"/>
    <s v="No"/>
    <s v="Veg"/>
    <x v="2"/>
    <x v="0"/>
  </r>
  <r>
    <s v="1st"/>
    <x v="2"/>
    <n v="1"/>
    <n v="9328278943"/>
    <s v="Paid"/>
    <s v="No"/>
    <s v="Non-Veg"/>
    <x v="2"/>
    <x v="1"/>
  </r>
  <r>
    <s v="3rd"/>
    <x v="1"/>
    <n v="5"/>
    <n v="8859283949"/>
    <s v="Paid"/>
    <s v="No"/>
    <s v="Veg"/>
    <x v="4"/>
    <x v="2"/>
  </r>
  <r>
    <s v="2nd"/>
    <x v="0"/>
    <n v="3"/>
    <n v="7025327456"/>
    <s v="Due"/>
    <s v="No"/>
    <s v="Veg"/>
    <x v="0"/>
    <x v="2"/>
  </r>
  <r>
    <s v="3rd"/>
    <x v="1"/>
    <n v="5"/>
    <n v="8908130483"/>
    <s v="Due"/>
    <s v="Yes"/>
    <s v="Veg"/>
    <x v="5"/>
    <x v="0"/>
  </r>
  <r>
    <s v="2nd"/>
    <x v="0"/>
    <n v="3"/>
    <n v="9647080659"/>
    <s v="Paid"/>
    <s v="Yes"/>
    <s v="Non-Veg"/>
    <x v="1"/>
    <x v="1"/>
  </r>
  <r>
    <s v="2nd"/>
    <x v="4"/>
    <n v="3"/>
    <n v="7637570444"/>
    <s v="Paid"/>
    <s v="Yes"/>
    <s v="Non-Veg"/>
    <x v="5"/>
    <x v="2"/>
  </r>
  <r>
    <s v="2nd"/>
    <x v="4"/>
    <n v="3"/>
    <n v="8293855360"/>
    <s v="Paid"/>
    <s v="No"/>
    <s v="Veg"/>
    <x v="1"/>
    <x v="2"/>
  </r>
  <r>
    <s v="2nd"/>
    <x v="2"/>
    <n v="3"/>
    <n v="8653670336"/>
    <s v="Paid"/>
    <s v="No"/>
    <s v="Veg"/>
    <x v="5"/>
    <x v="0"/>
  </r>
  <r>
    <s v="4th"/>
    <x v="1"/>
    <n v="7"/>
    <n v="6384894424"/>
    <s v="Due"/>
    <s v="No"/>
    <s v="Veg"/>
    <x v="4"/>
    <x v="0"/>
  </r>
  <r>
    <s v="3rd"/>
    <x v="0"/>
    <n v="5"/>
    <n v="8451262589"/>
    <s v="Paid"/>
    <s v="Yes"/>
    <s v="Veg"/>
    <x v="5"/>
    <x v="0"/>
  </r>
  <r>
    <s v="4th"/>
    <x v="4"/>
    <n v="7"/>
    <n v="9047283200"/>
    <s v="Due"/>
    <s v="No"/>
    <s v="Veg"/>
    <x v="5"/>
    <x v="0"/>
  </r>
  <r>
    <s v="3rd"/>
    <x v="0"/>
    <n v="5"/>
    <n v="7496307145"/>
    <s v="Due"/>
    <s v="Yes"/>
    <s v="Veg"/>
    <x v="4"/>
    <x v="1"/>
  </r>
  <r>
    <s v="1st"/>
    <x v="2"/>
    <n v="1"/>
    <n v="6238874101"/>
    <s v="Paid"/>
    <s v="Yes"/>
    <s v="Veg"/>
    <x v="4"/>
    <x v="1"/>
  </r>
  <r>
    <s v="1st"/>
    <x v="4"/>
    <n v="1"/>
    <n v="9755659587"/>
    <s v="Paid"/>
    <s v="Yes"/>
    <s v="Non-Veg"/>
    <x v="1"/>
    <x v="0"/>
  </r>
  <r>
    <s v="1st"/>
    <x v="0"/>
    <n v="1"/>
    <n v="7600829031"/>
    <s v="Paid"/>
    <s v="Yes"/>
    <s v="Veg"/>
    <x v="4"/>
    <x v="1"/>
  </r>
  <r>
    <s v="3rd"/>
    <x v="0"/>
    <n v="5"/>
    <n v="7811790353"/>
    <s v="Paid"/>
    <s v="No"/>
    <s v="Non-Veg"/>
    <x v="2"/>
    <x v="2"/>
  </r>
  <r>
    <s v="3rd"/>
    <x v="0"/>
    <n v="5"/>
    <n v="6374361460"/>
    <s v="Due"/>
    <s v="No"/>
    <s v="Non-Veg"/>
    <x v="1"/>
    <x v="2"/>
  </r>
  <r>
    <s v="3rd"/>
    <x v="2"/>
    <n v="5"/>
    <n v="6446944373"/>
    <s v="Paid"/>
    <s v="No"/>
    <s v="Veg"/>
    <x v="4"/>
    <x v="2"/>
  </r>
  <r>
    <s v="3rd"/>
    <x v="0"/>
    <n v="5"/>
    <n v="6744565986"/>
    <s v="Due"/>
    <s v="Yes"/>
    <s v="Non-Veg"/>
    <x v="5"/>
    <x v="0"/>
  </r>
  <r>
    <s v="1st"/>
    <x v="2"/>
    <n v="1"/>
    <n v="8103405826"/>
    <s v="Due"/>
    <s v="No"/>
    <s v="Veg"/>
    <x v="2"/>
    <x v="2"/>
  </r>
  <r>
    <s v="2nd"/>
    <x v="0"/>
    <n v="3"/>
    <n v="6960751126"/>
    <s v="Due"/>
    <s v="Yes"/>
    <s v="Non-Veg"/>
    <x v="3"/>
    <x v="0"/>
  </r>
  <r>
    <s v="4th"/>
    <x v="1"/>
    <n v="7"/>
    <n v="7907620877"/>
    <s v="Paid"/>
    <s v="No"/>
    <s v="Veg"/>
    <x v="5"/>
    <x v="2"/>
  </r>
  <r>
    <s v="1st"/>
    <x v="3"/>
    <n v="1"/>
    <n v="9565776106"/>
    <s v="Paid"/>
    <s v="No"/>
    <s v="Veg"/>
    <x v="2"/>
    <x v="0"/>
  </r>
  <r>
    <s v="2nd"/>
    <x v="3"/>
    <n v="3"/>
    <n v="8764974317"/>
    <s v="Paid"/>
    <s v="No"/>
    <s v="Non-Veg"/>
    <x v="2"/>
    <x v="2"/>
  </r>
  <r>
    <s v="2nd"/>
    <x v="3"/>
    <n v="3"/>
    <n v="8614255190"/>
    <s v="Due"/>
    <s v="No"/>
    <s v="Veg"/>
    <x v="5"/>
    <x v="0"/>
  </r>
  <r>
    <s v="2nd"/>
    <x v="2"/>
    <n v="3"/>
    <n v="7075735790"/>
    <s v="Due"/>
    <s v="No"/>
    <s v="Non-Veg"/>
    <x v="2"/>
    <x v="1"/>
  </r>
  <r>
    <s v="1st"/>
    <x v="0"/>
    <n v="1"/>
    <n v="6841136105"/>
    <s v="Due"/>
    <s v="No"/>
    <s v="Veg"/>
    <x v="1"/>
    <x v="0"/>
  </r>
  <r>
    <s v="3rd"/>
    <x v="0"/>
    <n v="5"/>
    <n v="9879224090"/>
    <s v="Due"/>
    <s v="Yes"/>
    <s v="Veg"/>
    <x v="5"/>
    <x v="2"/>
  </r>
  <r>
    <s v="4th"/>
    <x v="4"/>
    <n v="7"/>
    <n v="7871019475"/>
    <s v="Paid"/>
    <s v="No"/>
    <s v="Veg"/>
    <x v="3"/>
    <x v="2"/>
  </r>
  <r>
    <s v="3rd"/>
    <x v="0"/>
    <n v="5"/>
    <n v="9668771037"/>
    <s v="Due"/>
    <s v="Yes"/>
    <s v="Non-Veg"/>
    <x v="5"/>
    <x v="0"/>
  </r>
  <r>
    <s v="3rd"/>
    <x v="0"/>
    <n v="5"/>
    <n v="7203514151"/>
    <s v="Due"/>
    <s v="No"/>
    <s v="Veg"/>
    <x v="5"/>
    <x v="2"/>
  </r>
  <r>
    <s v="2nd"/>
    <x v="0"/>
    <n v="3"/>
    <n v="9164811063"/>
    <s v="Paid"/>
    <s v="No"/>
    <s v="Veg"/>
    <x v="1"/>
    <x v="2"/>
  </r>
  <r>
    <s v="4th"/>
    <x v="3"/>
    <n v="7"/>
    <n v="8671471316"/>
    <s v="Due"/>
    <s v="No"/>
    <s v="Veg"/>
    <x v="1"/>
    <x v="2"/>
  </r>
  <r>
    <s v="2nd"/>
    <x v="1"/>
    <n v="3"/>
    <n v="7270688568"/>
    <s v="Due"/>
    <s v="Yes"/>
    <s v="Non-Veg"/>
    <x v="0"/>
    <x v="2"/>
  </r>
  <r>
    <s v="1st"/>
    <x v="3"/>
    <n v="1"/>
    <n v="7068670117"/>
    <s v="Due"/>
    <s v="No"/>
    <s v="Veg"/>
    <x v="1"/>
    <x v="0"/>
  </r>
  <r>
    <s v="2nd"/>
    <x v="4"/>
    <n v="3"/>
    <n v="9700700797"/>
    <s v="Due"/>
    <s v="Yes"/>
    <s v="Non-Veg"/>
    <x v="5"/>
    <x v="0"/>
  </r>
  <r>
    <s v="1st"/>
    <x v="0"/>
    <n v="1"/>
    <n v="7314717194"/>
    <s v="Paid"/>
    <s v="No"/>
    <s v="Non-Veg"/>
    <x v="3"/>
    <x v="2"/>
  </r>
  <r>
    <s v="2nd"/>
    <x v="1"/>
    <n v="3"/>
    <n v="7334286231"/>
    <s v="Paid"/>
    <s v="No"/>
    <s v="Veg"/>
    <x v="1"/>
    <x v="2"/>
  </r>
  <r>
    <s v="2nd"/>
    <x v="1"/>
    <n v="3"/>
    <n v="6591128066"/>
    <s v="Due"/>
    <s v="No"/>
    <s v="Veg"/>
    <x v="2"/>
    <x v="2"/>
  </r>
  <r>
    <s v="1st"/>
    <x v="4"/>
    <n v="1"/>
    <n v="6063070983"/>
    <s v="Paid"/>
    <s v="Yes"/>
    <s v="Veg"/>
    <x v="2"/>
    <x v="2"/>
  </r>
  <r>
    <s v="2nd"/>
    <x v="3"/>
    <n v="3"/>
    <n v="9407431266"/>
    <s v="Paid"/>
    <s v="No"/>
    <s v="Veg"/>
    <x v="3"/>
    <x v="1"/>
  </r>
  <r>
    <s v="3rd"/>
    <x v="3"/>
    <n v="5"/>
    <n v="8273697068"/>
    <s v="Due"/>
    <s v="Yes"/>
    <s v="Non-Veg"/>
    <x v="3"/>
    <x v="1"/>
  </r>
  <r>
    <s v="2nd"/>
    <x v="3"/>
    <n v="3"/>
    <n v="9879545883"/>
    <s v="Paid"/>
    <s v="No"/>
    <s v="Non-Veg"/>
    <x v="1"/>
    <x v="0"/>
  </r>
  <r>
    <s v="1st"/>
    <x v="2"/>
    <n v="1"/>
    <n v="6954326748"/>
    <s v="Paid"/>
    <s v="No"/>
    <s v="Veg"/>
    <x v="3"/>
    <x v="1"/>
  </r>
  <r>
    <s v="3rd"/>
    <x v="3"/>
    <n v="5"/>
    <n v="8606376171"/>
    <s v="Paid"/>
    <s v="No"/>
    <s v="Veg"/>
    <x v="3"/>
    <x v="1"/>
  </r>
  <r>
    <s v="2nd"/>
    <x v="2"/>
    <n v="3"/>
    <n v="6658324986"/>
    <s v="Due"/>
    <s v="No"/>
    <s v="Non-Veg"/>
    <x v="1"/>
    <x v="0"/>
  </r>
  <r>
    <s v="2nd"/>
    <x v="0"/>
    <n v="3"/>
    <n v="6975936691"/>
    <s v="Due"/>
    <s v="Yes"/>
    <s v="Veg"/>
    <x v="3"/>
    <x v="0"/>
  </r>
  <r>
    <s v="3rd"/>
    <x v="4"/>
    <n v="5"/>
    <n v="7292782057"/>
    <s v="Paid"/>
    <s v="Yes"/>
    <s v="Non-Veg"/>
    <x v="2"/>
    <x v="1"/>
  </r>
  <r>
    <s v="2nd"/>
    <x v="0"/>
    <n v="3"/>
    <n v="9639956501"/>
    <s v="Paid"/>
    <s v="No"/>
    <s v="Veg"/>
    <x v="1"/>
    <x v="1"/>
  </r>
  <r>
    <s v="1st"/>
    <x v="2"/>
    <n v="1"/>
    <n v="7892758248"/>
    <s v="Due"/>
    <s v="Yes"/>
    <s v="Veg"/>
    <x v="0"/>
    <x v="2"/>
  </r>
  <r>
    <s v="1st"/>
    <x v="3"/>
    <n v="1"/>
    <n v="9161364260"/>
    <s v="Due"/>
    <s v="Yes"/>
    <s v="Non-Veg"/>
    <x v="1"/>
    <x v="2"/>
  </r>
  <r>
    <s v="3rd"/>
    <x v="1"/>
    <n v="5"/>
    <n v="8247327953"/>
    <s v="Due"/>
    <s v="No"/>
    <s v="Veg"/>
    <x v="1"/>
    <x v="0"/>
  </r>
  <r>
    <s v="2nd"/>
    <x v="4"/>
    <n v="3"/>
    <n v="6794903931"/>
    <s v="Paid"/>
    <s v="Yes"/>
    <s v="Veg"/>
    <x v="1"/>
    <x v="2"/>
  </r>
  <r>
    <s v="2nd"/>
    <x v="2"/>
    <n v="3"/>
    <n v="9822401303"/>
    <s v="Due"/>
    <s v="Yes"/>
    <s v="Non-Veg"/>
    <x v="4"/>
    <x v="1"/>
  </r>
  <r>
    <s v="2nd"/>
    <x v="2"/>
    <n v="3"/>
    <n v="9508773883"/>
    <s v="Paid"/>
    <s v="No"/>
    <s v="Veg"/>
    <x v="2"/>
    <x v="2"/>
  </r>
  <r>
    <s v="4th"/>
    <x v="0"/>
    <n v="7"/>
    <n v="7683981022"/>
    <s v="Due"/>
    <s v="No"/>
    <s v="Non-Veg"/>
    <x v="4"/>
    <x v="1"/>
  </r>
  <r>
    <s v="2nd"/>
    <x v="2"/>
    <n v="3"/>
    <n v="9998783356"/>
    <s v="Paid"/>
    <s v="Yes"/>
    <s v="Veg"/>
    <x v="1"/>
    <x v="0"/>
  </r>
  <r>
    <s v="1st"/>
    <x v="1"/>
    <n v="1"/>
    <n v="8162140057"/>
    <s v="Due"/>
    <s v="No"/>
    <s v="Non-Veg"/>
    <x v="1"/>
    <x v="1"/>
  </r>
  <r>
    <s v="4th"/>
    <x v="0"/>
    <n v="7"/>
    <n v="8420516381"/>
    <s v="Paid"/>
    <s v="No"/>
    <s v="Non-Veg"/>
    <x v="5"/>
    <x v="1"/>
  </r>
  <r>
    <s v="1st"/>
    <x v="0"/>
    <n v="1"/>
    <n v="8396038611"/>
    <s v="Paid"/>
    <s v="Yes"/>
    <s v="Non-Veg"/>
    <x v="1"/>
    <x v="1"/>
  </r>
  <r>
    <s v="1st"/>
    <x v="2"/>
    <n v="1"/>
    <n v="7418073673"/>
    <s v="Due"/>
    <s v="No"/>
    <s v="Veg"/>
    <x v="4"/>
    <x v="0"/>
  </r>
  <r>
    <s v="2nd"/>
    <x v="0"/>
    <n v="3"/>
    <n v="8334003743"/>
    <s v="Paid"/>
    <s v="No"/>
    <s v="Non-Veg"/>
    <x v="1"/>
    <x v="1"/>
  </r>
  <r>
    <s v="3rd"/>
    <x v="1"/>
    <n v="5"/>
    <n v="6549299163"/>
    <s v="Paid"/>
    <s v="No"/>
    <s v="Non-Veg"/>
    <x v="0"/>
    <x v="0"/>
  </r>
  <r>
    <s v="3rd"/>
    <x v="2"/>
    <n v="5"/>
    <n v="9020157913"/>
    <s v="Due"/>
    <s v="No"/>
    <s v="Non-Veg"/>
    <x v="5"/>
    <x v="1"/>
  </r>
  <r>
    <s v="2nd"/>
    <x v="4"/>
    <n v="3"/>
    <n v="9761958156"/>
    <s v="Due"/>
    <s v="Yes"/>
    <s v="Non-Veg"/>
    <x v="1"/>
    <x v="2"/>
  </r>
  <r>
    <s v="3rd"/>
    <x v="0"/>
    <n v="5"/>
    <n v="6350611883"/>
    <s v="Paid"/>
    <s v="No"/>
    <s v="Non-Veg"/>
    <x v="4"/>
    <x v="0"/>
  </r>
  <r>
    <s v="3rd"/>
    <x v="2"/>
    <n v="5"/>
    <n v="9644626288"/>
    <s v="Paid"/>
    <s v="Yes"/>
    <s v="Veg"/>
    <x v="1"/>
    <x v="1"/>
  </r>
  <r>
    <s v="4th"/>
    <x v="1"/>
    <n v="7"/>
    <n v="9648394647"/>
    <s v="Paid"/>
    <s v="No"/>
    <s v="Non-Veg"/>
    <x v="1"/>
    <x v="1"/>
  </r>
  <r>
    <s v="4th"/>
    <x v="1"/>
    <n v="7"/>
    <n v="8823168499"/>
    <s v="Paid"/>
    <s v="No"/>
    <s v="Veg"/>
    <x v="1"/>
    <x v="2"/>
  </r>
  <r>
    <s v="4th"/>
    <x v="2"/>
    <n v="7"/>
    <n v="8258272626"/>
    <s v="Paid"/>
    <s v="No"/>
    <s v="Veg"/>
    <x v="1"/>
    <x v="0"/>
  </r>
  <r>
    <s v="3rd"/>
    <x v="2"/>
    <n v="5"/>
    <n v="6705599047"/>
    <s v="Due"/>
    <s v="No"/>
    <s v="Non-Veg"/>
    <x v="1"/>
    <x v="1"/>
  </r>
  <r>
    <s v="2nd"/>
    <x v="2"/>
    <n v="3"/>
    <n v="9897094064"/>
    <s v="Due"/>
    <s v="Yes"/>
    <s v="Non-Veg"/>
    <x v="3"/>
    <x v="0"/>
  </r>
  <r>
    <s v="3rd"/>
    <x v="0"/>
    <n v="5"/>
    <n v="6525704052"/>
    <s v="Due"/>
    <s v="No"/>
    <s v="Non-Veg"/>
    <x v="1"/>
    <x v="1"/>
  </r>
  <r>
    <s v="3rd"/>
    <x v="3"/>
    <n v="5"/>
    <n v="7825327920"/>
    <s v="Due"/>
    <s v="No"/>
    <s v="Non-Veg"/>
    <x v="1"/>
    <x v="2"/>
  </r>
  <r>
    <s v="2nd"/>
    <x v="4"/>
    <n v="3"/>
    <n v="6041928240"/>
    <s v="Paid"/>
    <s v="No"/>
    <s v="Non-Veg"/>
    <x v="1"/>
    <x v="1"/>
  </r>
  <r>
    <s v="2nd"/>
    <x v="2"/>
    <n v="3"/>
    <n v="9957523367"/>
    <s v="Due"/>
    <s v="No"/>
    <s v="Non-Veg"/>
    <x v="1"/>
    <x v="0"/>
  </r>
  <r>
    <s v="3rd"/>
    <x v="0"/>
    <n v="5"/>
    <n v="7438690398"/>
    <s v="Due"/>
    <s v="No"/>
    <s v="Veg"/>
    <x v="1"/>
    <x v="0"/>
  </r>
  <r>
    <s v="4th"/>
    <x v="4"/>
    <n v="7"/>
    <n v="6167025734"/>
    <s v="Paid"/>
    <s v="No"/>
    <s v="Non-Veg"/>
    <x v="3"/>
    <x v="2"/>
  </r>
  <r>
    <s v="2nd"/>
    <x v="4"/>
    <n v="3"/>
    <n v="6262727617"/>
    <s v="Paid"/>
    <s v="No"/>
    <s v="Non-Veg"/>
    <x v="1"/>
    <x v="1"/>
  </r>
  <r>
    <s v="3rd"/>
    <x v="4"/>
    <n v="5"/>
    <n v="7220972702"/>
    <s v="Due"/>
    <s v="No"/>
    <s v="Non-Veg"/>
    <x v="0"/>
    <x v="2"/>
  </r>
  <r>
    <s v="2nd"/>
    <x v="1"/>
    <n v="3"/>
    <n v="8429504300"/>
    <s v="Paid"/>
    <s v="No"/>
    <s v="Non-Veg"/>
    <x v="4"/>
    <x v="0"/>
  </r>
  <r>
    <s v="4th"/>
    <x v="1"/>
    <n v="7"/>
    <n v="7295585678"/>
    <s v="Paid"/>
    <s v="Yes"/>
    <s v="Veg"/>
    <x v="2"/>
    <x v="0"/>
  </r>
  <r>
    <s v="1st"/>
    <x v="1"/>
    <n v="1"/>
    <n v="8083959508"/>
    <s v="Paid"/>
    <s v="No"/>
    <s v="Veg"/>
    <x v="1"/>
    <x v="2"/>
  </r>
  <r>
    <s v="4th"/>
    <x v="3"/>
    <n v="7"/>
    <n v="8407487849"/>
    <s v="Paid"/>
    <s v="Yes"/>
    <s v="Veg"/>
    <x v="1"/>
    <x v="1"/>
  </r>
  <r>
    <s v="4th"/>
    <x v="4"/>
    <n v="7"/>
    <n v="8386575048"/>
    <s v="Paid"/>
    <s v="No"/>
    <s v="Non-Veg"/>
    <x v="4"/>
    <x v="1"/>
  </r>
  <r>
    <s v="2nd"/>
    <x v="0"/>
    <n v="3"/>
    <n v="7959427548"/>
    <s v="Paid"/>
    <s v="No"/>
    <s v="Non-Veg"/>
    <x v="2"/>
    <x v="0"/>
  </r>
  <r>
    <s v="4th"/>
    <x v="4"/>
    <n v="7"/>
    <n v="9650489619"/>
    <s v="Due"/>
    <s v="No"/>
    <s v="Non-Veg"/>
    <x v="4"/>
    <x v="1"/>
  </r>
  <r>
    <s v="1st"/>
    <x v="1"/>
    <n v="1"/>
    <n v="7266693099"/>
    <s v="Due"/>
    <s v="Yes"/>
    <s v="Veg"/>
    <x v="0"/>
    <x v="0"/>
  </r>
  <r>
    <s v="4th"/>
    <x v="3"/>
    <n v="7"/>
    <n v="6967100195"/>
    <s v="Paid"/>
    <s v="No"/>
    <s v="Non-Veg"/>
    <x v="1"/>
    <x v="2"/>
  </r>
  <r>
    <s v="1st"/>
    <x v="4"/>
    <n v="1"/>
    <n v="8363850369"/>
    <s v="Due"/>
    <s v="No"/>
    <s v="Non-Veg"/>
    <x v="4"/>
    <x v="0"/>
  </r>
  <r>
    <s v="2nd"/>
    <x v="2"/>
    <n v="3"/>
    <n v="6866298228"/>
    <s v="Due"/>
    <s v="No"/>
    <s v="Veg"/>
    <x v="5"/>
    <x v="2"/>
  </r>
  <r>
    <s v="4th"/>
    <x v="2"/>
    <n v="7"/>
    <n v="6267426911"/>
    <s v="Due"/>
    <s v="No"/>
    <s v="Veg"/>
    <x v="5"/>
    <x v="2"/>
  </r>
  <r>
    <s v="2nd"/>
    <x v="2"/>
    <n v="3"/>
    <n v="7222501355"/>
    <s v="Paid"/>
    <s v="Yes"/>
    <s v="Non-Veg"/>
    <x v="2"/>
    <x v="2"/>
  </r>
  <r>
    <s v="3rd"/>
    <x v="4"/>
    <n v="5"/>
    <n v="9611732855"/>
    <s v="Paid"/>
    <s v="Yes"/>
    <s v="Veg"/>
    <x v="4"/>
    <x v="1"/>
  </r>
  <r>
    <s v="3rd"/>
    <x v="4"/>
    <n v="5"/>
    <n v="9725796636"/>
    <s v="Paid"/>
    <s v="Yes"/>
    <s v="Non-Veg"/>
    <x v="0"/>
    <x v="1"/>
  </r>
  <r>
    <s v="4th"/>
    <x v="1"/>
    <n v="7"/>
    <n v="9502345108"/>
    <s v="Paid"/>
    <s v="Yes"/>
    <s v="Non-Veg"/>
    <x v="2"/>
    <x v="0"/>
  </r>
  <r>
    <s v="4th"/>
    <x v="4"/>
    <n v="7"/>
    <n v="6626290114"/>
    <s v="Due"/>
    <s v="Yes"/>
    <s v="Veg"/>
    <x v="2"/>
    <x v="1"/>
  </r>
  <r>
    <s v="2nd"/>
    <x v="1"/>
    <n v="3"/>
    <n v="8514209100"/>
    <s v="Paid"/>
    <s v="No"/>
    <s v="Non-Veg"/>
    <x v="1"/>
    <x v="2"/>
  </r>
  <r>
    <s v="1st"/>
    <x v="3"/>
    <n v="1"/>
    <n v="7997041169"/>
    <s v="Due"/>
    <s v="Yes"/>
    <s v="Veg"/>
    <x v="0"/>
    <x v="1"/>
  </r>
  <r>
    <s v="1st"/>
    <x v="1"/>
    <n v="1"/>
    <n v="8892986939"/>
    <s v="Paid"/>
    <s v="Yes"/>
    <s v="Non-Veg"/>
    <x v="0"/>
    <x v="0"/>
  </r>
  <r>
    <s v="4th"/>
    <x v="2"/>
    <n v="7"/>
    <n v="7811731818"/>
    <s v="Paid"/>
    <s v="No"/>
    <s v="Veg"/>
    <x v="3"/>
    <x v="2"/>
  </r>
  <r>
    <s v="4th"/>
    <x v="3"/>
    <n v="7"/>
    <n v="6442387570"/>
    <s v="Paid"/>
    <s v="No"/>
    <s v="Veg"/>
    <x v="1"/>
    <x v="0"/>
  </r>
  <r>
    <s v="4th"/>
    <x v="2"/>
    <n v="7"/>
    <n v="7503032656"/>
    <s v="Paid"/>
    <s v="Yes"/>
    <s v="Veg"/>
    <x v="2"/>
    <x v="1"/>
  </r>
  <r>
    <s v="2nd"/>
    <x v="1"/>
    <n v="3"/>
    <n v="8696706768"/>
    <s v="Due"/>
    <s v="Yes"/>
    <s v="Non-Veg"/>
    <x v="2"/>
    <x v="2"/>
  </r>
  <r>
    <s v="4th"/>
    <x v="2"/>
    <n v="7"/>
    <n v="6760935768"/>
    <s v="Paid"/>
    <s v="Yes"/>
    <s v="Veg"/>
    <x v="1"/>
    <x v="2"/>
  </r>
  <r>
    <s v="1st"/>
    <x v="2"/>
    <n v="1"/>
    <n v="9543400801"/>
    <s v="Due"/>
    <s v="Yes"/>
    <s v="Veg"/>
    <x v="0"/>
    <x v="0"/>
  </r>
  <r>
    <s v="4th"/>
    <x v="4"/>
    <n v="7"/>
    <n v="8008795602"/>
    <s v="Paid"/>
    <s v="Yes"/>
    <s v="Veg"/>
    <x v="1"/>
    <x v="0"/>
  </r>
  <r>
    <s v="4th"/>
    <x v="2"/>
    <n v="7"/>
    <n v="7354403246"/>
    <s v="Paid"/>
    <s v="No"/>
    <s v="Veg"/>
    <x v="1"/>
    <x v="0"/>
  </r>
  <r>
    <s v="4th"/>
    <x v="0"/>
    <n v="7"/>
    <n v="6774563101"/>
    <s v="Due"/>
    <s v="No"/>
    <s v="Veg"/>
    <x v="1"/>
    <x v="1"/>
  </r>
  <r>
    <s v="4th"/>
    <x v="4"/>
    <n v="7"/>
    <n v="6942766830"/>
    <s v="Due"/>
    <s v="Yes"/>
    <s v="Non-Veg"/>
    <x v="4"/>
    <x v="2"/>
  </r>
  <r>
    <s v="2nd"/>
    <x v="2"/>
    <n v="3"/>
    <n v="6119945810"/>
    <s v="Paid"/>
    <s v="Yes"/>
    <s v="Non-Veg"/>
    <x v="1"/>
    <x v="1"/>
  </r>
  <r>
    <s v="3rd"/>
    <x v="0"/>
    <n v="5"/>
    <n v="6063974507"/>
    <s v="Paid"/>
    <s v="Yes"/>
    <s v="Veg"/>
    <x v="4"/>
    <x v="2"/>
  </r>
  <r>
    <s v="1st"/>
    <x v="4"/>
    <n v="1"/>
    <n v="8182528183"/>
    <s v="Due"/>
    <s v="Yes"/>
    <s v="Non-Veg"/>
    <x v="1"/>
    <x v="1"/>
  </r>
  <r>
    <s v="1st"/>
    <x v="1"/>
    <n v="1"/>
    <n v="9082299989"/>
    <s v="Due"/>
    <s v="Yes"/>
    <s v="Veg"/>
    <x v="1"/>
    <x v="2"/>
  </r>
  <r>
    <s v="3rd"/>
    <x v="0"/>
    <n v="5"/>
    <n v="7256217471"/>
    <s v="Due"/>
    <s v="Yes"/>
    <s v="Non-Veg"/>
    <x v="1"/>
    <x v="1"/>
  </r>
  <r>
    <s v="2nd"/>
    <x v="0"/>
    <n v="3"/>
    <n v="7112911090"/>
    <s v="Paid"/>
    <s v="No"/>
    <s v="Non-Veg"/>
    <x v="5"/>
    <x v="1"/>
  </r>
  <r>
    <s v="3rd"/>
    <x v="4"/>
    <n v="5"/>
    <n v="7615308856"/>
    <s v="Paid"/>
    <s v="Yes"/>
    <s v="Non-Veg"/>
    <x v="5"/>
    <x v="1"/>
  </r>
  <r>
    <s v="3rd"/>
    <x v="2"/>
    <n v="5"/>
    <n v="9847899395"/>
    <s v="Paid"/>
    <s v="Yes"/>
    <s v="Veg"/>
    <x v="4"/>
    <x v="2"/>
  </r>
  <r>
    <s v="2nd"/>
    <x v="2"/>
    <n v="3"/>
    <n v="7902422598"/>
    <s v="Paid"/>
    <s v="Yes"/>
    <s v="Veg"/>
    <x v="1"/>
    <x v="1"/>
  </r>
  <r>
    <s v="1st"/>
    <x v="0"/>
    <n v="1"/>
    <n v="6570307637"/>
    <s v="Due"/>
    <s v="Yes"/>
    <s v="Non-Veg"/>
    <x v="4"/>
    <x v="0"/>
  </r>
  <r>
    <s v="4th"/>
    <x v="0"/>
    <n v="7"/>
    <n v="6538891921"/>
    <s v="Paid"/>
    <s v="No"/>
    <s v="Non-Veg"/>
    <x v="1"/>
    <x v="0"/>
  </r>
  <r>
    <s v="2nd"/>
    <x v="0"/>
    <n v="3"/>
    <n v="6764981615"/>
    <s v="Paid"/>
    <s v="Yes"/>
    <s v="Non-Veg"/>
    <x v="4"/>
    <x v="2"/>
  </r>
  <r>
    <s v="3rd"/>
    <x v="1"/>
    <n v="5"/>
    <n v="6897919819"/>
    <s v="Paid"/>
    <s v="No"/>
    <s v="Veg"/>
    <x v="5"/>
    <x v="2"/>
  </r>
  <r>
    <s v="3rd"/>
    <x v="0"/>
    <n v="5"/>
    <n v="7147300176"/>
    <s v="Paid"/>
    <s v="No"/>
    <s v="Veg"/>
    <x v="1"/>
    <x v="1"/>
  </r>
  <r>
    <s v="3rd"/>
    <x v="4"/>
    <n v="5"/>
    <n v="9668041763"/>
    <s v="Due"/>
    <s v="Yes"/>
    <s v="Veg"/>
    <x v="4"/>
    <x v="2"/>
  </r>
  <r>
    <s v="4th"/>
    <x v="0"/>
    <n v="7"/>
    <n v="7826892025"/>
    <s v="Due"/>
    <s v="No"/>
    <s v="Veg"/>
    <x v="0"/>
    <x v="2"/>
  </r>
  <r>
    <s v="4th"/>
    <x v="1"/>
    <n v="7"/>
    <n v="8003475837"/>
    <s v="Paid"/>
    <s v="No"/>
    <s v="Veg"/>
    <x v="5"/>
    <x v="1"/>
  </r>
  <r>
    <s v="4th"/>
    <x v="4"/>
    <n v="7"/>
    <n v="8705613636"/>
    <s v="Paid"/>
    <s v="No"/>
    <s v="Non-Veg"/>
    <x v="0"/>
    <x v="2"/>
  </r>
  <r>
    <s v="3rd"/>
    <x v="2"/>
    <n v="5"/>
    <n v="6118847180"/>
    <s v="Due"/>
    <s v="Yes"/>
    <s v="Veg"/>
    <x v="4"/>
    <x v="0"/>
  </r>
  <r>
    <s v="2nd"/>
    <x v="0"/>
    <n v="3"/>
    <n v="9905412979"/>
    <s v="Due"/>
    <s v="No"/>
    <s v="Veg"/>
    <x v="5"/>
    <x v="2"/>
  </r>
  <r>
    <s v="3rd"/>
    <x v="2"/>
    <n v="5"/>
    <n v="7409594170"/>
    <s v="Due"/>
    <s v="Yes"/>
    <s v="Veg"/>
    <x v="2"/>
    <x v="2"/>
  </r>
  <r>
    <s v="1st"/>
    <x v="1"/>
    <n v="1"/>
    <n v="6536982244"/>
    <s v="Due"/>
    <s v="No"/>
    <s v="Non-Veg"/>
    <x v="5"/>
    <x v="2"/>
  </r>
  <r>
    <s v="3rd"/>
    <x v="2"/>
    <n v="5"/>
    <n v="7297304435"/>
    <s v="Due"/>
    <s v="Yes"/>
    <s v="Non-Veg"/>
    <x v="5"/>
    <x v="0"/>
  </r>
  <r>
    <s v="1st"/>
    <x v="0"/>
    <n v="1"/>
    <n v="9124302350"/>
    <s v="Due"/>
    <s v="No"/>
    <s v="Veg"/>
    <x v="3"/>
    <x v="0"/>
  </r>
  <r>
    <s v="1st"/>
    <x v="1"/>
    <n v="1"/>
    <n v="9523962094"/>
    <s v="Due"/>
    <s v="Yes"/>
    <s v="Veg"/>
    <x v="1"/>
    <x v="2"/>
  </r>
  <r>
    <s v="2nd"/>
    <x v="0"/>
    <n v="3"/>
    <n v="7805019973"/>
    <s v="Due"/>
    <s v="Yes"/>
    <s v="Non-Veg"/>
    <x v="3"/>
    <x v="1"/>
  </r>
  <r>
    <s v="3rd"/>
    <x v="4"/>
    <n v="5"/>
    <n v="8908711740"/>
    <s v="Paid"/>
    <s v="Yes"/>
    <s v="Non-Veg"/>
    <x v="1"/>
    <x v="1"/>
  </r>
  <r>
    <s v="2nd"/>
    <x v="3"/>
    <n v="3"/>
    <n v="9994241163"/>
    <s v="Paid"/>
    <s v="Yes"/>
    <s v="Non-Veg"/>
    <x v="3"/>
    <x v="2"/>
  </r>
  <r>
    <s v="4th"/>
    <x v="0"/>
    <n v="7"/>
    <n v="7351683503"/>
    <s v="Due"/>
    <s v="No"/>
    <s v="Non-Veg"/>
    <x v="0"/>
    <x v="0"/>
  </r>
  <r>
    <s v="2nd"/>
    <x v="3"/>
    <n v="3"/>
    <n v="8080619526"/>
    <s v="Paid"/>
    <s v="No"/>
    <s v="Veg"/>
    <x v="2"/>
    <x v="1"/>
  </r>
  <r>
    <s v="4th"/>
    <x v="0"/>
    <n v="7"/>
    <n v="8523942137"/>
    <s v="Paid"/>
    <s v="No"/>
    <s v="Non-Veg"/>
    <x v="1"/>
    <x v="0"/>
  </r>
  <r>
    <s v="1st"/>
    <x v="4"/>
    <n v="1"/>
    <n v="6880452593"/>
    <s v="Due"/>
    <s v="No"/>
    <s v="Non-Veg"/>
    <x v="5"/>
    <x v="1"/>
  </r>
  <r>
    <s v="3rd"/>
    <x v="2"/>
    <n v="5"/>
    <n v="7528675887"/>
    <s v="Due"/>
    <s v="Yes"/>
    <s v="Non-Veg"/>
    <x v="4"/>
    <x v="2"/>
  </r>
  <r>
    <s v="4th"/>
    <x v="1"/>
    <n v="7"/>
    <n v="9975716753"/>
    <s v="Paid"/>
    <s v="No"/>
    <s v="Veg"/>
    <x v="4"/>
    <x v="2"/>
  </r>
  <r>
    <s v="3rd"/>
    <x v="0"/>
    <n v="5"/>
    <n v="7782042637"/>
    <s v="Paid"/>
    <s v="Yes"/>
    <s v="Non-Veg"/>
    <x v="5"/>
    <x v="0"/>
  </r>
  <r>
    <s v="2nd"/>
    <x v="1"/>
    <n v="3"/>
    <n v="8200682061"/>
    <s v="Paid"/>
    <s v="No"/>
    <s v="Non-Veg"/>
    <x v="1"/>
    <x v="1"/>
  </r>
  <r>
    <s v="3rd"/>
    <x v="2"/>
    <n v="5"/>
    <n v="6951338106"/>
    <s v="Due"/>
    <s v="No"/>
    <s v="Non-Veg"/>
    <x v="1"/>
    <x v="2"/>
  </r>
  <r>
    <s v="1st"/>
    <x v="0"/>
    <n v="1"/>
    <n v="6934987009"/>
    <s v="Paid"/>
    <s v="No"/>
    <s v="Veg"/>
    <x v="1"/>
    <x v="1"/>
  </r>
  <r>
    <s v="1st"/>
    <x v="0"/>
    <n v="1"/>
    <n v="9886073664"/>
    <s v="Due"/>
    <s v="No"/>
    <s v="Veg"/>
    <x v="1"/>
    <x v="2"/>
  </r>
  <r>
    <s v="4th"/>
    <x v="3"/>
    <n v="7"/>
    <n v="9013296970"/>
    <s v="Paid"/>
    <s v="No"/>
    <s v="Veg"/>
    <x v="0"/>
    <x v="1"/>
  </r>
  <r>
    <s v="3rd"/>
    <x v="4"/>
    <n v="5"/>
    <n v="9239147624"/>
    <s v="Paid"/>
    <s v="Yes"/>
    <s v="Non-Veg"/>
    <x v="5"/>
    <x v="2"/>
  </r>
  <r>
    <s v="4th"/>
    <x v="1"/>
    <n v="7"/>
    <n v="7453021693"/>
    <s v="Due"/>
    <s v="No"/>
    <s v="Veg"/>
    <x v="3"/>
    <x v="2"/>
  </r>
  <r>
    <s v="3rd"/>
    <x v="1"/>
    <n v="5"/>
    <n v="7315120205"/>
    <s v="Paid"/>
    <s v="Yes"/>
    <s v="Non-Veg"/>
    <x v="1"/>
    <x v="0"/>
  </r>
  <r>
    <s v="1st"/>
    <x v="4"/>
    <n v="1"/>
    <n v="6653290332"/>
    <s v="Paid"/>
    <s v="Yes"/>
    <s v="Veg"/>
    <x v="4"/>
    <x v="2"/>
  </r>
  <r>
    <s v="4th"/>
    <x v="3"/>
    <n v="7"/>
    <n v="8933456313"/>
    <s v="Paid"/>
    <s v="Yes"/>
    <s v="Veg"/>
    <x v="0"/>
    <x v="2"/>
  </r>
  <r>
    <s v="2nd"/>
    <x v="3"/>
    <n v="3"/>
    <n v="9012070733"/>
    <s v="Due"/>
    <s v="No"/>
    <s v="Non-Veg"/>
    <x v="1"/>
    <x v="2"/>
  </r>
  <r>
    <s v="4th"/>
    <x v="2"/>
    <n v="7"/>
    <n v="8780588741"/>
    <s v="Paid"/>
    <s v="No"/>
    <s v="Veg"/>
    <x v="1"/>
    <x v="2"/>
  </r>
  <r>
    <s v="1st"/>
    <x v="4"/>
    <n v="1"/>
    <n v="6873896121"/>
    <s v="Paid"/>
    <s v="No"/>
    <s v="Non-Veg"/>
    <x v="2"/>
    <x v="1"/>
  </r>
  <r>
    <s v="3rd"/>
    <x v="2"/>
    <n v="5"/>
    <n v="6175040360"/>
    <s v="Due"/>
    <s v="Yes"/>
    <s v="Veg"/>
    <x v="1"/>
    <x v="1"/>
  </r>
  <r>
    <s v="3rd"/>
    <x v="2"/>
    <n v="5"/>
    <n v="7833947819"/>
    <s v="Paid"/>
    <s v="Yes"/>
    <s v="Veg"/>
    <x v="0"/>
    <x v="1"/>
  </r>
  <r>
    <s v="3rd"/>
    <x v="0"/>
    <n v="5"/>
    <n v="7508540175"/>
    <s v="Paid"/>
    <s v="No"/>
    <s v="Non-Veg"/>
    <x v="3"/>
    <x v="2"/>
  </r>
  <r>
    <s v="4th"/>
    <x v="3"/>
    <n v="7"/>
    <n v="8022301658"/>
    <s v="Paid"/>
    <s v="No"/>
    <s v="Veg"/>
    <x v="1"/>
    <x v="1"/>
  </r>
  <r>
    <s v="3rd"/>
    <x v="1"/>
    <n v="5"/>
    <n v="8843845156"/>
    <s v="Due"/>
    <s v="No"/>
    <s v="Veg"/>
    <x v="2"/>
    <x v="2"/>
  </r>
  <r>
    <s v="3rd"/>
    <x v="1"/>
    <n v="5"/>
    <n v="6539639903"/>
    <s v="Paid"/>
    <s v="Yes"/>
    <s v="Veg"/>
    <x v="1"/>
    <x v="2"/>
  </r>
  <r>
    <s v="2nd"/>
    <x v="4"/>
    <n v="3"/>
    <n v="9219332602"/>
    <s v="Paid"/>
    <s v="No"/>
    <s v="Non-Veg"/>
    <x v="3"/>
    <x v="2"/>
  </r>
  <r>
    <s v="3rd"/>
    <x v="3"/>
    <n v="5"/>
    <n v="9250606038"/>
    <s v="Due"/>
    <s v="Yes"/>
    <s v="Veg"/>
    <x v="4"/>
    <x v="1"/>
  </r>
  <r>
    <s v="4th"/>
    <x v="3"/>
    <n v="7"/>
    <n v="8751623627"/>
    <s v="Due"/>
    <s v="Yes"/>
    <s v="Veg"/>
    <x v="0"/>
    <x v="1"/>
  </r>
  <r>
    <s v="2nd"/>
    <x v="0"/>
    <n v="3"/>
    <n v="9581677026"/>
    <s v="Due"/>
    <s v="Yes"/>
    <s v="Non-Veg"/>
    <x v="1"/>
    <x v="1"/>
  </r>
  <r>
    <s v="1st"/>
    <x v="2"/>
    <n v="1"/>
    <n v="7591863235"/>
    <s v="Paid"/>
    <s v="No"/>
    <s v="Non-Veg"/>
    <x v="1"/>
    <x v="1"/>
  </r>
  <r>
    <s v="2nd"/>
    <x v="0"/>
    <n v="3"/>
    <n v="7571815436"/>
    <s v="Paid"/>
    <s v="Yes"/>
    <s v="Veg"/>
    <x v="1"/>
    <x v="1"/>
  </r>
  <r>
    <s v="1st"/>
    <x v="0"/>
    <n v="1"/>
    <n v="7820642372"/>
    <s v="Paid"/>
    <s v="Yes"/>
    <s v="Non-Veg"/>
    <x v="4"/>
    <x v="2"/>
  </r>
  <r>
    <s v="1st"/>
    <x v="0"/>
    <n v="1"/>
    <n v="6214259466"/>
    <s v="Due"/>
    <s v="Yes"/>
    <s v="Veg"/>
    <x v="1"/>
    <x v="1"/>
  </r>
  <r>
    <s v="4th"/>
    <x v="4"/>
    <n v="7"/>
    <n v="6138272229"/>
    <s v="Due"/>
    <s v="No"/>
    <s v="Veg"/>
    <x v="3"/>
    <x v="2"/>
  </r>
  <r>
    <s v="4th"/>
    <x v="4"/>
    <n v="7"/>
    <n v="8808322626"/>
    <s v="Paid"/>
    <s v="Yes"/>
    <s v="Veg"/>
    <x v="0"/>
    <x v="2"/>
  </r>
  <r>
    <s v="1st"/>
    <x v="0"/>
    <n v="1"/>
    <n v="7224698432"/>
    <s v="Paid"/>
    <s v="Yes"/>
    <s v="Non-Veg"/>
    <x v="5"/>
    <x v="2"/>
  </r>
  <r>
    <s v="4th"/>
    <x v="1"/>
    <n v="7"/>
    <n v="9222471765"/>
    <s v="Paid"/>
    <s v="No"/>
    <s v="Non-Veg"/>
    <x v="4"/>
    <x v="2"/>
  </r>
  <r>
    <s v="4th"/>
    <x v="0"/>
    <n v="7"/>
    <n v="9631014275"/>
    <s v="Due"/>
    <s v="No"/>
    <s v="Non-Veg"/>
    <x v="3"/>
    <x v="2"/>
  </r>
  <r>
    <s v="2nd"/>
    <x v="2"/>
    <n v="3"/>
    <n v="9017213082"/>
    <s v="Due"/>
    <s v="No"/>
    <s v="Non-Veg"/>
    <x v="1"/>
    <x v="2"/>
  </r>
  <r>
    <s v="4th"/>
    <x v="1"/>
    <n v="7"/>
    <n v="9585524674"/>
    <s v="Paid"/>
    <s v="No"/>
    <s v="Non-Veg"/>
    <x v="1"/>
    <x v="2"/>
  </r>
  <r>
    <s v="1st"/>
    <x v="4"/>
    <n v="1"/>
    <n v="9319981861"/>
    <s v="Paid"/>
    <s v="No"/>
    <s v="Non-Veg"/>
    <x v="5"/>
    <x v="1"/>
  </r>
  <r>
    <s v="3rd"/>
    <x v="2"/>
    <n v="5"/>
    <n v="9041231436"/>
    <s v="Due"/>
    <s v="Yes"/>
    <s v="Non-Veg"/>
    <x v="4"/>
    <x v="2"/>
  </r>
  <r>
    <s v="1st"/>
    <x v="2"/>
    <n v="1"/>
    <n v="8565900630"/>
    <s v="Paid"/>
    <s v="Yes"/>
    <s v="Veg"/>
    <x v="4"/>
    <x v="2"/>
  </r>
  <r>
    <s v="4th"/>
    <x v="0"/>
    <n v="7"/>
    <n v="6909456424"/>
    <s v="Paid"/>
    <s v="No"/>
    <s v="Veg"/>
    <x v="0"/>
    <x v="2"/>
  </r>
  <r>
    <s v="2nd"/>
    <x v="3"/>
    <n v="3"/>
    <n v="9985286187"/>
    <s v="Due"/>
    <s v="Yes"/>
    <s v="Non-Veg"/>
    <x v="1"/>
    <x v="0"/>
  </r>
  <r>
    <s v="4th"/>
    <x v="0"/>
    <n v="7"/>
    <n v="9950282483"/>
    <s v="Due"/>
    <s v="No"/>
    <s v="Veg"/>
    <x v="3"/>
    <x v="2"/>
  </r>
  <r>
    <s v="3rd"/>
    <x v="1"/>
    <n v="5"/>
    <n v="6501595760"/>
    <s v="Paid"/>
    <s v="No"/>
    <s v="Non-Veg"/>
    <x v="4"/>
    <x v="2"/>
  </r>
  <r>
    <s v="1st"/>
    <x v="3"/>
    <n v="1"/>
    <n v="6491679736"/>
    <s v="Paid"/>
    <s v="No"/>
    <s v="Veg"/>
    <x v="1"/>
    <x v="2"/>
  </r>
  <r>
    <s v="2nd"/>
    <x v="4"/>
    <n v="3"/>
    <n v="8170221149"/>
    <s v="Paid"/>
    <s v="No"/>
    <s v="Non-Veg"/>
    <x v="4"/>
    <x v="1"/>
  </r>
  <r>
    <s v="1st"/>
    <x v="1"/>
    <n v="1"/>
    <n v="9419907098"/>
    <s v="Due"/>
    <s v="Yes"/>
    <s v="Non-Veg"/>
    <x v="5"/>
    <x v="1"/>
  </r>
  <r>
    <s v="1st"/>
    <x v="1"/>
    <n v="1"/>
    <n v="8231986838"/>
    <s v="Due"/>
    <s v="Yes"/>
    <s v="Veg"/>
    <x v="1"/>
    <x v="2"/>
  </r>
  <r>
    <s v="2nd"/>
    <x v="0"/>
    <n v="3"/>
    <n v="9015229272"/>
    <s v="Due"/>
    <s v="Yes"/>
    <s v="Non-Veg"/>
    <x v="5"/>
    <x v="2"/>
  </r>
  <r>
    <s v="1st"/>
    <x v="1"/>
    <n v="1"/>
    <n v="7589063584"/>
    <s v="Due"/>
    <s v="Yes"/>
    <s v="Non-Veg"/>
    <x v="1"/>
    <x v="0"/>
  </r>
  <r>
    <s v="4th"/>
    <x v="3"/>
    <n v="7"/>
    <n v="8885132052"/>
    <s v="Paid"/>
    <s v="No"/>
    <s v="Veg"/>
    <x v="5"/>
    <x v="1"/>
  </r>
  <r>
    <s v="4th"/>
    <x v="1"/>
    <n v="7"/>
    <n v="9703709139"/>
    <s v="Due"/>
    <s v="No"/>
    <s v="Non-Veg"/>
    <x v="5"/>
    <x v="1"/>
  </r>
  <r>
    <s v="4th"/>
    <x v="4"/>
    <n v="7"/>
    <n v="7901230518"/>
    <s v="Due"/>
    <s v="No"/>
    <s v="Non-Veg"/>
    <x v="3"/>
    <x v="2"/>
  </r>
  <r>
    <s v="1st"/>
    <x v="0"/>
    <n v="1"/>
    <n v="6881513688"/>
    <s v="Paid"/>
    <s v="Yes"/>
    <s v="Non-Veg"/>
    <x v="1"/>
    <x v="0"/>
  </r>
  <r>
    <s v="3rd"/>
    <x v="2"/>
    <n v="5"/>
    <n v="9108905407"/>
    <s v="Paid"/>
    <s v="Yes"/>
    <s v="Non-Veg"/>
    <x v="5"/>
    <x v="2"/>
  </r>
  <r>
    <s v="1st"/>
    <x v="0"/>
    <n v="1"/>
    <n v="9382482365"/>
    <s v="Paid"/>
    <s v="Yes"/>
    <s v="Veg"/>
    <x v="1"/>
    <x v="1"/>
  </r>
  <r>
    <s v="4th"/>
    <x v="0"/>
    <n v="7"/>
    <n v="9176378136"/>
    <s v="Due"/>
    <s v="Yes"/>
    <s v="Veg"/>
    <x v="1"/>
    <x v="1"/>
  </r>
  <r>
    <s v="2nd"/>
    <x v="4"/>
    <n v="3"/>
    <n v="8357282905"/>
    <s v="Due"/>
    <s v="No"/>
    <s v="Non-Veg"/>
    <x v="1"/>
    <x v="2"/>
  </r>
  <r>
    <s v="1st"/>
    <x v="1"/>
    <n v="1"/>
    <n v="8487440378"/>
    <s v="Paid"/>
    <s v="No"/>
    <s v="Non-Veg"/>
    <x v="1"/>
    <x v="2"/>
  </r>
  <r>
    <s v="1st"/>
    <x v="1"/>
    <n v="1"/>
    <n v="7801236636"/>
    <s v="Paid"/>
    <s v="No"/>
    <s v="Non-Veg"/>
    <x v="2"/>
    <x v="1"/>
  </r>
  <r>
    <s v="2nd"/>
    <x v="1"/>
    <n v="3"/>
    <n v="6887661013"/>
    <s v="Due"/>
    <s v="No"/>
    <s v="Veg"/>
    <x v="4"/>
    <x v="2"/>
  </r>
  <r>
    <s v="1st"/>
    <x v="0"/>
    <n v="1"/>
    <n v="7819681315"/>
    <s v="Paid"/>
    <s v="Yes"/>
    <s v="Veg"/>
    <x v="5"/>
    <x v="2"/>
  </r>
  <r>
    <s v="4th"/>
    <x v="0"/>
    <n v="7"/>
    <n v="8087335119"/>
    <s v="Due"/>
    <s v="No"/>
    <s v="Non-Veg"/>
    <x v="0"/>
    <x v="2"/>
  </r>
  <r>
    <s v="3rd"/>
    <x v="2"/>
    <n v="5"/>
    <n v="7241865784"/>
    <s v="Paid"/>
    <s v="Yes"/>
    <s v="Non-Veg"/>
    <x v="2"/>
    <x v="2"/>
  </r>
  <r>
    <s v="3rd"/>
    <x v="0"/>
    <n v="5"/>
    <n v="8607035304"/>
    <s v="Paid"/>
    <s v="No"/>
    <s v="Non-Veg"/>
    <x v="2"/>
    <x v="2"/>
  </r>
  <r>
    <s v="4th"/>
    <x v="4"/>
    <n v="7"/>
    <n v="9360091103"/>
    <s v="Paid"/>
    <s v="No"/>
    <s v="Non-Veg"/>
    <x v="0"/>
    <x v="2"/>
  </r>
  <r>
    <s v="4th"/>
    <x v="3"/>
    <n v="7"/>
    <n v="9935742634"/>
    <s v="Due"/>
    <s v="Yes"/>
    <s v="Non-Veg"/>
    <x v="1"/>
    <x v="2"/>
  </r>
  <r>
    <s v="4th"/>
    <x v="3"/>
    <n v="7"/>
    <n v="9330981780"/>
    <s v="Paid"/>
    <s v="No"/>
    <s v="Veg"/>
    <x v="1"/>
    <x v="0"/>
  </r>
  <r>
    <s v="3rd"/>
    <x v="2"/>
    <n v="5"/>
    <n v="9655386925"/>
    <s v="Paid"/>
    <s v="No"/>
    <s v="Veg"/>
    <x v="1"/>
    <x v="2"/>
  </r>
  <r>
    <s v="2nd"/>
    <x v="1"/>
    <n v="3"/>
    <n v="7748109259"/>
    <s v="Due"/>
    <s v="No"/>
    <s v="Veg"/>
    <x v="5"/>
    <x v="2"/>
  </r>
  <r>
    <s v="1st"/>
    <x v="3"/>
    <n v="1"/>
    <n v="9957198283"/>
    <s v="Due"/>
    <s v="No"/>
    <s v="Non-Veg"/>
    <x v="1"/>
    <x v="2"/>
  </r>
  <r>
    <s v="3rd"/>
    <x v="3"/>
    <n v="5"/>
    <n v="8940121225"/>
    <s v="Paid"/>
    <s v="Yes"/>
    <s v="Non-Veg"/>
    <x v="3"/>
    <x v="2"/>
  </r>
  <r>
    <s v="3rd"/>
    <x v="0"/>
    <n v="5"/>
    <n v="8782081790"/>
    <s v="Due"/>
    <s v="No"/>
    <s v="Veg"/>
    <x v="1"/>
    <x v="1"/>
  </r>
  <r>
    <s v="1st"/>
    <x v="4"/>
    <n v="1"/>
    <n v="9576395488"/>
    <s v="Due"/>
    <s v="No"/>
    <s v="Veg"/>
    <x v="1"/>
    <x v="0"/>
  </r>
  <r>
    <s v="2nd"/>
    <x v="2"/>
    <n v="3"/>
    <n v="6505490679"/>
    <s v="Due"/>
    <s v="No"/>
    <s v="Non-Veg"/>
    <x v="1"/>
    <x v="2"/>
  </r>
  <r>
    <s v="1st"/>
    <x v="1"/>
    <n v="1"/>
    <n v="9284636166"/>
    <s v="Paid"/>
    <s v="No"/>
    <s v="Non-Veg"/>
    <x v="5"/>
    <x v="2"/>
  </r>
  <r>
    <s v="2nd"/>
    <x v="0"/>
    <n v="3"/>
    <n v="8762525544"/>
    <s v="Paid"/>
    <s v="No"/>
    <s v="Veg"/>
    <x v="5"/>
    <x v="2"/>
  </r>
  <r>
    <s v="1st"/>
    <x v="1"/>
    <n v="1"/>
    <n v="6274514568"/>
    <s v="Paid"/>
    <s v="Yes"/>
    <s v="Non-Veg"/>
    <x v="3"/>
    <x v="2"/>
  </r>
  <r>
    <s v="4th"/>
    <x v="3"/>
    <n v="7"/>
    <n v="9799634476"/>
    <s v="Due"/>
    <s v="No"/>
    <s v="Veg"/>
    <x v="5"/>
    <x v="2"/>
  </r>
  <r>
    <s v="3rd"/>
    <x v="3"/>
    <n v="5"/>
    <n v="7310759000"/>
    <s v="Paid"/>
    <s v="No"/>
    <s v="Non-Veg"/>
    <x v="1"/>
    <x v="1"/>
  </r>
  <r>
    <s v="1st"/>
    <x v="1"/>
    <n v="1"/>
    <n v="8980177303"/>
    <s v="Due"/>
    <s v="No"/>
    <s v="Veg"/>
    <x v="2"/>
    <x v="2"/>
  </r>
  <r>
    <s v="1st"/>
    <x v="4"/>
    <n v="1"/>
    <n v="9377927796"/>
    <s v="Due"/>
    <s v="No"/>
    <s v="Veg"/>
    <x v="2"/>
    <x v="2"/>
  </r>
  <r>
    <s v="1st"/>
    <x v="1"/>
    <n v="1"/>
    <n v="9292138042"/>
    <s v="Due"/>
    <s v="Yes"/>
    <s v="Non-Veg"/>
    <x v="3"/>
    <x v="2"/>
  </r>
  <r>
    <s v="3rd"/>
    <x v="2"/>
    <n v="5"/>
    <n v="9790828308"/>
    <s v="Due"/>
    <s v="No"/>
    <s v="Non-Veg"/>
    <x v="1"/>
    <x v="1"/>
  </r>
  <r>
    <s v="4th"/>
    <x v="4"/>
    <n v="7"/>
    <n v="6163066985"/>
    <s v="Paid"/>
    <s v="Yes"/>
    <s v="Veg"/>
    <x v="2"/>
    <x v="2"/>
  </r>
  <r>
    <s v="1st"/>
    <x v="4"/>
    <n v="1"/>
    <n v="9133319189"/>
    <s v="Due"/>
    <s v="Yes"/>
    <s v="Veg"/>
    <x v="1"/>
    <x v="2"/>
  </r>
  <r>
    <s v="4th"/>
    <x v="4"/>
    <n v="7"/>
    <n v="6532481726"/>
    <s v="Due"/>
    <s v="Yes"/>
    <s v="Veg"/>
    <x v="1"/>
    <x v="1"/>
  </r>
  <r>
    <s v="4th"/>
    <x v="1"/>
    <n v="7"/>
    <n v="7216116614"/>
    <s v="Paid"/>
    <s v="Yes"/>
    <s v="Non-Veg"/>
    <x v="1"/>
    <x v="0"/>
  </r>
  <r>
    <s v="1st"/>
    <x v="4"/>
    <n v="1"/>
    <n v="6222297119"/>
    <s v="Paid"/>
    <s v="Yes"/>
    <s v="Veg"/>
    <x v="2"/>
    <x v="2"/>
  </r>
  <r>
    <s v="2nd"/>
    <x v="4"/>
    <n v="3"/>
    <n v="8846475206"/>
    <s v="Due"/>
    <s v="Yes"/>
    <s v="Veg"/>
    <x v="1"/>
    <x v="2"/>
  </r>
  <r>
    <s v="1st"/>
    <x v="3"/>
    <n v="1"/>
    <n v="8203381060"/>
    <s v="Paid"/>
    <s v="No"/>
    <s v="Non-Veg"/>
    <x v="4"/>
    <x v="1"/>
  </r>
  <r>
    <s v="2nd"/>
    <x v="1"/>
    <n v="3"/>
    <n v="6564524489"/>
    <s v="Due"/>
    <s v="Yes"/>
    <s v="Non-Veg"/>
    <x v="1"/>
    <x v="1"/>
  </r>
  <r>
    <s v="2nd"/>
    <x v="1"/>
    <n v="3"/>
    <n v="9702794458"/>
    <s v="Paid"/>
    <s v="Yes"/>
    <s v="Veg"/>
    <x v="4"/>
    <x v="0"/>
  </r>
  <r>
    <s v="1st"/>
    <x v="2"/>
    <n v="1"/>
    <n v="9197694366"/>
    <s v="Paid"/>
    <s v="Yes"/>
    <s v="Veg"/>
    <x v="5"/>
    <x v="1"/>
  </r>
  <r>
    <s v="4th"/>
    <x v="1"/>
    <n v="7"/>
    <n v="7882395101"/>
    <s v="Paid"/>
    <s v="Yes"/>
    <s v="Non-Veg"/>
    <x v="0"/>
    <x v="1"/>
  </r>
  <r>
    <s v="2nd"/>
    <x v="1"/>
    <n v="3"/>
    <n v="9878298998"/>
    <s v="Due"/>
    <s v="Yes"/>
    <s v="Veg"/>
    <x v="1"/>
    <x v="2"/>
  </r>
  <r>
    <s v="1st"/>
    <x v="0"/>
    <n v="1"/>
    <n v="7321579557"/>
    <s v="Paid"/>
    <s v="No"/>
    <s v="Veg"/>
    <x v="1"/>
    <x v="0"/>
  </r>
  <r>
    <s v="3rd"/>
    <x v="4"/>
    <n v="5"/>
    <n v="9319351231"/>
    <s v="Due"/>
    <s v="No"/>
    <s v="Veg"/>
    <x v="3"/>
    <x v="0"/>
  </r>
  <r>
    <s v="3rd"/>
    <x v="1"/>
    <n v="5"/>
    <n v="8854114255"/>
    <s v="Paid"/>
    <s v="Yes"/>
    <s v="Non-Veg"/>
    <x v="1"/>
    <x v="1"/>
  </r>
  <r>
    <s v="3rd"/>
    <x v="4"/>
    <n v="5"/>
    <n v="8487251900"/>
    <s v="Due"/>
    <s v="No"/>
    <s v="Non-Veg"/>
    <x v="1"/>
    <x v="0"/>
  </r>
  <r>
    <s v="3rd"/>
    <x v="1"/>
    <n v="5"/>
    <n v="9557479819"/>
    <s v="Due"/>
    <s v="No"/>
    <s v="Veg"/>
    <x v="5"/>
    <x v="0"/>
  </r>
  <r>
    <s v="3rd"/>
    <x v="3"/>
    <n v="5"/>
    <n v="6041006304"/>
    <s v="Due"/>
    <s v="Yes"/>
    <s v="Non-Veg"/>
    <x v="1"/>
    <x v="2"/>
  </r>
  <r>
    <s v="2nd"/>
    <x v="2"/>
    <n v="3"/>
    <n v="9691792161"/>
    <s v="Paid"/>
    <s v="Yes"/>
    <s v="Non-Veg"/>
    <x v="2"/>
    <x v="2"/>
  </r>
  <r>
    <s v="1st"/>
    <x v="1"/>
    <n v="1"/>
    <n v="9755508431"/>
    <s v="Paid"/>
    <s v="No"/>
    <s v="Non-Veg"/>
    <x v="4"/>
    <x v="1"/>
  </r>
  <r>
    <s v="2nd"/>
    <x v="3"/>
    <n v="3"/>
    <n v="9537716519"/>
    <s v="Due"/>
    <s v="No"/>
    <s v="Non-Veg"/>
    <x v="3"/>
    <x v="0"/>
  </r>
  <r>
    <s v="4th"/>
    <x v="3"/>
    <n v="7"/>
    <n v="9720218003"/>
    <s v="Due"/>
    <s v="No"/>
    <s v="Non-Veg"/>
    <x v="4"/>
    <x v="2"/>
  </r>
  <r>
    <s v="4th"/>
    <x v="1"/>
    <n v="7"/>
    <n v="8780053545"/>
    <s v="Due"/>
    <s v="No"/>
    <s v="Non-Veg"/>
    <x v="0"/>
    <x v="1"/>
  </r>
  <r>
    <s v="3rd"/>
    <x v="4"/>
    <n v="5"/>
    <n v="6978398514"/>
    <s v="Due"/>
    <s v="No"/>
    <s v="Veg"/>
    <x v="3"/>
    <x v="0"/>
  </r>
  <r>
    <s v="2nd"/>
    <x v="1"/>
    <n v="3"/>
    <n v="8261889901"/>
    <s v="Paid"/>
    <s v="No"/>
    <s v="Veg"/>
    <x v="3"/>
    <x v="1"/>
  </r>
  <r>
    <s v="2nd"/>
    <x v="3"/>
    <n v="3"/>
    <n v="9759899733"/>
    <s v="Due"/>
    <s v="Yes"/>
    <s v="Non-Veg"/>
    <x v="1"/>
    <x v="2"/>
  </r>
  <r>
    <s v="3rd"/>
    <x v="0"/>
    <n v="5"/>
    <n v="6357350529"/>
    <s v="Due"/>
    <s v="Yes"/>
    <s v="Non-Veg"/>
    <x v="2"/>
    <x v="1"/>
  </r>
  <r>
    <s v="4th"/>
    <x v="4"/>
    <n v="7"/>
    <n v="7774394963"/>
    <s v="Due"/>
    <s v="Yes"/>
    <s v="Veg"/>
    <x v="1"/>
    <x v="1"/>
  </r>
  <r>
    <s v="2nd"/>
    <x v="1"/>
    <n v="3"/>
    <n v="6410931184"/>
    <s v="Due"/>
    <s v="No"/>
    <s v="Veg"/>
    <x v="2"/>
    <x v="1"/>
  </r>
  <r>
    <s v="2nd"/>
    <x v="3"/>
    <n v="3"/>
    <n v="8777180060"/>
    <s v="Due"/>
    <s v="Yes"/>
    <s v="Non-Veg"/>
    <x v="5"/>
    <x v="1"/>
  </r>
  <r>
    <s v="2nd"/>
    <x v="2"/>
    <n v="3"/>
    <n v="9416409051"/>
    <s v="Due"/>
    <s v="No"/>
    <s v="Non-Veg"/>
    <x v="1"/>
    <x v="2"/>
  </r>
  <r>
    <s v="4th"/>
    <x v="1"/>
    <n v="7"/>
    <n v="6798462618"/>
    <s v="Paid"/>
    <s v="No"/>
    <s v="Non-Veg"/>
    <x v="1"/>
    <x v="0"/>
  </r>
  <r>
    <s v="2nd"/>
    <x v="4"/>
    <n v="3"/>
    <n v="9629823068"/>
    <s v="Paid"/>
    <s v="No"/>
    <s v="Non-Veg"/>
    <x v="5"/>
    <x v="2"/>
  </r>
  <r>
    <s v="3rd"/>
    <x v="1"/>
    <n v="5"/>
    <n v="7228048436"/>
    <s v="Paid"/>
    <s v="No"/>
    <s v="Non-Veg"/>
    <x v="1"/>
    <x v="1"/>
  </r>
  <r>
    <s v="3rd"/>
    <x v="1"/>
    <n v="5"/>
    <n v="8130968865"/>
    <s v="Paid"/>
    <s v="Yes"/>
    <s v="Veg"/>
    <x v="4"/>
    <x v="1"/>
  </r>
  <r>
    <s v="3rd"/>
    <x v="3"/>
    <n v="5"/>
    <n v="9760540447"/>
    <s v="Paid"/>
    <s v="No"/>
    <s v="Non-Veg"/>
    <x v="0"/>
    <x v="0"/>
  </r>
  <r>
    <s v="2nd"/>
    <x v="1"/>
    <n v="3"/>
    <n v="6065208701"/>
    <s v="Paid"/>
    <s v="No"/>
    <s v="Veg"/>
    <x v="2"/>
    <x v="2"/>
  </r>
  <r>
    <s v="3rd"/>
    <x v="1"/>
    <n v="5"/>
    <n v="9220126639"/>
    <s v="Paid"/>
    <s v="No"/>
    <s v="Non-Veg"/>
    <x v="3"/>
    <x v="2"/>
  </r>
  <r>
    <s v="3rd"/>
    <x v="2"/>
    <n v="5"/>
    <n v="6802897985"/>
    <s v="Due"/>
    <s v="No"/>
    <s v="Veg"/>
    <x v="5"/>
    <x v="2"/>
  </r>
  <r>
    <s v="4th"/>
    <x v="0"/>
    <n v="7"/>
    <n v="6001798181"/>
    <s v="Due"/>
    <s v="No"/>
    <s v="Veg"/>
    <x v="2"/>
    <x v="1"/>
  </r>
  <r>
    <s v="1st"/>
    <x v="4"/>
    <n v="1"/>
    <n v="6829011064"/>
    <s v="Due"/>
    <s v="No"/>
    <s v="Non-Veg"/>
    <x v="3"/>
    <x v="2"/>
  </r>
  <r>
    <s v="4th"/>
    <x v="2"/>
    <n v="7"/>
    <n v="7600235040"/>
    <s v="Paid"/>
    <s v="No"/>
    <s v="Veg"/>
    <x v="3"/>
    <x v="2"/>
  </r>
  <r>
    <s v="4th"/>
    <x v="4"/>
    <n v="7"/>
    <n v="8201362507"/>
    <s v="Paid"/>
    <s v="Yes"/>
    <s v="Non-Veg"/>
    <x v="1"/>
    <x v="0"/>
  </r>
  <r>
    <s v="4th"/>
    <x v="0"/>
    <n v="7"/>
    <n v="9010963256"/>
    <s v="Paid"/>
    <s v="No"/>
    <s v="Non-Veg"/>
    <x v="5"/>
    <x v="1"/>
  </r>
  <r>
    <s v="3rd"/>
    <x v="0"/>
    <n v="5"/>
    <n v="7611044753"/>
    <s v="Paid"/>
    <s v="Yes"/>
    <s v="Veg"/>
    <x v="1"/>
    <x v="0"/>
  </r>
  <r>
    <s v="3rd"/>
    <x v="0"/>
    <n v="5"/>
    <n v="7670512345"/>
    <s v="Due"/>
    <s v="Yes"/>
    <s v="Veg"/>
    <x v="0"/>
    <x v="2"/>
  </r>
  <r>
    <s v="3rd"/>
    <x v="0"/>
    <n v="5"/>
    <n v="7153814034"/>
    <s v="Due"/>
    <s v="No"/>
    <s v="Non-Veg"/>
    <x v="1"/>
    <x v="0"/>
  </r>
  <r>
    <s v="1st"/>
    <x v="4"/>
    <n v="1"/>
    <n v="8190064554"/>
    <s v="Paid"/>
    <s v="Yes"/>
    <s v="Non-Veg"/>
    <x v="2"/>
    <x v="1"/>
  </r>
  <r>
    <s v="4th"/>
    <x v="2"/>
    <n v="7"/>
    <n v="7038530231"/>
    <s v="Paid"/>
    <s v="Yes"/>
    <s v="Veg"/>
    <x v="1"/>
    <x v="2"/>
  </r>
  <r>
    <s v="3rd"/>
    <x v="0"/>
    <n v="5"/>
    <n v="6262370299"/>
    <s v="Paid"/>
    <s v="No"/>
    <s v="Veg"/>
    <x v="3"/>
    <x v="0"/>
  </r>
  <r>
    <s v="3rd"/>
    <x v="1"/>
    <n v="5"/>
    <n v="9622874622"/>
    <s v="Due"/>
    <s v="Yes"/>
    <s v="Non-Veg"/>
    <x v="3"/>
    <x v="2"/>
  </r>
  <r>
    <s v="1st"/>
    <x v="3"/>
    <n v="1"/>
    <n v="8867280292"/>
    <s v="Due"/>
    <s v="No"/>
    <s v="Non-Veg"/>
    <x v="5"/>
    <x v="0"/>
  </r>
  <r>
    <s v="2nd"/>
    <x v="1"/>
    <n v="3"/>
    <n v="6241582747"/>
    <s v="Paid"/>
    <s v="No"/>
    <s v="Veg"/>
    <x v="1"/>
    <x v="2"/>
  </r>
  <r>
    <s v="1st"/>
    <x v="1"/>
    <n v="1"/>
    <n v="7891554611"/>
    <s v="Paid"/>
    <s v="No"/>
    <s v="Veg"/>
    <x v="3"/>
    <x v="1"/>
  </r>
  <r>
    <s v="4th"/>
    <x v="2"/>
    <n v="7"/>
    <n v="8252917353"/>
    <s v="Paid"/>
    <s v="Yes"/>
    <s v="Non-Veg"/>
    <x v="1"/>
    <x v="1"/>
  </r>
  <r>
    <s v="4th"/>
    <x v="0"/>
    <n v="7"/>
    <n v="6220533732"/>
    <s v="Paid"/>
    <s v="No"/>
    <s v="Non-Veg"/>
    <x v="4"/>
    <x v="2"/>
  </r>
  <r>
    <s v="4th"/>
    <x v="4"/>
    <n v="7"/>
    <n v="9625590206"/>
    <s v="Paid"/>
    <s v="No"/>
    <s v="Non-Veg"/>
    <x v="5"/>
    <x v="1"/>
  </r>
  <r>
    <s v="1st"/>
    <x v="2"/>
    <n v="1"/>
    <n v="6532686828"/>
    <s v="Paid"/>
    <s v="Yes"/>
    <s v="Non-Veg"/>
    <x v="3"/>
    <x v="2"/>
  </r>
  <r>
    <s v="1st"/>
    <x v="0"/>
    <n v="1"/>
    <n v="8573092728"/>
    <s v="Paid"/>
    <s v="No"/>
    <s v="Non-Veg"/>
    <x v="5"/>
    <x v="2"/>
  </r>
  <r>
    <s v="1st"/>
    <x v="2"/>
    <n v="1"/>
    <n v="6489472674"/>
    <s v="Paid"/>
    <s v="Yes"/>
    <s v="Non-Veg"/>
    <x v="4"/>
    <x v="2"/>
  </r>
  <r>
    <s v="4th"/>
    <x v="3"/>
    <n v="7"/>
    <n v="8442835198"/>
    <s v="Due"/>
    <s v="No"/>
    <s v="Veg"/>
    <x v="1"/>
    <x v="0"/>
  </r>
  <r>
    <s v="4th"/>
    <x v="0"/>
    <n v="7"/>
    <n v="7723902708"/>
    <s v="Paid"/>
    <s v="No"/>
    <s v="Veg"/>
    <x v="1"/>
    <x v="2"/>
  </r>
  <r>
    <s v="2nd"/>
    <x v="0"/>
    <n v="3"/>
    <n v="8213058272"/>
    <s v="Paid"/>
    <s v="Yes"/>
    <s v="Veg"/>
    <x v="1"/>
    <x v="0"/>
  </r>
  <r>
    <s v="1st"/>
    <x v="1"/>
    <n v="1"/>
    <n v="6224064382"/>
    <s v="Due"/>
    <s v="No"/>
    <s v="Veg"/>
    <x v="4"/>
    <x v="2"/>
  </r>
  <r>
    <s v="4th"/>
    <x v="3"/>
    <n v="7"/>
    <n v="6029120214"/>
    <s v="Due"/>
    <s v="Yes"/>
    <s v="Non-Veg"/>
    <x v="1"/>
    <x v="2"/>
  </r>
  <r>
    <s v="2nd"/>
    <x v="1"/>
    <n v="3"/>
    <n v="7995892910"/>
    <s v="Paid"/>
    <s v="No"/>
    <s v="Veg"/>
    <x v="1"/>
    <x v="1"/>
  </r>
  <r>
    <s v="1st"/>
    <x v="1"/>
    <n v="1"/>
    <n v="6746780906"/>
    <s v="Paid"/>
    <s v="Yes"/>
    <s v="Veg"/>
    <x v="1"/>
    <x v="2"/>
  </r>
  <r>
    <s v="3rd"/>
    <x v="3"/>
    <n v="5"/>
    <n v="6842400297"/>
    <s v="Due"/>
    <s v="No"/>
    <s v="Non-Veg"/>
    <x v="0"/>
    <x v="2"/>
  </r>
  <r>
    <s v="4th"/>
    <x v="4"/>
    <n v="7"/>
    <n v="8594447711"/>
    <s v="Due"/>
    <s v="No"/>
    <s v="Non-Veg"/>
    <x v="1"/>
    <x v="0"/>
  </r>
  <r>
    <s v="4th"/>
    <x v="3"/>
    <n v="7"/>
    <n v="6636125476"/>
    <s v="Due"/>
    <s v="Yes"/>
    <s v="Veg"/>
    <x v="5"/>
    <x v="2"/>
  </r>
  <r>
    <s v="3rd"/>
    <x v="0"/>
    <n v="5"/>
    <n v="7662718863"/>
    <s v="Paid"/>
    <s v="No"/>
    <s v="Non-Veg"/>
    <x v="0"/>
    <x v="2"/>
  </r>
  <r>
    <s v="2nd"/>
    <x v="0"/>
    <n v="3"/>
    <n v="6664080094"/>
    <s v="Paid"/>
    <s v="Yes"/>
    <s v="Veg"/>
    <x v="4"/>
    <x v="1"/>
  </r>
  <r>
    <s v="2nd"/>
    <x v="1"/>
    <n v="3"/>
    <n v="8852790241"/>
    <s v="Paid"/>
    <s v="Yes"/>
    <s v="Veg"/>
    <x v="0"/>
    <x v="1"/>
  </r>
  <r>
    <s v="2nd"/>
    <x v="0"/>
    <n v="3"/>
    <n v="6018481124"/>
    <s v="Paid"/>
    <s v="No"/>
    <s v="Veg"/>
    <x v="3"/>
    <x v="1"/>
  </r>
  <r>
    <s v="4th"/>
    <x v="1"/>
    <n v="7"/>
    <n v="7966532117"/>
    <s v="Paid"/>
    <s v="Yes"/>
    <s v="Non-Veg"/>
    <x v="5"/>
    <x v="2"/>
  </r>
  <r>
    <s v="4th"/>
    <x v="0"/>
    <n v="7"/>
    <n v="7639041600"/>
    <s v="Due"/>
    <s v="Yes"/>
    <s v="Non-Veg"/>
    <x v="4"/>
    <x v="2"/>
  </r>
  <r>
    <s v="2nd"/>
    <x v="3"/>
    <n v="3"/>
    <n v="8425499906"/>
    <s v="Due"/>
    <s v="No"/>
    <s v="Veg"/>
    <x v="4"/>
    <x v="2"/>
  </r>
  <r>
    <s v="3rd"/>
    <x v="4"/>
    <n v="5"/>
    <n v="8128479615"/>
    <s v="Paid"/>
    <s v="No"/>
    <s v="Veg"/>
    <x v="0"/>
    <x v="2"/>
  </r>
  <r>
    <s v="1st"/>
    <x v="3"/>
    <n v="1"/>
    <n v="7329081362"/>
    <s v="Due"/>
    <s v="No"/>
    <s v="Non-Veg"/>
    <x v="1"/>
    <x v="0"/>
  </r>
  <r>
    <s v="1st"/>
    <x v="0"/>
    <n v="1"/>
    <n v="9843720558"/>
    <s v="Paid"/>
    <s v="No"/>
    <s v="Non-Veg"/>
    <x v="3"/>
    <x v="1"/>
  </r>
  <r>
    <s v="3rd"/>
    <x v="4"/>
    <n v="5"/>
    <n v="7872958481"/>
    <s v="Due"/>
    <s v="No"/>
    <s v="Non-Veg"/>
    <x v="4"/>
    <x v="0"/>
  </r>
  <r>
    <s v="1st"/>
    <x v="0"/>
    <n v="1"/>
    <n v="7265529176"/>
    <s v="Paid"/>
    <s v="Yes"/>
    <s v="Non-Veg"/>
    <x v="4"/>
    <x v="2"/>
  </r>
  <r>
    <s v="3rd"/>
    <x v="0"/>
    <n v="5"/>
    <n v="7175138999"/>
    <s v="Paid"/>
    <s v="No"/>
    <s v="Non-Veg"/>
    <x v="1"/>
    <x v="0"/>
  </r>
  <r>
    <s v="4th"/>
    <x v="2"/>
    <n v="7"/>
    <n v="6916929404"/>
    <s v="Paid"/>
    <s v="Yes"/>
    <s v="Non-Veg"/>
    <x v="1"/>
    <x v="2"/>
  </r>
  <r>
    <s v="2nd"/>
    <x v="4"/>
    <n v="3"/>
    <n v="7578639935"/>
    <s v="Due"/>
    <s v="No"/>
    <s v="Non-Veg"/>
    <x v="2"/>
    <x v="1"/>
  </r>
  <r>
    <s v="4th"/>
    <x v="4"/>
    <n v="7"/>
    <n v="7981115337"/>
    <s v="Due"/>
    <s v="Yes"/>
    <s v="Non-Veg"/>
    <x v="1"/>
    <x v="2"/>
  </r>
  <r>
    <s v="4th"/>
    <x v="4"/>
    <n v="7"/>
    <n v="6759915509"/>
    <s v="Due"/>
    <s v="Yes"/>
    <s v="Non-Veg"/>
    <x v="3"/>
    <x v="2"/>
  </r>
  <r>
    <s v="4th"/>
    <x v="4"/>
    <n v="7"/>
    <n v="6043371887"/>
    <s v="Due"/>
    <s v="No"/>
    <s v="Non-Veg"/>
    <x v="3"/>
    <x v="0"/>
  </r>
  <r>
    <s v="2nd"/>
    <x v="1"/>
    <n v="3"/>
    <n v="7056373018"/>
    <s v="Paid"/>
    <s v="No"/>
    <s v="Veg"/>
    <x v="4"/>
    <x v="1"/>
  </r>
  <r>
    <s v="4th"/>
    <x v="3"/>
    <n v="7"/>
    <n v="9966393845"/>
    <s v="Paid"/>
    <s v="No"/>
    <s v="Veg"/>
    <x v="2"/>
    <x v="2"/>
  </r>
  <r>
    <s v="1st"/>
    <x v="0"/>
    <n v="1"/>
    <n v="8222071316"/>
    <s v="Paid"/>
    <s v="No"/>
    <s v="Non-Veg"/>
    <x v="1"/>
    <x v="2"/>
  </r>
  <r>
    <s v="4th"/>
    <x v="2"/>
    <n v="7"/>
    <n v="8040119751"/>
    <s v="Due"/>
    <s v="No"/>
    <s v="Veg"/>
    <x v="2"/>
    <x v="2"/>
  </r>
  <r>
    <s v="3rd"/>
    <x v="2"/>
    <n v="5"/>
    <n v="8432055028"/>
    <s v="Paid"/>
    <s v="No"/>
    <s v="Veg"/>
    <x v="2"/>
    <x v="2"/>
  </r>
  <r>
    <s v="2nd"/>
    <x v="3"/>
    <n v="3"/>
    <n v="7458810015"/>
    <s v="Paid"/>
    <s v="Yes"/>
    <s v="Non-Veg"/>
    <x v="3"/>
    <x v="2"/>
  </r>
  <r>
    <s v="4th"/>
    <x v="0"/>
    <n v="7"/>
    <n v="7660936281"/>
    <s v="Paid"/>
    <s v="Yes"/>
    <s v="Veg"/>
    <x v="5"/>
    <x v="1"/>
  </r>
  <r>
    <s v="2nd"/>
    <x v="1"/>
    <n v="3"/>
    <n v="9589950817"/>
    <s v="Paid"/>
    <s v="Yes"/>
    <s v="Veg"/>
    <x v="1"/>
    <x v="0"/>
  </r>
  <r>
    <s v="1st"/>
    <x v="2"/>
    <n v="1"/>
    <n v="6652375431"/>
    <s v="Paid"/>
    <s v="No"/>
    <s v="Veg"/>
    <x v="0"/>
    <x v="2"/>
  </r>
  <r>
    <s v="4th"/>
    <x v="2"/>
    <n v="7"/>
    <n v="8146157458"/>
    <s v="Paid"/>
    <s v="Yes"/>
    <s v="Veg"/>
    <x v="4"/>
    <x v="1"/>
  </r>
  <r>
    <s v="3rd"/>
    <x v="3"/>
    <n v="5"/>
    <n v="7749961526"/>
    <s v="Due"/>
    <s v="Yes"/>
    <s v="Non-Veg"/>
    <x v="4"/>
    <x v="2"/>
  </r>
  <r>
    <s v="2nd"/>
    <x v="0"/>
    <n v="3"/>
    <n v="8837328306"/>
    <s v="Paid"/>
    <s v="No"/>
    <s v="Veg"/>
    <x v="3"/>
    <x v="1"/>
  </r>
  <r>
    <s v="2nd"/>
    <x v="0"/>
    <n v="3"/>
    <n v="7517974835"/>
    <s v="Due"/>
    <s v="Yes"/>
    <s v="Veg"/>
    <x v="0"/>
    <x v="2"/>
  </r>
  <r>
    <s v="3rd"/>
    <x v="0"/>
    <n v="5"/>
    <n v="9247984940"/>
    <s v="Paid"/>
    <s v="No"/>
    <s v="Non-Veg"/>
    <x v="1"/>
    <x v="2"/>
  </r>
  <r>
    <s v="3rd"/>
    <x v="1"/>
    <n v="5"/>
    <n v="7808483238"/>
    <s v="Due"/>
    <s v="No"/>
    <s v="Non-Veg"/>
    <x v="3"/>
    <x v="2"/>
  </r>
  <r>
    <s v="3rd"/>
    <x v="4"/>
    <n v="5"/>
    <n v="9674474748"/>
    <s v="Due"/>
    <s v="Yes"/>
    <s v="Non-Veg"/>
    <x v="0"/>
    <x v="2"/>
  </r>
  <r>
    <s v="3rd"/>
    <x v="4"/>
    <n v="5"/>
    <n v="6760706177"/>
    <s v="Paid"/>
    <s v="Yes"/>
    <s v="Non-Veg"/>
    <x v="1"/>
    <x v="2"/>
  </r>
  <r>
    <s v="1st"/>
    <x v="2"/>
    <n v="1"/>
    <n v="6016851584"/>
    <s v="Paid"/>
    <s v="No"/>
    <s v="Veg"/>
    <x v="0"/>
    <x v="2"/>
  </r>
  <r>
    <s v="1st"/>
    <x v="2"/>
    <n v="1"/>
    <n v="6710324869"/>
    <s v="Due"/>
    <s v="Yes"/>
    <s v="Non-Veg"/>
    <x v="1"/>
    <x v="0"/>
  </r>
  <r>
    <s v="4th"/>
    <x v="2"/>
    <n v="7"/>
    <n v="9055636678"/>
    <s v="Due"/>
    <s v="Yes"/>
    <s v="Non-Veg"/>
    <x v="0"/>
    <x v="2"/>
  </r>
  <r>
    <s v="1st"/>
    <x v="2"/>
    <n v="1"/>
    <n v="6744800165"/>
    <s v="Paid"/>
    <s v="Yes"/>
    <s v="Non-Veg"/>
    <x v="4"/>
    <x v="0"/>
  </r>
  <r>
    <s v="2nd"/>
    <x v="0"/>
    <n v="3"/>
    <n v="8241218520"/>
    <s v="Due"/>
    <s v="Yes"/>
    <s v="Veg"/>
    <x v="3"/>
    <x v="1"/>
  </r>
  <r>
    <s v="1st"/>
    <x v="4"/>
    <n v="1"/>
    <n v="6561378375"/>
    <s v="Paid"/>
    <s v="No"/>
    <s v="Non-Veg"/>
    <x v="0"/>
    <x v="2"/>
  </r>
  <r>
    <s v="4th"/>
    <x v="4"/>
    <n v="7"/>
    <n v="6539466165"/>
    <s v="Paid"/>
    <s v="No"/>
    <s v="Non-Veg"/>
    <x v="1"/>
    <x v="1"/>
  </r>
  <r>
    <s v="3rd"/>
    <x v="1"/>
    <n v="5"/>
    <n v="7100920800"/>
    <s v="Paid"/>
    <s v="No"/>
    <s v="Veg"/>
    <x v="4"/>
    <x v="1"/>
  </r>
  <r>
    <s v="3rd"/>
    <x v="1"/>
    <n v="5"/>
    <n v="7631837536"/>
    <s v="Paid"/>
    <s v="Yes"/>
    <s v="Veg"/>
    <x v="3"/>
    <x v="2"/>
  </r>
  <r>
    <s v="3rd"/>
    <x v="4"/>
    <n v="5"/>
    <n v="7215178339"/>
    <s v="Paid"/>
    <s v="Yes"/>
    <s v="Veg"/>
    <x v="1"/>
    <x v="1"/>
  </r>
  <r>
    <s v="1st"/>
    <x v="4"/>
    <n v="1"/>
    <n v="7449425536"/>
    <s v="Paid"/>
    <s v="Yes"/>
    <s v="Non-Veg"/>
    <x v="4"/>
    <x v="2"/>
  </r>
  <r>
    <s v="4th"/>
    <x v="3"/>
    <n v="7"/>
    <n v="7488243527"/>
    <s v="Due"/>
    <s v="No"/>
    <s v="Non-Veg"/>
    <x v="5"/>
    <x v="1"/>
  </r>
  <r>
    <s v="2nd"/>
    <x v="1"/>
    <n v="3"/>
    <n v="6638446925"/>
    <s v="Due"/>
    <s v="Yes"/>
    <s v="Veg"/>
    <x v="2"/>
    <x v="1"/>
  </r>
  <r>
    <s v="4th"/>
    <x v="4"/>
    <n v="7"/>
    <n v="7241751573"/>
    <s v="Due"/>
    <s v="No"/>
    <s v="Veg"/>
    <x v="1"/>
    <x v="1"/>
  </r>
  <r>
    <s v="4th"/>
    <x v="0"/>
    <n v="7"/>
    <n v="8982599699"/>
    <s v="Paid"/>
    <s v="No"/>
    <s v="Non-Veg"/>
    <x v="1"/>
    <x v="0"/>
  </r>
  <r>
    <s v="1st"/>
    <x v="4"/>
    <n v="1"/>
    <n v="9884395934"/>
    <s v="Paid"/>
    <s v="Yes"/>
    <s v="Veg"/>
    <x v="1"/>
    <x v="2"/>
  </r>
  <r>
    <s v="1st"/>
    <x v="1"/>
    <n v="1"/>
    <n v="7023587431"/>
    <s v="Paid"/>
    <s v="Yes"/>
    <s v="Non-Veg"/>
    <x v="2"/>
    <x v="2"/>
  </r>
  <r>
    <s v="4th"/>
    <x v="2"/>
    <n v="7"/>
    <n v="7442807338"/>
    <s v="Due"/>
    <s v="Yes"/>
    <s v="Non-Veg"/>
    <x v="2"/>
    <x v="1"/>
  </r>
  <r>
    <s v="1st"/>
    <x v="4"/>
    <n v="1"/>
    <n v="9423836399"/>
    <s v="Paid"/>
    <s v="Yes"/>
    <s v="Veg"/>
    <x v="1"/>
    <x v="1"/>
  </r>
  <r>
    <s v="1st"/>
    <x v="1"/>
    <n v="1"/>
    <n v="7422699392"/>
    <s v="Paid"/>
    <s v="Yes"/>
    <s v="Veg"/>
    <x v="2"/>
    <x v="1"/>
  </r>
  <r>
    <s v="2nd"/>
    <x v="1"/>
    <n v="3"/>
    <n v="9362476393"/>
    <s v="Paid"/>
    <s v="No"/>
    <s v="Veg"/>
    <x v="2"/>
    <x v="2"/>
  </r>
  <r>
    <s v="4th"/>
    <x v="0"/>
    <n v="7"/>
    <n v="8663603389"/>
    <s v="Paid"/>
    <s v="No"/>
    <s v="Veg"/>
    <x v="2"/>
    <x v="0"/>
  </r>
  <r>
    <s v="1st"/>
    <x v="2"/>
    <n v="1"/>
    <n v="9031389119"/>
    <s v="Paid"/>
    <s v="No"/>
    <s v="Non-Veg"/>
    <x v="0"/>
    <x v="2"/>
  </r>
  <r>
    <s v="1st"/>
    <x v="4"/>
    <n v="1"/>
    <n v="6426975886"/>
    <s v="Due"/>
    <s v="No"/>
    <s v="Veg"/>
    <x v="5"/>
    <x v="0"/>
  </r>
  <r>
    <s v="3rd"/>
    <x v="1"/>
    <n v="5"/>
    <n v="8938331095"/>
    <s v="Due"/>
    <s v="No"/>
    <s v="Non-Veg"/>
    <x v="5"/>
    <x v="0"/>
  </r>
  <r>
    <s v="2nd"/>
    <x v="2"/>
    <n v="3"/>
    <n v="8065438945"/>
    <s v="Paid"/>
    <s v="Yes"/>
    <s v="Non-Veg"/>
    <x v="5"/>
    <x v="2"/>
  </r>
  <r>
    <s v="4th"/>
    <x v="1"/>
    <n v="7"/>
    <n v="8123120427"/>
    <s v="Due"/>
    <s v="No"/>
    <s v="Veg"/>
    <x v="3"/>
    <x v="2"/>
  </r>
  <r>
    <s v="2nd"/>
    <x v="1"/>
    <n v="3"/>
    <n v="7507233767"/>
    <s v="Due"/>
    <s v="Yes"/>
    <s v="Veg"/>
    <x v="1"/>
    <x v="0"/>
  </r>
  <r>
    <s v="3rd"/>
    <x v="3"/>
    <n v="5"/>
    <n v="8009312828"/>
    <s v="Due"/>
    <s v="Yes"/>
    <s v="Non-Veg"/>
    <x v="5"/>
    <x v="1"/>
  </r>
  <r>
    <s v="1st"/>
    <x v="1"/>
    <n v="1"/>
    <n v="7381251355"/>
    <s v="Paid"/>
    <s v="No"/>
    <s v="Non-Veg"/>
    <x v="1"/>
    <x v="2"/>
  </r>
  <r>
    <s v="1st"/>
    <x v="0"/>
    <n v="1"/>
    <n v="8757874656"/>
    <s v="Paid"/>
    <s v="Yes"/>
    <s v="Veg"/>
    <x v="3"/>
    <x v="2"/>
  </r>
  <r>
    <s v="1st"/>
    <x v="3"/>
    <n v="1"/>
    <n v="7244604939"/>
    <s v="Due"/>
    <s v="No"/>
    <s v="Veg"/>
    <x v="0"/>
    <x v="0"/>
  </r>
  <r>
    <s v="1st"/>
    <x v="2"/>
    <n v="1"/>
    <n v="8991465847"/>
    <s v="Paid"/>
    <s v="No"/>
    <s v="Non-Veg"/>
    <x v="5"/>
    <x v="1"/>
  </r>
  <r>
    <s v="1st"/>
    <x v="1"/>
    <n v="1"/>
    <n v="7712627893"/>
    <s v="Paid"/>
    <s v="Yes"/>
    <s v="Veg"/>
    <x v="4"/>
    <x v="1"/>
  </r>
  <r>
    <s v="1st"/>
    <x v="3"/>
    <n v="1"/>
    <n v="9134284930"/>
    <s v="Paid"/>
    <s v="Yes"/>
    <s v="Veg"/>
    <x v="4"/>
    <x v="0"/>
  </r>
  <r>
    <s v="4th"/>
    <x v="4"/>
    <n v="7"/>
    <n v="8592739796"/>
    <s v="Paid"/>
    <s v="Yes"/>
    <s v="Veg"/>
    <x v="1"/>
    <x v="2"/>
  </r>
  <r>
    <s v="3rd"/>
    <x v="1"/>
    <n v="5"/>
    <n v="7263962071"/>
    <s v="Due"/>
    <s v="Yes"/>
    <s v="Non-Veg"/>
    <x v="5"/>
    <x v="2"/>
  </r>
  <r>
    <s v="3rd"/>
    <x v="2"/>
    <n v="5"/>
    <n v="6802777637"/>
    <s v="Paid"/>
    <s v="Yes"/>
    <s v="Veg"/>
    <x v="1"/>
    <x v="1"/>
  </r>
  <r>
    <s v="1st"/>
    <x v="3"/>
    <n v="1"/>
    <n v="8380003977"/>
    <s v="Due"/>
    <s v="Yes"/>
    <s v="Veg"/>
    <x v="1"/>
    <x v="2"/>
  </r>
  <r>
    <s v="4th"/>
    <x v="1"/>
    <n v="7"/>
    <n v="7452989514"/>
    <s v="Paid"/>
    <s v="No"/>
    <s v="Non-Veg"/>
    <x v="1"/>
    <x v="2"/>
  </r>
  <r>
    <s v="2nd"/>
    <x v="4"/>
    <n v="3"/>
    <n v="9958928140"/>
    <s v="Due"/>
    <s v="No"/>
    <s v="Veg"/>
    <x v="5"/>
    <x v="0"/>
  </r>
  <r>
    <s v="3rd"/>
    <x v="3"/>
    <n v="5"/>
    <n v="9358394387"/>
    <s v="Due"/>
    <s v="Yes"/>
    <s v="Non-Veg"/>
    <x v="1"/>
    <x v="0"/>
  </r>
  <r>
    <s v="3rd"/>
    <x v="1"/>
    <n v="5"/>
    <n v="8050211683"/>
    <s v="Paid"/>
    <s v="No"/>
    <s v="Non-Veg"/>
    <x v="1"/>
    <x v="0"/>
  </r>
  <r>
    <s v="4th"/>
    <x v="1"/>
    <n v="7"/>
    <n v="8799177556"/>
    <s v="Paid"/>
    <s v="Yes"/>
    <s v="Non-Veg"/>
    <x v="5"/>
    <x v="1"/>
  </r>
  <r>
    <s v="1st"/>
    <x v="4"/>
    <n v="1"/>
    <n v="8829335955"/>
    <s v="Due"/>
    <s v="No"/>
    <s v="Non-Veg"/>
    <x v="1"/>
    <x v="1"/>
  </r>
  <r>
    <s v="1st"/>
    <x v="4"/>
    <n v="1"/>
    <n v="7106236932"/>
    <s v="Due"/>
    <s v="No"/>
    <s v="Non-Veg"/>
    <x v="4"/>
    <x v="2"/>
  </r>
  <r>
    <s v="4th"/>
    <x v="2"/>
    <n v="7"/>
    <n v="6778183212"/>
    <s v="Paid"/>
    <s v="Yes"/>
    <s v="Veg"/>
    <x v="4"/>
    <x v="2"/>
  </r>
  <r>
    <s v="2nd"/>
    <x v="0"/>
    <n v="3"/>
    <n v="7305820563"/>
    <s v="Due"/>
    <s v="No"/>
    <s v="Non-Veg"/>
    <x v="5"/>
    <x v="0"/>
  </r>
  <r>
    <s v="4th"/>
    <x v="2"/>
    <n v="7"/>
    <n v="6085750383"/>
    <s v="Paid"/>
    <s v="No"/>
    <s v="Veg"/>
    <x v="1"/>
    <x v="1"/>
  </r>
  <r>
    <s v="1st"/>
    <x v="0"/>
    <n v="1"/>
    <n v="6937024662"/>
    <s v="Paid"/>
    <s v="No"/>
    <s v="Veg"/>
    <x v="3"/>
    <x v="2"/>
  </r>
  <r>
    <s v="1st"/>
    <x v="0"/>
    <n v="1"/>
    <n v="9764627124"/>
    <s v="Paid"/>
    <s v="No"/>
    <s v="Non-Veg"/>
    <x v="1"/>
    <x v="1"/>
  </r>
  <r>
    <s v="4th"/>
    <x v="1"/>
    <n v="7"/>
    <n v="6894705621"/>
    <s v="Paid"/>
    <s v="No"/>
    <s v="Non-Veg"/>
    <x v="2"/>
    <x v="2"/>
  </r>
  <r>
    <s v="1st"/>
    <x v="4"/>
    <n v="1"/>
    <n v="7478040919"/>
    <s v="Paid"/>
    <s v="No"/>
    <s v="Veg"/>
    <x v="5"/>
    <x v="2"/>
  </r>
  <r>
    <s v="2nd"/>
    <x v="2"/>
    <n v="3"/>
    <n v="8413669015"/>
    <s v="Due"/>
    <s v="No"/>
    <s v="Non-Veg"/>
    <x v="1"/>
    <x v="2"/>
  </r>
  <r>
    <s v="1st"/>
    <x v="0"/>
    <n v="1"/>
    <n v="7509845517"/>
    <s v="Due"/>
    <s v="Yes"/>
    <s v="Veg"/>
    <x v="2"/>
    <x v="2"/>
  </r>
  <r>
    <s v="1st"/>
    <x v="4"/>
    <n v="1"/>
    <n v="7320490624"/>
    <s v="Due"/>
    <s v="No"/>
    <s v="Non-Veg"/>
    <x v="1"/>
    <x v="1"/>
  </r>
  <r>
    <s v="3rd"/>
    <x v="0"/>
    <n v="5"/>
    <n v="8670642324"/>
    <s v="Paid"/>
    <s v="No"/>
    <s v="Veg"/>
    <x v="0"/>
    <x v="0"/>
  </r>
  <r>
    <s v="1st"/>
    <x v="1"/>
    <n v="1"/>
    <n v="8608868511"/>
    <s v="Paid"/>
    <s v="Yes"/>
    <s v="Veg"/>
    <x v="3"/>
    <x v="2"/>
  </r>
  <r>
    <s v="4th"/>
    <x v="3"/>
    <n v="7"/>
    <n v="9398634264"/>
    <s v="Due"/>
    <s v="Yes"/>
    <s v="Veg"/>
    <x v="1"/>
    <x v="1"/>
  </r>
  <r>
    <s v="4th"/>
    <x v="1"/>
    <n v="7"/>
    <n v="6575664723"/>
    <s v="Paid"/>
    <s v="Yes"/>
    <s v="Non-Veg"/>
    <x v="1"/>
    <x v="1"/>
  </r>
  <r>
    <s v="2nd"/>
    <x v="1"/>
    <n v="3"/>
    <n v="9708243859"/>
    <s v="Paid"/>
    <s v="Yes"/>
    <s v="Non-Veg"/>
    <x v="1"/>
    <x v="1"/>
  </r>
  <r>
    <s v="3rd"/>
    <x v="2"/>
    <n v="5"/>
    <n v="6501963377"/>
    <s v="Paid"/>
    <s v="No"/>
    <s v="Veg"/>
    <x v="1"/>
    <x v="0"/>
  </r>
  <r>
    <s v="2nd"/>
    <x v="1"/>
    <n v="3"/>
    <n v="8679500866"/>
    <s v="Paid"/>
    <s v="No"/>
    <s v="Veg"/>
    <x v="1"/>
    <x v="2"/>
  </r>
  <r>
    <s v="2nd"/>
    <x v="2"/>
    <n v="3"/>
    <n v="7304676721"/>
    <s v="Paid"/>
    <s v="No"/>
    <s v="Non-Veg"/>
    <x v="0"/>
    <x v="2"/>
  </r>
  <r>
    <s v="3rd"/>
    <x v="1"/>
    <n v="5"/>
    <n v="8566880913"/>
    <s v="Due"/>
    <s v="Yes"/>
    <s v="Non-Veg"/>
    <x v="2"/>
    <x v="0"/>
  </r>
  <r>
    <s v="2nd"/>
    <x v="3"/>
    <n v="3"/>
    <n v="6241830847"/>
    <s v="Paid"/>
    <s v="No"/>
    <s v="Non-Veg"/>
    <x v="4"/>
    <x v="2"/>
  </r>
  <r>
    <s v="2nd"/>
    <x v="2"/>
    <n v="3"/>
    <n v="6868890909"/>
    <s v="Due"/>
    <s v="Yes"/>
    <s v="Veg"/>
    <x v="1"/>
    <x v="1"/>
  </r>
  <r>
    <s v="4th"/>
    <x v="2"/>
    <n v="7"/>
    <n v="9254975927"/>
    <s v="Paid"/>
    <s v="Yes"/>
    <s v="Non-Veg"/>
    <x v="1"/>
    <x v="2"/>
  </r>
  <r>
    <s v="3rd"/>
    <x v="3"/>
    <n v="5"/>
    <n v="8219286416"/>
    <s v="Paid"/>
    <s v="Yes"/>
    <s v="Veg"/>
    <x v="2"/>
    <x v="0"/>
  </r>
  <r>
    <s v="2nd"/>
    <x v="1"/>
    <n v="3"/>
    <n v="7366898250"/>
    <s v="Paid"/>
    <s v="Yes"/>
    <s v="Veg"/>
    <x v="1"/>
    <x v="1"/>
  </r>
  <r>
    <s v="4th"/>
    <x v="1"/>
    <n v="7"/>
    <n v="6021890263"/>
    <s v="Paid"/>
    <s v="No"/>
    <s v="Veg"/>
    <x v="1"/>
    <x v="2"/>
  </r>
  <r>
    <s v="4th"/>
    <x v="1"/>
    <n v="7"/>
    <n v="7918713135"/>
    <s v="Paid"/>
    <s v="Yes"/>
    <s v="Veg"/>
    <x v="3"/>
    <x v="2"/>
  </r>
  <r>
    <s v="2nd"/>
    <x v="4"/>
    <n v="3"/>
    <n v="9178261686"/>
    <s v="Paid"/>
    <s v="Yes"/>
    <s v="Non-Veg"/>
    <x v="4"/>
    <x v="1"/>
  </r>
  <r>
    <s v="2nd"/>
    <x v="0"/>
    <n v="3"/>
    <n v="9633833628"/>
    <s v="Due"/>
    <s v="Yes"/>
    <s v="Non-Veg"/>
    <x v="1"/>
    <x v="0"/>
  </r>
  <r>
    <s v="2nd"/>
    <x v="1"/>
    <n v="3"/>
    <n v="9570615344"/>
    <s v="Due"/>
    <s v="No"/>
    <s v="Veg"/>
    <x v="4"/>
    <x v="2"/>
  </r>
  <r>
    <s v="4th"/>
    <x v="4"/>
    <n v="7"/>
    <n v="6193139365"/>
    <s v="Due"/>
    <s v="No"/>
    <s v="Veg"/>
    <x v="1"/>
    <x v="0"/>
  </r>
  <r>
    <s v="3rd"/>
    <x v="1"/>
    <n v="5"/>
    <n v="8328043599"/>
    <s v="Due"/>
    <s v="Yes"/>
    <s v="Veg"/>
    <x v="3"/>
    <x v="1"/>
  </r>
  <r>
    <s v="3rd"/>
    <x v="1"/>
    <n v="5"/>
    <n v="6785071094"/>
    <s v="Paid"/>
    <s v="No"/>
    <s v="Veg"/>
    <x v="5"/>
    <x v="1"/>
  </r>
  <r>
    <s v="1st"/>
    <x v="0"/>
    <n v="1"/>
    <n v="8231655871"/>
    <s v="Paid"/>
    <s v="No"/>
    <s v="Non-Veg"/>
    <x v="0"/>
    <x v="0"/>
  </r>
  <r>
    <s v="2nd"/>
    <x v="3"/>
    <n v="3"/>
    <n v="9835142753"/>
    <s v="Due"/>
    <s v="No"/>
    <s v="Veg"/>
    <x v="5"/>
    <x v="0"/>
  </r>
  <r>
    <s v="2nd"/>
    <x v="3"/>
    <n v="3"/>
    <n v="6655421202"/>
    <s v="Paid"/>
    <s v="Yes"/>
    <s v="Veg"/>
    <x v="1"/>
    <x v="2"/>
  </r>
  <r>
    <s v="4th"/>
    <x v="4"/>
    <n v="7"/>
    <n v="6195026846"/>
    <s v="Paid"/>
    <s v="No"/>
    <s v="Veg"/>
    <x v="0"/>
    <x v="1"/>
  </r>
  <r>
    <s v="2nd"/>
    <x v="3"/>
    <n v="3"/>
    <n v="9805179615"/>
    <s v="Due"/>
    <s v="Yes"/>
    <s v="Veg"/>
    <x v="5"/>
    <x v="2"/>
  </r>
  <r>
    <s v="1st"/>
    <x v="3"/>
    <n v="1"/>
    <n v="6509196471"/>
    <s v="Paid"/>
    <s v="No"/>
    <s v="Veg"/>
    <x v="5"/>
    <x v="2"/>
  </r>
  <r>
    <s v="2nd"/>
    <x v="4"/>
    <n v="3"/>
    <n v="7857047171"/>
    <s v="Due"/>
    <s v="Yes"/>
    <s v="Non-Veg"/>
    <x v="2"/>
    <x v="2"/>
  </r>
  <r>
    <s v="1st"/>
    <x v="3"/>
    <n v="1"/>
    <n v="9308105932"/>
    <s v="Paid"/>
    <s v="Yes"/>
    <s v="Veg"/>
    <x v="5"/>
    <x v="1"/>
  </r>
  <r>
    <s v="4th"/>
    <x v="0"/>
    <n v="7"/>
    <n v="8085452036"/>
    <s v="Due"/>
    <s v="No"/>
    <s v="Non-Veg"/>
    <x v="1"/>
    <x v="2"/>
  </r>
  <r>
    <s v="1st"/>
    <x v="0"/>
    <n v="1"/>
    <n v="8758498860"/>
    <s v="Paid"/>
    <s v="No"/>
    <s v="Non-Veg"/>
    <x v="1"/>
    <x v="0"/>
  </r>
  <r>
    <s v="1st"/>
    <x v="1"/>
    <n v="1"/>
    <n v="9398881248"/>
    <s v="Paid"/>
    <s v="Yes"/>
    <s v="Veg"/>
    <x v="2"/>
    <x v="2"/>
  </r>
  <r>
    <s v="1st"/>
    <x v="1"/>
    <n v="1"/>
    <n v="8615835306"/>
    <s v="Paid"/>
    <s v="Yes"/>
    <s v="Non-Veg"/>
    <x v="5"/>
    <x v="2"/>
  </r>
  <r>
    <s v="3rd"/>
    <x v="2"/>
    <n v="5"/>
    <n v="9425841780"/>
    <s v="Due"/>
    <s v="No"/>
    <s v="Veg"/>
    <x v="4"/>
    <x v="1"/>
  </r>
  <r>
    <s v="2nd"/>
    <x v="4"/>
    <n v="3"/>
    <n v="8943284099"/>
    <s v="Due"/>
    <s v="Yes"/>
    <s v="Veg"/>
    <x v="1"/>
    <x v="2"/>
  </r>
  <r>
    <s v="2nd"/>
    <x v="2"/>
    <n v="3"/>
    <n v="6650420596"/>
    <s v="Paid"/>
    <s v="Yes"/>
    <s v="Veg"/>
    <x v="3"/>
    <x v="2"/>
  </r>
  <r>
    <s v="1st"/>
    <x v="0"/>
    <n v="1"/>
    <n v="7242389060"/>
    <s v="Due"/>
    <s v="Yes"/>
    <s v="Veg"/>
    <x v="1"/>
    <x v="2"/>
  </r>
  <r>
    <s v="2nd"/>
    <x v="1"/>
    <n v="3"/>
    <n v="7691732993"/>
    <s v="Due"/>
    <s v="Yes"/>
    <s v="Non-Veg"/>
    <x v="0"/>
    <x v="1"/>
  </r>
  <r>
    <s v="3rd"/>
    <x v="2"/>
    <n v="5"/>
    <n v="8293622460"/>
    <s v="Due"/>
    <s v="Yes"/>
    <s v="Veg"/>
    <x v="4"/>
    <x v="0"/>
  </r>
  <r>
    <s v="2nd"/>
    <x v="3"/>
    <n v="3"/>
    <n v="6413890731"/>
    <s v="Due"/>
    <s v="No"/>
    <s v="Non-Veg"/>
    <x v="0"/>
    <x v="2"/>
  </r>
  <r>
    <s v="1st"/>
    <x v="0"/>
    <n v="1"/>
    <n v="6482716114"/>
    <s v="Paid"/>
    <s v="Yes"/>
    <s v="Veg"/>
    <x v="1"/>
    <x v="2"/>
  </r>
  <r>
    <s v="1st"/>
    <x v="1"/>
    <n v="1"/>
    <n v="7820565827"/>
    <s v="Due"/>
    <s v="Yes"/>
    <s v="Non-Veg"/>
    <x v="1"/>
    <x v="1"/>
  </r>
  <r>
    <s v="1st"/>
    <x v="0"/>
    <n v="1"/>
    <n v="8901463651"/>
    <s v="Due"/>
    <s v="Yes"/>
    <s v="Non-Veg"/>
    <x v="1"/>
    <x v="1"/>
  </r>
  <r>
    <s v="1st"/>
    <x v="3"/>
    <n v="1"/>
    <n v="9800791989"/>
    <s v="Due"/>
    <s v="No"/>
    <s v="Non-Veg"/>
    <x v="4"/>
    <x v="2"/>
  </r>
  <r>
    <s v="4th"/>
    <x v="2"/>
    <n v="7"/>
    <n v="9400327196"/>
    <s v="Paid"/>
    <s v="No"/>
    <s v="Veg"/>
    <x v="3"/>
    <x v="0"/>
  </r>
  <r>
    <s v="1st"/>
    <x v="3"/>
    <n v="1"/>
    <n v="6391016261"/>
    <s v="Due"/>
    <s v="Yes"/>
    <s v="Veg"/>
    <x v="4"/>
    <x v="1"/>
  </r>
  <r>
    <s v="1st"/>
    <x v="3"/>
    <n v="1"/>
    <n v="7335568316"/>
    <s v="Paid"/>
    <s v="No"/>
    <s v="Non-Veg"/>
    <x v="4"/>
    <x v="2"/>
  </r>
  <r>
    <s v="3rd"/>
    <x v="0"/>
    <n v="5"/>
    <n v="9537103484"/>
    <s v="Due"/>
    <s v="No"/>
    <s v="Non-Veg"/>
    <x v="1"/>
    <x v="2"/>
  </r>
  <r>
    <s v="4th"/>
    <x v="2"/>
    <n v="7"/>
    <n v="7557752541"/>
    <s v="Due"/>
    <s v="Yes"/>
    <s v="Non-Veg"/>
    <x v="3"/>
    <x v="2"/>
  </r>
  <r>
    <s v="4th"/>
    <x v="1"/>
    <n v="7"/>
    <n v="7263338417"/>
    <s v="Due"/>
    <s v="Yes"/>
    <s v="Veg"/>
    <x v="0"/>
    <x v="2"/>
  </r>
  <r>
    <s v="4th"/>
    <x v="2"/>
    <n v="7"/>
    <n v="8898878405"/>
    <s v="Paid"/>
    <s v="No"/>
    <s v="Veg"/>
    <x v="3"/>
    <x v="2"/>
  </r>
  <r>
    <s v="3rd"/>
    <x v="0"/>
    <n v="5"/>
    <n v="6370750663"/>
    <s v="Due"/>
    <s v="Yes"/>
    <s v="Veg"/>
    <x v="1"/>
    <x v="2"/>
  </r>
  <r>
    <s v="2nd"/>
    <x v="1"/>
    <n v="3"/>
    <n v="9470306834"/>
    <s v="Due"/>
    <s v="No"/>
    <s v="Non-Veg"/>
    <x v="1"/>
    <x v="1"/>
  </r>
  <r>
    <s v="4th"/>
    <x v="4"/>
    <n v="7"/>
    <n v="7140407908"/>
    <s v="Paid"/>
    <s v="No"/>
    <s v="Non-Veg"/>
    <x v="4"/>
    <x v="2"/>
  </r>
  <r>
    <s v="4th"/>
    <x v="0"/>
    <n v="7"/>
    <n v="7219227246"/>
    <s v="Paid"/>
    <s v="No"/>
    <s v="Non-Veg"/>
    <x v="0"/>
    <x v="0"/>
  </r>
  <r>
    <s v="3rd"/>
    <x v="2"/>
    <n v="5"/>
    <n v="6924752263"/>
    <s v="Paid"/>
    <s v="Yes"/>
    <s v="Non-Veg"/>
    <x v="5"/>
    <x v="0"/>
  </r>
  <r>
    <s v="3rd"/>
    <x v="1"/>
    <n v="5"/>
    <n v="8571037427"/>
    <s v="Due"/>
    <s v="No"/>
    <s v="Non-Veg"/>
    <x v="1"/>
    <x v="0"/>
  </r>
  <r>
    <s v="2nd"/>
    <x v="0"/>
    <n v="3"/>
    <n v="8906470231"/>
    <s v="Due"/>
    <s v="Yes"/>
    <s v="Veg"/>
    <x v="0"/>
    <x v="2"/>
  </r>
  <r>
    <s v="3rd"/>
    <x v="0"/>
    <n v="5"/>
    <n v="6855104557"/>
    <s v="Paid"/>
    <s v="No"/>
    <s v="Non-Veg"/>
    <x v="5"/>
    <x v="0"/>
  </r>
  <r>
    <s v="4th"/>
    <x v="4"/>
    <n v="7"/>
    <n v="8510184689"/>
    <s v="Due"/>
    <s v="No"/>
    <s v="Veg"/>
    <x v="2"/>
    <x v="2"/>
  </r>
  <r>
    <s v="4th"/>
    <x v="4"/>
    <n v="7"/>
    <n v="7941047717"/>
    <s v="Due"/>
    <s v="No"/>
    <s v="Non-Veg"/>
    <x v="5"/>
    <x v="2"/>
  </r>
  <r>
    <s v="4th"/>
    <x v="3"/>
    <n v="7"/>
    <n v="8133614467"/>
    <s v="Paid"/>
    <s v="Yes"/>
    <s v="Veg"/>
    <x v="5"/>
    <x v="0"/>
  </r>
  <r>
    <s v="2nd"/>
    <x v="3"/>
    <n v="3"/>
    <n v="6891077641"/>
    <s v="Due"/>
    <s v="No"/>
    <s v="Veg"/>
    <x v="1"/>
    <x v="2"/>
  </r>
  <r>
    <s v="3rd"/>
    <x v="1"/>
    <n v="5"/>
    <n v="7076837972"/>
    <s v="Paid"/>
    <s v="Yes"/>
    <s v="Veg"/>
    <x v="0"/>
    <x v="0"/>
  </r>
  <r>
    <s v="3rd"/>
    <x v="3"/>
    <n v="5"/>
    <n v="6659008742"/>
    <s v="Paid"/>
    <s v="No"/>
    <s v="Non-Veg"/>
    <x v="2"/>
    <x v="2"/>
  </r>
  <r>
    <s v="1st"/>
    <x v="0"/>
    <n v="1"/>
    <n v="6581669564"/>
    <s v="Paid"/>
    <s v="Yes"/>
    <s v="Veg"/>
    <x v="1"/>
    <x v="1"/>
  </r>
  <r>
    <s v="2nd"/>
    <x v="2"/>
    <n v="3"/>
    <n v="7576405064"/>
    <s v="Paid"/>
    <s v="No"/>
    <s v="Veg"/>
    <x v="1"/>
    <x v="0"/>
  </r>
  <r>
    <s v="1st"/>
    <x v="1"/>
    <n v="1"/>
    <n v="8640490987"/>
    <s v="Paid"/>
    <s v="No"/>
    <s v="Non-Veg"/>
    <x v="1"/>
    <x v="2"/>
  </r>
  <r>
    <s v="3rd"/>
    <x v="3"/>
    <n v="5"/>
    <n v="7857290666"/>
    <s v="Paid"/>
    <s v="No"/>
    <s v="Non-Veg"/>
    <x v="3"/>
    <x v="1"/>
  </r>
  <r>
    <s v="2nd"/>
    <x v="3"/>
    <n v="3"/>
    <n v="9677037792"/>
    <s v="Paid"/>
    <s v="Yes"/>
    <s v="Non-Veg"/>
    <x v="1"/>
    <x v="2"/>
  </r>
  <r>
    <s v="3rd"/>
    <x v="1"/>
    <n v="5"/>
    <n v="8033326799"/>
    <s v="Due"/>
    <s v="Yes"/>
    <s v="Non-Veg"/>
    <x v="1"/>
    <x v="0"/>
  </r>
  <r>
    <s v="4th"/>
    <x v="3"/>
    <n v="7"/>
    <n v="8758669981"/>
    <s v="Due"/>
    <s v="No"/>
    <s v="Veg"/>
    <x v="4"/>
    <x v="2"/>
  </r>
  <r>
    <s v="3rd"/>
    <x v="0"/>
    <n v="5"/>
    <n v="9121064857"/>
    <s v="Due"/>
    <s v="No"/>
    <s v="Veg"/>
    <x v="5"/>
    <x v="1"/>
  </r>
  <r>
    <s v="4th"/>
    <x v="4"/>
    <n v="7"/>
    <n v="7774928235"/>
    <s v="Due"/>
    <s v="No"/>
    <s v="Non-Veg"/>
    <x v="1"/>
    <x v="1"/>
  </r>
  <r>
    <s v="4th"/>
    <x v="1"/>
    <n v="7"/>
    <n v="6318602399"/>
    <s v="Due"/>
    <s v="No"/>
    <s v="Non-Veg"/>
    <x v="3"/>
    <x v="0"/>
  </r>
  <r>
    <s v="4th"/>
    <x v="1"/>
    <n v="7"/>
    <n v="9474566659"/>
    <s v="Paid"/>
    <s v="No"/>
    <s v="Veg"/>
    <x v="3"/>
    <x v="1"/>
  </r>
  <r>
    <s v="1st"/>
    <x v="1"/>
    <n v="1"/>
    <n v="7530342597"/>
    <s v="Paid"/>
    <s v="Yes"/>
    <s v="Veg"/>
    <x v="3"/>
    <x v="0"/>
  </r>
  <r>
    <s v="2nd"/>
    <x v="1"/>
    <n v="3"/>
    <n v="7507724242"/>
    <s v="Paid"/>
    <s v="No"/>
    <s v="Veg"/>
    <x v="4"/>
    <x v="0"/>
  </r>
  <r>
    <s v="1st"/>
    <x v="3"/>
    <n v="1"/>
    <n v="9415389868"/>
    <s v="Due"/>
    <s v="No"/>
    <s v="Veg"/>
    <x v="1"/>
    <x v="2"/>
  </r>
  <r>
    <s v="3rd"/>
    <x v="2"/>
    <n v="5"/>
    <n v="8472602880"/>
    <s v="Paid"/>
    <s v="No"/>
    <s v="Non-Veg"/>
    <x v="0"/>
    <x v="2"/>
  </r>
  <r>
    <s v="3rd"/>
    <x v="0"/>
    <n v="5"/>
    <n v="6362530497"/>
    <s v="Due"/>
    <s v="No"/>
    <s v="Veg"/>
    <x v="3"/>
    <x v="2"/>
  </r>
  <r>
    <s v="4th"/>
    <x v="4"/>
    <n v="7"/>
    <n v="8222411847"/>
    <s v="Paid"/>
    <s v="Yes"/>
    <s v="Veg"/>
    <x v="3"/>
    <x v="0"/>
  </r>
  <r>
    <s v="3rd"/>
    <x v="3"/>
    <n v="5"/>
    <n v="6121596566"/>
    <s v="Paid"/>
    <s v="No"/>
    <s v="Non-Veg"/>
    <x v="2"/>
    <x v="2"/>
  </r>
  <r>
    <s v="3rd"/>
    <x v="2"/>
    <n v="5"/>
    <n v="8856174190"/>
    <s v="Due"/>
    <s v="Yes"/>
    <s v="Veg"/>
    <x v="1"/>
    <x v="2"/>
  </r>
  <r>
    <s v="1st"/>
    <x v="3"/>
    <n v="1"/>
    <n v="7814362402"/>
    <s v="Paid"/>
    <s v="No"/>
    <s v="Veg"/>
    <x v="4"/>
    <x v="0"/>
  </r>
  <r>
    <s v="2nd"/>
    <x v="3"/>
    <n v="3"/>
    <n v="8508206749"/>
    <s v="Due"/>
    <s v="No"/>
    <s v="Veg"/>
    <x v="2"/>
    <x v="2"/>
  </r>
  <r>
    <s v="2nd"/>
    <x v="1"/>
    <n v="3"/>
    <n v="9184741974"/>
    <s v="Due"/>
    <s v="Yes"/>
    <s v="Non-Veg"/>
    <x v="0"/>
    <x v="0"/>
  </r>
  <r>
    <s v="4th"/>
    <x v="2"/>
    <n v="7"/>
    <n v="8306373241"/>
    <s v="Due"/>
    <s v="Yes"/>
    <s v="Non-Veg"/>
    <x v="2"/>
    <x v="1"/>
  </r>
  <r>
    <s v="4th"/>
    <x v="2"/>
    <n v="7"/>
    <n v="6583374756"/>
    <s v="Paid"/>
    <s v="Yes"/>
    <s v="Veg"/>
    <x v="1"/>
    <x v="0"/>
  </r>
  <r>
    <s v="2nd"/>
    <x v="3"/>
    <n v="3"/>
    <n v="6326243264"/>
    <s v="Due"/>
    <s v="No"/>
    <s v="Veg"/>
    <x v="0"/>
    <x v="0"/>
  </r>
  <r>
    <s v="1st"/>
    <x v="4"/>
    <n v="1"/>
    <n v="6858107343"/>
    <s v="Due"/>
    <s v="Yes"/>
    <s v="Non-Veg"/>
    <x v="5"/>
    <x v="2"/>
  </r>
  <r>
    <s v="2nd"/>
    <x v="2"/>
    <n v="3"/>
    <n v="6711963659"/>
    <s v="Paid"/>
    <s v="Yes"/>
    <s v="Veg"/>
    <x v="4"/>
    <x v="0"/>
  </r>
  <r>
    <s v="3rd"/>
    <x v="3"/>
    <n v="5"/>
    <n v="6259634603"/>
    <s v="Due"/>
    <s v="No"/>
    <s v="Veg"/>
    <x v="1"/>
    <x v="2"/>
  </r>
  <r>
    <s v="3rd"/>
    <x v="3"/>
    <n v="5"/>
    <n v="8400810214"/>
    <s v="Paid"/>
    <s v="No"/>
    <s v="Veg"/>
    <x v="1"/>
    <x v="2"/>
  </r>
  <r>
    <s v="3rd"/>
    <x v="2"/>
    <n v="5"/>
    <n v="8782214667"/>
    <s v="Due"/>
    <s v="Yes"/>
    <s v="Non-Veg"/>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Jyoti Roy"/>
    <x v="0"/>
    <x v="0"/>
    <n v="3"/>
    <n v="9706233821"/>
    <x v="0"/>
    <s v="Yes"/>
    <s v="Veg"/>
    <x v="0"/>
    <s v="Singing"/>
  </r>
  <r>
    <s v="Aparna Kumar"/>
    <x v="0"/>
    <x v="0"/>
    <n v="3"/>
    <n v="6669525518"/>
    <x v="1"/>
    <s v="No"/>
    <s v="Non-Veg"/>
    <x v="1"/>
    <s v="Dance"/>
  </r>
  <r>
    <s v="Manish Kumar"/>
    <x v="1"/>
    <x v="1"/>
    <n v="5"/>
    <n v="6105851450"/>
    <x v="0"/>
    <s v="Yes"/>
    <s v="Veg"/>
    <x v="2"/>
    <s v="None"/>
  </r>
  <r>
    <s v="Aditya Yadav"/>
    <x v="0"/>
    <x v="1"/>
    <n v="3"/>
    <n v="6421418421"/>
    <x v="1"/>
    <s v="No"/>
    <s v="Non-Veg"/>
    <x v="3"/>
    <s v="Singing"/>
  </r>
  <r>
    <s v="Sandhya Dubey"/>
    <x v="1"/>
    <x v="0"/>
    <n v="5"/>
    <n v="6345416297"/>
    <x v="1"/>
    <s v="Yes"/>
    <s v="Non-Veg"/>
    <x v="1"/>
    <s v="None"/>
  </r>
  <r>
    <s v="Ananya Choudhary"/>
    <x v="2"/>
    <x v="2"/>
    <n v="7"/>
    <n v="9825291736"/>
    <x v="1"/>
    <s v="No"/>
    <s v="Veg"/>
    <x v="1"/>
    <s v="Dance"/>
  </r>
  <r>
    <s v="Swati Srivastava"/>
    <x v="3"/>
    <x v="3"/>
    <n v="1"/>
    <n v="6196589644"/>
    <x v="1"/>
    <s v="Yes"/>
    <s v="Non-Veg"/>
    <x v="4"/>
    <s v="Dance"/>
  </r>
  <r>
    <s v="Tarun Datta"/>
    <x v="3"/>
    <x v="0"/>
    <n v="1"/>
    <n v="8951489573"/>
    <x v="0"/>
    <s v="Yes"/>
    <s v="Veg"/>
    <x v="3"/>
    <s v="Singing"/>
  </r>
  <r>
    <s v="Kavya Biswas"/>
    <x v="3"/>
    <x v="3"/>
    <n v="1"/>
    <n v="6429670666"/>
    <x v="0"/>
    <s v="No"/>
    <s v="Veg"/>
    <x v="2"/>
    <s v="Singing"/>
  </r>
  <r>
    <s v="Om Tiwari"/>
    <x v="0"/>
    <x v="2"/>
    <n v="3"/>
    <n v="8887349101"/>
    <x v="1"/>
    <s v="Yes"/>
    <s v="Veg"/>
    <x v="5"/>
    <s v="None"/>
  </r>
  <r>
    <s v="Kavya Paul"/>
    <x v="2"/>
    <x v="4"/>
    <n v="7"/>
    <n v="6298823994"/>
    <x v="1"/>
    <s v="No"/>
    <s v="Veg"/>
    <x v="4"/>
    <s v="None"/>
  </r>
  <r>
    <s v="Aishwarya Tiwari"/>
    <x v="1"/>
    <x v="4"/>
    <n v="5"/>
    <n v="8691092011"/>
    <x v="1"/>
    <s v="Yes"/>
    <s v="Non-Veg"/>
    <x v="0"/>
    <s v="Singing"/>
  </r>
  <r>
    <s v="Shikha Saxena"/>
    <x v="2"/>
    <x v="0"/>
    <n v="7"/>
    <n v="9663364571"/>
    <x v="0"/>
    <s v="Yes"/>
    <s v="Non-Veg"/>
    <x v="2"/>
    <s v="None"/>
  </r>
  <r>
    <s v="Sourabh Choudhary"/>
    <x v="0"/>
    <x v="3"/>
    <n v="3"/>
    <n v="9798746487"/>
    <x v="1"/>
    <s v="No"/>
    <s v="Non-Veg"/>
    <x v="4"/>
    <s v="None"/>
  </r>
  <r>
    <s v="Sonali Bhatia"/>
    <x v="2"/>
    <x v="3"/>
    <n v="7"/>
    <n v="6799619179"/>
    <x v="0"/>
    <s v="Yes"/>
    <s v="Non-Veg"/>
    <x v="0"/>
    <s v="Dance"/>
  </r>
  <r>
    <s v="Aditi Rao"/>
    <x v="3"/>
    <x v="0"/>
    <n v="1"/>
    <n v="7611578541"/>
    <x v="1"/>
    <s v="Yes"/>
    <s v="Veg"/>
    <x v="5"/>
    <s v="None"/>
  </r>
  <r>
    <s v="Pallavi Singh"/>
    <x v="2"/>
    <x v="4"/>
    <n v="7"/>
    <n v="9406157743"/>
    <x v="0"/>
    <s v="Yes"/>
    <s v="Veg"/>
    <x v="1"/>
    <s v="None"/>
  </r>
  <r>
    <s v="Priya Bhatia"/>
    <x v="2"/>
    <x v="0"/>
    <n v="7"/>
    <n v="8427455838"/>
    <x v="1"/>
    <s v="No"/>
    <s v="Veg"/>
    <x v="5"/>
    <s v="None"/>
  </r>
  <r>
    <s v="Arnav Dubey"/>
    <x v="0"/>
    <x v="3"/>
    <n v="3"/>
    <n v="7545515893"/>
    <x v="1"/>
    <s v="No"/>
    <s v="Non-Veg"/>
    <x v="1"/>
    <s v="Dance"/>
  </r>
  <r>
    <s v="Mansi Bose"/>
    <x v="3"/>
    <x v="4"/>
    <n v="1"/>
    <n v="8168011907"/>
    <x v="0"/>
    <s v="Yes"/>
    <s v="Non-Veg"/>
    <x v="3"/>
    <s v="Singing"/>
  </r>
  <r>
    <s v="Zara Khanna"/>
    <x v="0"/>
    <x v="0"/>
    <n v="3"/>
    <n v="7831255140"/>
    <x v="1"/>
    <s v="Yes"/>
    <s v="Veg"/>
    <x v="1"/>
    <s v="None"/>
  </r>
  <r>
    <s v="Prachi Das"/>
    <x v="2"/>
    <x v="3"/>
    <n v="7"/>
    <n v="8613857136"/>
    <x v="0"/>
    <s v="No"/>
    <s v="Veg"/>
    <x v="1"/>
    <s v="Dance"/>
  </r>
  <r>
    <s v="Akanksha Iyer"/>
    <x v="3"/>
    <x v="0"/>
    <n v="1"/>
    <n v="6412964213"/>
    <x v="0"/>
    <s v="No"/>
    <s v="Veg"/>
    <x v="5"/>
    <s v="None"/>
  </r>
  <r>
    <s v="Om Rajput"/>
    <x v="2"/>
    <x v="2"/>
    <n v="7"/>
    <n v="8066276413"/>
    <x v="0"/>
    <s v="No"/>
    <s v="Veg"/>
    <x v="4"/>
    <s v="Singing"/>
  </r>
  <r>
    <s v="Sonali Chopra"/>
    <x v="2"/>
    <x v="2"/>
    <n v="7"/>
    <n v="6921494613"/>
    <x v="0"/>
    <s v="Yes"/>
    <s v="Veg"/>
    <x v="5"/>
    <s v="Dance"/>
  </r>
  <r>
    <s v="Amrita Kumar"/>
    <x v="1"/>
    <x v="2"/>
    <n v="5"/>
    <n v="9046695504"/>
    <x v="0"/>
    <s v="No"/>
    <s v="Veg"/>
    <x v="1"/>
    <s v="Singing"/>
  </r>
  <r>
    <s v="Karan Pandey"/>
    <x v="1"/>
    <x v="0"/>
    <n v="5"/>
    <n v="7695328163"/>
    <x v="1"/>
    <s v="No"/>
    <s v="Veg"/>
    <x v="4"/>
    <s v="Singing"/>
  </r>
  <r>
    <s v="Alok Kumar"/>
    <x v="2"/>
    <x v="2"/>
    <n v="7"/>
    <n v="7895155500"/>
    <x v="1"/>
    <s v="Yes"/>
    <s v="Veg"/>
    <x v="3"/>
    <s v="Dance"/>
  </r>
  <r>
    <s v="Pallavi Mehta"/>
    <x v="3"/>
    <x v="1"/>
    <n v="1"/>
    <n v="7271880462"/>
    <x v="0"/>
    <s v="Yes"/>
    <s v="Non-Veg"/>
    <x v="0"/>
    <s v="Dance"/>
  </r>
  <r>
    <s v="Divya Chatterjee"/>
    <x v="2"/>
    <x v="3"/>
    <n v="7"/>
    <n v="6680106355"/>
    <x v="0"/>
    <s v="Yes"/>
    <s v="Non-Veg"/>
    <x v="0"/>
    <s v="None"/>
  </r>
  <r>
    <s v="Trisha Rajput"/>
    <x v="2"/>
    <x v="3"/>
    <n v="7"/>
    <n v="7412875404"/>
    <x v="1"/>
    <s v="No"/>
    <s v="Non-Veg"/>
    <x v="2"/>
    <s v="None"/>
  </r>
  <r>
    <s v="Sachin Shah"/>
    <x v="0"/>
    <x v="3"/>
    <n v="3"/>
    <n v="7169453702"/>
    <x v="1"/>
    <s v="No"/>
    <s v="Veg"/>
    <x v="1"/>
    <s v="Singing"/>
  </r>
  <r>
    <s v="Om Rajput"/>
    <x v="3"/>
    <x v="0"/>
    <n v="1"/>
    <n v="9089863696"/>
    <x v="0"/>
    <s v="No"/>
    <s v="Veg"/>
    <x v="3"/>
    <s v="None"/>
  </r>
  <r>
    <s v="Sakshi Tiwari"/>
    <x v="3"/>
    <x v="3"/>
    <n v="1"/>
    <n v="7961237762"/>
    <x v="1"/>
    <s v="No"/>
    <s v="Non-Veg"/>
    <x v="1"/>
    <s v="None"/>
  </r>
  <r>
    <s v="Amar Agarwal"/>
    <x v="0"/>
    <x v="3"/>
    <n v="3"/>
    <n v="9248280618"/>
    <x v="1"/>
    <s v="Yes"/>
    <s v="Veg"/>
    <x v="1"/>
    <s v="Dance"/>
  </r>
  <r>
    <s v="Sonam Chopra"/>
    <x v="3"/>
    <x v="2"/>
    <n v="1"/>
    <n v="8834834922"/>
    <x v="1"/>
    <s v="No"/>
    <s v="Veg"/>
    <x v="1"/>
    <s v="None"/>
  </r>
  <r>
    <s v="Manish Datta"/>
    <x v="0"/>
    <x v="2"/>
    <n v="3"/>
    <n v="7056970334"/>
    <x v="0"/>
    <s v="No"/>
    <s v="Non-Veg"/>
    <x v="5"/>
    <s v="Dance"/>
  </r>
  <r>
    <s v="Abhishek Ahuja"/>
    <x v="0"/>
    <x v="1"/>
    <n v="3"/>
    <n v="9024007668"/>
    <x v="1"/>
    <s v="No"/>
    <s v="Veg"/>
    <x v="5"/>
    <s v="Singing"/>
  </r>
  <r>
    <s v="Manish Datta"/>
    <x v="3"/>
    <x v="0"/>
    <n v="1"/>
    <n v="8716524803"/>
    <x v="0"/>
    <s v="Yes"/>
    <s v="Non-Veg"/>
    <x v="1"/>
    <s v="Singing"/>
  </r>
  <r>
    <s v="Rishabh Malhotra"/>
    <x v="2"/>
    <x v="2"/>
    <n v="7"/>
    <n v="9152172923"/>
    <x v="1"/>
    <s v="Yes"/>
    <s v="Veg"/>
    <x v="1"/>
    <s v="Dance"/>
  </r>
  <r>
    <s v="Archana Kapoor"/>
    <x v="2"/>
    <x v="1"/>
    <n v="7"/>
    <n v="9629974880"/>
    <x v="1"/>
    <s v="No"/>
    <s v="Veg"/>
    <x v="4"/>
    <s v="Dance"/>
  </r>
  <r>
    <s v="Ankita Tiwari"/>
    <x v="3"/>
    <x v="1"/>
    <n v="1"/>
    <n v="6510874876"/>
    <x v="0"/>
    <s v="Yes"/>
    <s v="Veg"/>
    <x v="5"/>
    <s v="None"/>
  </r>
  <r>
    <s v="Rohit Chopra"/>
    <x v="2"/>
    <x v="3"/>
    <n v="7"/>
    <n v="7259224000"/>
    <x v="0"/>
    <s v="Yes"/>
    <s v="Veg"/>
    <x v="3"/>
    <s v="None"/>
  </r>
  <r>
    <s v="Raj Chatterjee"/>
    <x v="0"/>
    <x v="0"/>
    <n v="3"/>
    <n v="8048856634"/>
    <x v="0"/>
    <s v="Yes"/>
    <s v="Non-Veg"/>
    <x v="5"/>
    <s v="Singing"/>
  </r>
  <r>
    <s v="Ananya Mishra"/>
    <x v="0"/>
    <x v="0"/>
    <n v="3"/>
    <n v="9121272322"/>
    <x v="1"/>
    <s v="No"/>
    <s v="Non-Veg"/>
    <x v="4"/>
    <s v="None"/>
  </r>
  <r>
    <s v="Vishal Jain"/>
    <x v="3"/>
    <x v="0"/>
    <n v="1"/>
    <n v="6705996210"/>
    <x v="1"/>
    <s v="No"/>
    <s v="Non-Veg"/>
    <x v="4"/>
    <s v="None"/>
  </r>
  <r>
    <s v="Urvashi Menon"/>
    <x v="2"/>
    <x v="2"/>
    <n v="7"/>
    <n v="6193128782"/>
    <x v="0"/>
    <s v="No"/>
    <s v="Non-Veg"/>
    <x v="1"/>
    <s v="None"/>
  </r>
  <r>
    <s v="Garima Chauhan"/>
    <x v="3"/>
    <x v="0"/>
    <n v="1"/>
    <n v="7416527689"/>
    <x v="0"/>
    <s v="Yes"/>
    <s v="Veg"/>
    <x v="4"/>
    <s v="Dance"/>
  </r>
  <r>
    <s v="Tushar Kumar"/>
    <x v="3"/>
    <x v="4"/>
    <n v="1"/>
    <n v="9465256008"/>
    <x v="0"/>
    <s v="No"/>
    <s v="Veg"/>
    <x v="0"/>
    <s v="Singing"/>
  </r>
  <r>
    <s v="Akash Ahuja"/>
    <x v="2"/>
    <x v="4"/>
    <n v="7"/>
    <n v="9487563540"/>
    <x v="1"/>
    <s v="Yes"/>
    <s v="Non-Veg"/>
    <x v="3"/>
    <s v="Singing"/>
  </r>
  <r>
    <s v="Manish Kumar"/>
    <x v="1"/>
    <x v="2"/>
    <n v="5"/>
    <n v="6378998397"/>
    <x v="0"/>
    <s v="Yes"/>
    <s v="Veg"/>
    <x v="4"/>
    <s v="Singing"/>
  </r>
  <r>
    <s v="Abhinav Datta"/>
    <x v="0"/>
    <x v="0"/>
    <n v="3"/>
    <n v="8147056642"/>
    <x v="0"/>
    <s v="No"/>
    <s v="Veg"/>
    <x v="0"/>
    <s v="Dance"/>
  </r>
  <r>
    <s v="Ayush Malhotra"/>
    <x v="2"/>
    <x v="1"/>
    <n v="7"/>
    <n v="6729820575"/>
    <x v="1"/>
    <s v="Yes"/>
    <s v="Non-Veg"/>
    <x v="4"/>
    <s v="Dance"/>
  </r>
  <r>
    <s v="Sourabh Rajput"/>
    <x v="3"/>
    <x v="3"/>
    <n v="1"/>
    <n v="8114258594"/>
    <x v="0"/>
    <s v="No"/>
    <s v="Veg"/>
    <x v="4"/>
    <s v="Dance"/>
  </r>
  <r>
    <s v="Sakshi Mishra"/>
    <x v="2"/>
    <x v="4"/>
    <n v="7"/>
    <n v="7473489931"/>
    <x v="0"/>
    <s v="Yes"/>
    <s v="Veg"/>
    <x v="1"/>
    <s v="None"/>
  </r>
  <r>
    <s v="Pallavi Chatterjee"/>
    <x v="0"/>
    <x v="0"/>
    <n v="3"/>
    <n v="7784045242"/>
    <x v="0"/>
    <s v="No"/>
    <s v="Veg"/>
    <x v="2"/>
    <s v="Singing"/>
  </r>
  <r>
    <s v="Farhan Tiwari"/>
    <x v="1"/>
    <x v="3"/>
    <n v="5"/>
    <n v="9896116034"/>
    <x v="0"/>
    <s v="No"/>
    <s v="Veg"/>
    <x v="2"/>
    <s v="None"/>
  </r>
  <r>
    <s v="Manish Gupta"/>
    <x v="0"/>
    <x v="2"/>
    <n v="3"/>
    <n v="8371487617"/>
    <x v="1"/>
    <s v="No"/>
    <s v="Non-Veg"/>
    <x v="4"/>
    <s v="None"/>
  </r>
  <r>
    <s v="Karan Choudhary"/>
    <x v="3"/>
    <x v="4"/>
    <n v="1"/>
    <n v="9944199582"/>
    <x v="1"/>
    <s v="No"/>
    <s v="Veg"/>
    <x v="4"/>
    <s v="Dance"/>
  </r>
  <r>
    <s v="Deepika Srivastava"/>
    <x v="1"/>
    <x v="4"/>
    <n v="5"/>
    <n v="7198699361"/>
    <x v="0"/>
    <s v="Yes"/>
    <s v="Veg"/>
    <x v="1"/>
    <s v="Singing"/>
  </r>
  <r>
    <s v="Aarav Mondal"/>
    <x v="3"/>
    <x v="4"/>
    <n v="1"/>
    <n v="9510854464"/>
    <x v="0"/>
    <s v="Yes"/>
    <s v="Non-Veg"/>
    <x v="2"/>
    <s v="Singing"/>
  </r>
  <r>
    <s v="Nikita Ahuja"/>
    <x v="3"/>
    <x v="3"/>
    <n v="1"/>
    <n v="8756328718"/>
    <x v="0"/>
    <s v="No"/>
    <s v="Veg"/>
    <x v="0"/>
    <s v="Singing"/>
  </r>
  <r>
    <s v="Kavya Chatterjee"/>
    <x v="0"/>
    <x v="3"/>
    <n v="3"/>
    <n v="8111844125"/>
    <x v="0"/>
    <s v="Yes"/>
    <s v="Veg"/>
    <x v="5"/>
    <s v="Singing"/>
  </r>
  <r>
    <s v="Saloni Kumar"/>
    <x v="0"/>
    <x v="1"/>
    <n v="3"/>
    <n v="9383367846"/>
    <x v="1"/>
    <s v="Yes"/>
    <s v="Veg"/>
    <x v="1"/>
    <s v="Dance"/>
  </r>
  <r>
    <s v="Rupali Saxena"/>
    <x v="0"/>
    <x v="2"/>
    <n v="3"/>
    <n v="6676790613"/>
    <x v="1"/>
    <s v="No"/>
    <s v="Veg"/>
    <x v="1"/>
    <s v="None"/>
  </r>
  <r>
    <s v="Shikha Sharma"/>
    <x v="0"/>
    <x v="0"/>
    <n v="3"/>
    <n v="6503352129"/>
    <x v="0"/>
    <s v="Yes"/>
    <s v="Non-Veg"/>
    <x v="2"/>
    <s v="Singing"/>
  </r>
  <r>
    <s v="Monika Gupta"/>
    <x v="3"/>
    <x v="1"/>
    <n v="1"/>
    <n v="6812154144"/>
    <x v="1"/>
    <s v="No"/>
    <s v="Veg"/>
    <x v="1"/>
    <s v="Singing"/>
  </r>
  <r>
    <s v="Ishan Kapoor"/>
    <x v="0"/>
    <x v="2"/>
    <n v="3"/>
    <n v="8905105497"/>
    <x v="1"/>
    <s v="Yes"/>
    <s v="Non-Veg"/>
    <x v="2"/>
    <s v="Singing"/>
  </r>
  <r>
    <s v="Aarav Gupta"/>
    <x v="0"/>
    <x v="0"/>
    <n v="3"/>
    <n v="8799457176"/>
    <x v="0"/>
    <s v="Yes"/>
    <s v="Non-Veg"/>
    <x v="1"/>
    <s v="Singing"/>
  </r>
  <r>
    <s v="Tanvi Dubey"/>
    <x v="0"/>
    <x v="4"/>
    <n v="3"/>
    <n v="6353238458"/>
    <x v="0"/>
    <s v="No"/>
    <s v="Veg"/>
    <x v="1"/>
    <s v="Dance"/>
  </r>
  <r>
    <s v="Tarun Chopra"/>
    <x v="1"/>
    <x v="0"/>
    <n v="5"/>
    <n v="8818744554"/>
    <x v="1"/>
    <s v="Yes"/>
    <s v="Non-Veg"/>
    <x v="5"/>
    <s v="Dance"/>
  </r>
  <r>
    <s v="Ankit Mishra"/>
    <x v="3"/>
    <x v="4"/>
    <n v="1"/>
    <n v="9424927040"/>
    <x v="1"/>
    <s v="No"/>
    <s v="Veg"/>
    <x v="1"/>
    <s v="None"/>
  </r>
  <r>
    <s v="Komal Chopra"/>
    <x v="2"/>
    <x v="4"/>
    <n v="7"/>
    <n v="7598011615"/>
    <x v="0"/>
    <s v="No"/>
    <s v="Veg"/>
    <x v="3"/>
    <s v="None"/>
  </r>
  <r>
    <s v="Akhil Agarwal"/>
    <x v="0"/>
    <x v="4"/>
    <n v="3"/>
    <n v="9576782874"/>
    <x v="0"/>
    <s v="Yes"/>
    <s v="Non-Veg"/>
    <x v="5"/>
    <s v="Dance"/>
  </r>
  <r>
    <s v="Madhuri Nair"/>
    <x v="1"/>
    <x v="3"/>
    <n v="5"/>
    <n v="9355691350"/>
    <x v="0"/>
    <s v="Yes"/>
    <s v="Non-Veg"/>
    <x v="3"/>
    <s v="None"/>
  </r>
  <r>
    <s v="Prachi Shah"/>
    <x v="2"/>
    <x v="3"/>
    <n v="7"/>
    <n v="6568918318"/>
    <x v="1"/>
    <s v="Yes"/>
    <s v="Veg"/>
    <x v="5"/>
    <s v="Dance"/>
  </r>
  <r>
    <s v="Kunal Bajaj"/>
    <x v="2"/>
    <x v="1"/>
    <n v="7"/>
    <n v="8534088133"/>
    <x v="1"/>
    <s v="No"/>
    <s v="Non-Veg"/>
    <x v="4"/>
    <s v="None"/>
  </r>
  <r>
    <s v="Amar Biswas"/>
    <x v="1"/>
    <x v="4"/>
    <n v="5"/>
    <n v="9488762609"/>
    <x v="1"/>
    <s v="No"/>
    <s v="Veg"/>
    <x v="3"/>
    <s v="Dance"/>
  </r>
  <r>
    <s v="Poonam Bajaj"/>
    <x v="1"/>
    <x v="1"/>
    <n v="5"/>
    <n v="6783558278"/>
    <x v="1"/>
    <s v="No"/>
    <s v="Non-Veg"/>
    <x v="1"/>
    <s v="Dance"/>
  </r>
  <r>
    <s v="Jyoti Dubey"/>
    <x v="2"/>
    <x v="4"/>
    <n v="7"/>
    <n v="7114639370"/>
    <x v="1"/>
    <s v="No"/>
    <s v="Veg"/>
    <x v="0"/>
    <s v="None"/>
  </r>
  <r>
    <s v="Nitin Singh"/>
    <x v="2"/>
    <x v="4"/>
    <n v="7"/>
    <n v="6590416131"/>
    <x v="1"/>
    <s v="No"/>
    <s v="Non-Veg"/>
    <x v="1"/>
    <s v="None"/>
  </r>
  <r>
    <s v="Megha Sharma"/>
    <x v="3"/>
    <x v="1"/>
    <n v="1"/>
    <n v="8466558590"/>
    <x v="0"/>
    <s v="Yes"/>
    <s v="Veg"/>
    <x v="4"/>
    <s v="Singing"/>
  </r>
  <r>
    <s v="Abhishek Shah"/>
    <x v="3"/>
    <x v="4"/>
    <n v="1"/>
    <n v="9661950055"/>
    <x v="1"/>
    <s v="No"/>
    <s v="Veg"/>
    <x v="1"/>
    <s v="None"/>
  </r>
  <r>
    <s v="Ishan Bose"/>
    <x v="1"/>
    <x v="2"/>
    <n v="5"/>
    <n v="7224290632"/>
    <x v="0"/>
    <s v="Yes"/>
    <s v="Non-Veg"/>
    <x v="1"/>
    <s v="None"/>
  </r>
  <r>
    <s v="Amrita Rajput"/>
    <x v="2"/>
    <x v="4"/>
    <n v="7"/>
    <n v="9402112728"/>
    <x v="1"/>
    <s v="No"/>
    <s v="Non-Veg"/>
    <x v="2"/>
    <s v="None"/>
  </r>
  <r>
    <s v="Harsh Yadav"/>
    <x v="1"/>
    <x v="1"/>
    <n v="5"/>
    <n v="8957856655"/>
    <x v="1"/>
    <s v="Yes"/>
    <s v="Non-Veg"/>
    <x v="2"/>
    <s v="Dance"/>
  </r>
  <r>
    <s v="Manish Menon"/>
    <x v="3"/>
    <x v="0"/>
    <n v="1"/>
    <n v="9703547982"/>
    <x v="1"/>
    <s v="No"/>
    <s v="Non-Veg"/>
    <x v="3"/>
    <s v="None"/>
  </r>
  <r>
    <s v="Sourabh Malhotra"/>
    <x v="1"/>
    <x v="0"/>
    <n v="5"/>
    <n v="6308037387"/>
    <x v="0"/>
    <s v="Yes"/>
    <s v="Veg"/>
    <x v="5"/>
    <s v="Singing"/>
  </r>
  <r>
    <s v="Rajat Bansal"/>
    <x v="3"/>
    <x v="4"/>
    <n v="1"/>
    <n v="8880845684"/>
    <x v="1"/>
    <s v="Yes"/>
    <s v="Veg"/>
    <x v="1"/>
    <s v="Singing"/>
  </r>
  <r>
    <s v="Ankit Mishra"/>
    <x v="1"/>
    <x v="1"/>
    <n v="5"/>
    <n v="9623694323"/>
    <x v="0"/>
    <s v="Yes"/>
    <s v="Veg"/>
    <x v="1"/>
    <s v="None"/>
  </r>
  <r>
    <s v="Riya Bhatia"/>
    <x v="3"/>
    <x v="3"/>
    <n v="1"/>
    <n v="7932129220"/>
    <x v="1"/>
    <s v="No"/>
    <s v="Veg"/>
    <x v="1"/>
    <s v="None"/>
  </r>
  <r>
    <s v="Sakshi Arora"/>
    <x v="3"/>
    <x v="4"/>
    <n v="1"/>
    <n v="6715218212"/>
    <x v="0"/>
    <s v="Yes"/>
    <s v="Veg"/>
    <x v="0"/>
    <s v="Singing"/>
  </r>
  <r>
    <s v="Kajal Chauhan"/>
    <x v="0"/>
    <x v="0"/>
    <n v="3"/>
    <n v="9212516858"/>
    <x v="1"/>
    <s v="No"/>
    <s v="Veg"/>
    <x v="2"/>
    <s v="None"/>
  </r>
  <r>
    <s v="Kajal Iyer"/>
    <x v="1"/>
    <x v="3"/>
    <n v="5"/>
    <n v="6682518690"/>
    <x v="0"/>
    <s v="No"/>
    <s v="Veg"/>
    <x v="4"/>
    <s v="None"/>
  </r>
  <r>
    <s v="Bhavesh Chauhan"/>
    <x v="3"/>
    <x v="0"/>
    <n v="1"/>
    <n v="6901412110"/>
    <x v="0"/>
    <s v="No"/>
    <s v="Non-Veg"/>
    <x v="4"/>
    <s v="None"/>
  </r>
  <r>
    <s v="Sonam Sen"/>
    <x v="3"/>
    <x v="2"/>
    <n v="1"/>
    <n v="7687706194"/>
    <x v="1"/>
    <s v="Yes"/>
    <s v="Veg"/>
    <x v="3"/>
    <s v="Dance"/>
  </r>
  <r>
    <s v="Karan Saxena"/>
    <x v="0"/>
    <x v="4"/>
    <n v="3"/>
    <n v="8276143334"/>
    <x v="1"/>
    <s v="No"/>
    <s v="Non-Veg"/>
    <x v="4"/>
    <s v="Singing"/>
  </r>
  <r>
    <s v="Muskan Chauhan"/>
    <x v="1"/>
    <x v="3"/>
    <n v="5"/>
    <n v="8143011853"/>
    <x v="0"/>
    <s v="No"/>
    <s v="Veg"/>
    <x v="1"/>
    <s v="None"/>
  </r>
  <r>
    <s v="Alok Yadav"/>
    <x v="0"/>
    <x v="2"/>
    <n v="3"/>
    <n v="9532838511"/>
    <x v="0"/>
    <s v="No"/>
    <s v="Non-Veg"/>
    <x v="5"/>
    <s v="Singing"/>
  </r>
  <r>
    <s v="Sandhya Singh"/>
    <x v="0"/>
    <x v="4"/>
    <n v="3"/>
    <n v="6887653316"/>
    <x v="1"/>
    <s v="No"/>
    <s v="Veg"/>
    <x v="2"/>
    <s v="Singing"/>
  </r>
  <r>
    <s v="Abhishek Ahuja"/>
    <x v="0"/>
    <x v="1"/>
    <n v="3"/>
    <n v="7361517482"/>
    <x v="1"/>
    <s v="Yes"/>
    <s v="Non-Veg"/>
    <x v="1"/>
    <s v="Singing"/>
  </r>
  <r>
    <s v="Arjun Sen"/>
    <x v="3"/>
    <x v="0"/>
    <n v="1"/>
    <n v="8498773128"/>
    <x v="1"/>
    <s v="Yes"/>
    <s v="Non-Veg"/>
    <x v="1"/>
    <s v="Singing"/>
  </r>
  <r>
    <s v="Aditya Chatterjee"/>
    <x v="2"/>
    <x v="4"/>
    <n v="7"/>
    <n v="6859661098"/>
    <x v="0"/>
    <s v="No"/>
    <s v="Non-Veg"/>
    <x v="3"/>
    <s v="Dance"/>
  </r>
  <r>
    <s v="Tushar Ahuja"/>
    <x v="1"/>
    <x v="3"/>
    <n v="5"/>
    <n v="9734558695"/>
    <x v="1"/>
    <s v="Yes"/>
    <s v="Non-Veg"/>
    <x v="3"/>
    <s v="None"/>
  </r>
  <r>
    <s v="Pragya Reddy"/>
    <x v="0"/>
    <x v="1"/>
    <n v="3"/>
    <n v="6157105091"/>
    <x v="1"/>
    <s v="Yes"/>
    <s v="Non-Veg"/>
    <x v="1"/>
    <s v="Singing"/>
  </r>
  <r>
    <s v="Jyoti Bansal"/>
    <x v="2"/>
    <x v="4"/>
    <n v="7"/>
    <n v="9448379542"/>
    <x v="0"/>
    <s v="No"/>
    <s v="Veg"/>
    <x v="2"/>
    <s v="None"/>
  </r>
  <r>
    <s v="Vipasha Mehta"/>
    <x v="2"/>
    <x v="3"/>
    <n v="7"/>
    <n v="6178349156"/>
    <x v="1"/>
    <s v="Yes"/>
    <s v="Veg"/>
    <x v="3"/>
    <s v="Singing"/>
  </r>
  <r>
    <s v="Mohit Pandey"/>
    <x v="0"/>
    <x v="2"/>
    <n v="3"/>
    <n v="8850593444"/>
    <x v="0"/>
    <s v="No"/>
    <s v="Veg"/>
    <x v="1"/>
    <s v="None"/>
  </r>
  <r>
    <s v="Rohan Mehta"/>
    <x v="3"/>
    <x v="4"/>
    <n v="1"/>
    <n v="7540656138"/>
    <x v="1"/>
    <s v="No"/>
    <s v="Non-Veg"/>
    <x v="1"/>
    <s v="Dance"/>
  </r>
  <r>
    <s v="Harsh Chauhan"/>
    <x v="3"/>
    <x v="3"/>
    <n v="1"/>
    <n v="7415594741"/>
    <x v="0"/>
    <s v="No"/>
    <s v="Non-Veg"/>
    <x v="3"/>
    <s v="None"/>
  </r>
  <r>
    <s v="Arjun Roy"/>
    <x v="3"/>
    <x v="0"/>
    <n v="1"/>
    <n v="9145866386"/>
    <x v="1"/>
    <s v="Yes"/>
    <s v="Non-Veg"/>
    <x v="3"/>
    <s v="None"/>
  </r>
  <r>
    <s v="Aarav Chauhan"/>
    <x v="0"/>
    <x v="3"/>
    <n v="3"/>
    <n v="7125620888"/>
    <x v="1"/>
    <s v="Yes"/>
    <s v="Non-Veg"/>
    <x v="3"/>
    <s v="Dance"/>
  </r>
  <r>
    <s v="Deepika Dey"/>
    <x v="2"/>
    <x v="3"/>
    <n v="7"/>
    <n v="8454879720"/>
    <x v="0"/>
    <s v="Yes"/>
    <s v="Veg"/>
    <x v="5"/>
    <s v="Dance"/>
  </r>
  <r>
    <s v="Deepika Dey"/>
    <x v="0"/>
    <x v="3"/>
    <n v="3"/>
    <n v="6223507926"/>
    <x v="1"/>
    <s v="Yes"/>
    <s v="Veg"/>
    <x v="5"/>
    <s v="None"/>
  </r>
  <r>
    <s v="Sakshi Menon"/>
    <x v="0"/>
    <x v="2"/>
    <n v="3"/>
    <n v="7276354356"/>
    <x v="0"/>
    <s v="Yes"/>
    <s v="Veg"/>
    <x v="5"/>
    <s v="None"/>
  </r>
  <r>
    <s v="Divya Bajaj"/>
    <x v="0"/>
    <x v="3"/>
    <n v="3"/>
    <n v="6250787339"/>
    <x v="1"/>
    <s v="Yes"/>
    <s v="Veg"/>
    <x v="2"/>
    <s v="Dance"/>
  </r>
  <r>
    <s v="Ishan Shah"/>
    <x v="1"/>
    <x v="0"/>
    <n v="5"/>
    <n v="9353099314"/>
    <x v="1"/>
    <s v="No"/>
    <s v="Veg"/>
    <x v="2"/>
    <s v="Singing"/>
  </r>
  <r>
    <s v="Rishabh Gupta"/>
    <x v="3"/>
    <x v="2"/>
    <n v="1"/>
    <n v="9328278943"/>
    <x v="1"/>
    <s v="No"/>
    <s v="Non-Veg"/>
    <x v="2"/>
    <s v="Dance"/>
  </r>
  <r>
    <s v="Sumit Yadav"/>
    <x v="1"/>
    <x v="1"/>
    <n v="5"/>
    <n v="8859283949"/>
    <x v="1"/>
    <s v="No"/>
    <s v="Veg"/>
    <x v="4"/>
    <s v="None"/>
  </r>
  <r>
    <s v="Rishabh Shah"/>
    <x v="0"/>
    <x v="0"/>
    <n v="3"/>
    <n v="7025327456"/>
    <x v="0"/>
    <s v="No"/>
    <s v="Veg"/>
    <x v="0"/>
    <s v="None"/>
  </r>
  <r>
    <s v="Anushka Singh"/>
    <x v="1"/>
    <x v="1"/>
    <n v="5"/>
    <n v="8908130483"/>
    <x v="0"/>
    <s v="Yes"/>
    <s v="Veg"/>
    <x v="5"/>
    <s v="Singing"/>
  </r>
  <r>
    <s v="Pragya Malhotra"/>
    <x v="0"/>
    <x v="0"/>
    <n v="3"/>
    <n v="9647080659"/>
    <x v="1"/>
    <s v="Yes"/>
    <s v="Non-Veg"/>
    <x v="1"/>
    <s v="Dance"/>
  </r>
  <r>
    <s v="Saurabh Mishra"/>
    <x v="0"/>
    <x v="4"/>
    <n v="3"/>
    <n v="7637570444"/>
    <x v="1"/>
    <s v="Yes"/>
    <s v="Non-Veg"/>
    <x v="5"/>
    <s v="None"/>
  </r>
  <r>
    <s v="Jay Saxena"/>
    <x v="0"/>
    <x v="4"/>
    <n v="3"/>
    <n v="8293855360"/>
    <x v="1"/>
    <s v="No"/>
    <s v="Veg"/>
    <x v="1"/>
    <s v="None"/>
  </r>
  <r>
    <s v="Simran Menon"/>
    <x v="0"/>
    <x v="2"/>
    <n v="3"/>
    <n v="8653670336"/>
    <x v="1"/>
    <s v="No"/>
    <s v="Veg"/>
    <x v="5"/>
    <s v="Singing"/>
  </r>
  <r>
    <s v="Poonam Tiwari"/>
    <x v="2"/>
    <x v="1"/>
    <n v="7"/>
    <n v="6384894424"/>
    <x v="0"/>
    <s v="No"/>
    <s v="Veg"/>
    <x v="4"/>
    <s v="Singing"/>
  </r>
  <r>
    <s v="Sakshi Chauhan"/>
    <x v="1"/>
    <x v="0"/>
    <n v="5"/>
    <n v="8451262589"/>
    <x v="1"/>
    <s v="Yes"/>
    <s v="Veg"/>
    <x v="5"/>
    <s v="Singing"/>
  </r>
  <r>
    <s v="Chirag Bajaj"/>
    <x v="2"/>
    <x v="4"/>
    <n v="7"/>
    <n v="9047283200"/>
    <x v="0"/>
    <s v="No"/>
    <s v="Veg"/>
    <x v="5"/>
    <s v="Singing"/>
  </r>
  <r>
    <s v="Amit Mondal"/>
    <x v="1"/>
    <x v="0"/>
    <n v="5"/>
    <n v="7496307145"/>
    <x v="0"/>
    <s v="Yes"/>
    <s v="Veg"/>
    <x v="4"/>
    <s v="Dance"/>
  </r>
  <r>
    <s v="Jay Mishra"/>
    <x v="3"/>
    <x v="2"/>
    <n v="1"/>
    <n v="6238874101"/>
    <x v="1"/>
    <s v="Yes"/>
    <s v="Veg"/>
    <x v="4"/>
    <s v="Dance"/>
  </r>
  <r>
    <s v="Ankit Mondal"/>
    <x v="3"/>
    <x v="4"/>
    <n v="1"/>
    <n v="9755659587"/>
    <x v="1"/>
    <s v="Yes"/>
    <s v="Non-Veg"/>
    <x v="1"/>
    <s v="Singing"/>
  </r>
  <r>
    <s v="Rohan Kumar"/>
    <x v="3"/>
    <x v="0"/>
    <n v="1"/>
    <n v="7600829031"/>
    <x v="1"/>
    <s v="Yes"/>
    <s v="Veg"/>
    <x v="4"/>
    <s v="Dance"/>
  </r>
  <r>
    <s v="Shubham Reddy"/>
    <x v="1"/>
    <x v="0"/>
    <n v="5"/>
    <n v="7811790353"/>
    <x v="1"/>
    <s v="No"/>
    <s v="Non-Veg"/>
    <x v="2"/>
    <s v="None"/>
  </r>
  <r>
    <s v="Komal Jain"/>
    <x v="1"/>
    <x v="0"/>
    <n v="5"/>
    <n v="6374361460"/>
    <x v="0"/>
    <s v="No"/>
    <s v="Non-Veg"/>
    <x v="1"/>
    <s v="None"/>
  </r>
  <r>
    <s v="Jay Das"/>
    <x v="1"/>
    <x v="2"/>
    <n v="5"/>
    <n v="6446944373"/>
    <x v="1"/>
    <s v="No"/>
    <s v="Veg"/>
    <x v="4"/>
    <s v="None"/>
  </r>
  <r>
    <s v="Nikita Dey"/>
    <x v="1"/>
    <x v="0"/>
    <n v="5"/>
    <n v="6744565986"/>
    <x v="0"/>
    <s v="Yes"/>
    <s v="Non-Veg"/>
    <x v="5"/>
    <s v="Singing"/>
  </r>
  <r>
    <s v="Ayush Rao"/>
    <x v="3"/>
    <x v="2"/>
    <n v="1"/>
    <n v="8103405826"/>
    <x v="0"/>
    <s v="No"/>
    <s v="Veg"/>
    <x v="2"/>
    <s v="None"/>
  </r>
  <r>
    <s v="Sumit Bansal"/>
    <x v="0"/>
    <x v="0"/>
    <n v="3"/>
    <n v="6960751126"/>
    <x v="0"/>
    <s v="Yes"/>
    <s v="Non-Veg"/>
    <x v="3"/>
    <s v="Singing"/>
  </r>
  <r>
    <s v="Swati Shah"/>
    <x v="2"/>
    <x v="1"/>
    <n v="7"/>
    <n v="7907620877"/>
    <x v="1"/>
    <s v="No"/>
    <s v="Veg"/>
    <x v="5"/>
    <s v="None"/>
  </r>
  <r>
    <s v="Shikha Datta"/>
    <x v="3"/>
    <x v="3"/>
    <n v="1"/>
    <n v="9565776106"/>
    <x v="1"/>
    <s v="No"/>
    <s v="Veg"/>
    <x v="2"/>
    <s v="Singing"/>
  </r>
  <r>
    <s v="Vivek Chauhan"/>
    <x v="0"/>
    <x v="3"/>
    <n v="3"/>
    <n v="8764974317"/>
    <x v="1"/>
    <s v="No"/>
    <s v="Non-Veg"/>
    <x v="2"/>
    <s v="None"/>
  </r>
  <r>
    <s v="Kriti Pillai"/>
    <x v="0"/>
    <x v="3"/>
    <n v="3"/>
    <n v="8614255190"/>
    <x v="0"/>
    <s v="No"/>
    <s v="Veg"/>
    <x v="5"/>
    <s v="Singing"/>
  </r>
  <r>
    <s v="Vikram Naidu"/>
    <x v="0"/>
    <x v="2"/>
    <n v="3"/>
    <n v="7075735790"/>
    <x v="0"/>
    <s v="No"/>
    <s v="Non-Veg"/>
    <x v="2"/>
    <s v="Dance"/>
  </r>
  <r>
    <s v="Karan Kumar"/>
    <x v="3"/>
    <x v="0"/>
    <n v="1"/>
    <n v="6841136105"/>
    <x v="0"/>
    <s v="No"/>
    <s v="Veg"/>
    <x v="1"/>
    <s v="Singing"/>
  </r>
  <r>
    <s v="Tanya Nair"/>
    <x v="1"/>
    <x v="0"/>
    <n v="5"/>
    <n v="9879224090"/>
    <x v="0"/>
    <s v="Yes"/>
    <s v="Veg"/>
    <x v="5"/>
    <s v="None"/>
  </r>
  <r>
    <s v="Rohan Chatterjee"/>
    <x v="2"/>
    <x v="4"/>
    <n v="7"/>
    <n v="7871019475"/>
    <x v="1"/>
    <s v="No"/>
    <s v="Veg"/>
    <x v="3"/>
    <s v="None"/>
  </r>
  <r>
    <s v="Amar Shah"/>
    <x v="1"/>
    <x v="0"/>
    <n v="5"/>
    <n v="9668771037"/>
    <x v="0"/>
    <s v="Yes"/>
    <s v="Non-Veg"/>
    <x v="5"/>
    <s v="Singing"/>
  </r>
  <r>
    <s v="Uday Pillai"/>
    <x v="1"/>
    <x v="0"/>
    <n v="5"/>
    <n v="7203514151"/>
    <x v="0"/>
    <s v="No"/>
    <s v="Veg"/>
    <x v="5"/>
    <s v="None"/>
  </r>
  <r>
    <s v="Nikhil Saxena"/>
    <x v="0"/>
    <x v="0"/>
    <n v="3"/>
    <n v="9164811063"/>
    <x v="1"/>
    <s v="No"/>
    <s v="Veg"/>
    <x v="1"/>
    <s v="None"/>
  </r>
  <r>
    <s v="Ritika Chatterjee"/>
    <x v="2"/>
    <x v="3"/>
    <n v="7"/>
    <n v="8671471316"/>
    <x v="0"/>
    <s v="No"/>
    <s v="Veg"/>
    <x v="1"/>
    <s v="None"/>
  </r>
  <r>
    <s v="Mansi Khanna"/>
    <x v="0"/>
    <x v="1"/>
    <n v="3"/>
    <n v="7270688568"/>
    <x v="0"/>
    <s v="Yes"/>
    <s v="Non-Veg"/>
    <x v="0"/>
    <s v="None"/>
  </r>
  <r>
    <s v="Archana Gupta"/>
    <x v="3"/>
    <x v="3"/>
    <n v="1"/>
    <n v="7068670117"/>
    <x v="0"/>
    <s v="No"/>
    <s v="Veg"/>
    <x v="1"/>
    <s v="Singing"/>
  </r>
  <r>
    <s v="Aditi Bansal"/>
    <x v="0"/>
    <x v="4"/>
    <n v="3"/>
    <n v="9700700797"/>
    <x v="0"/>
    <s v="Yes"/>
    <s v="Non-Veg"/>
    <x v="5"/>
    <s v="Singing"/>
  </r>
  <r>
    <s v="Pooja Joshi"/>
    <x v="3"/>
    <x v="0"/>
    <n v="1"/>
    <n v="7314717194"/>
    <x v="1"/>
    <s v="No"/>
    <s v="Non-Veg"/>
    <x v="3"/>
    <s v="None"/>
  </r>
  <r>
    <s v="Tanya Jain"/>
    <x v="0"/>
    <x v="1"/>
    <n v="3"/>
    <n v="7334286231"/>
    <x v="1"/>
    <s v="No"/>
    <s v="Veg"/>
    <x v="1"/>
    <s v="None"/>
  </r>
  <r>
    <s v="Nandini Ahuja"/>
    <x v="0"/>
    <x v="1"/>
    <n v="3"/>
    <n v="6591128066"/>
    <x v="0"/>
    <s v="No"/>
    <s v="Veg"/>
    <x v="2"/>
    <s v="None"/>
  </r>
  <r>
    <s v="Pooja Malhotra"/>
    <x v="3"/>
    <x v="4"/>
    <n v="1"/>
    <n v="6063070983"/>
    <x v="1"/>
    <s v="Yes"/>
    <s v="Veg"/>
    <x v="2"/>
    <s v="None"/>
  </r>
  <r>
    <s v="Rishabh Sen"/>
    <x v="0"/>
    <x v="3"/>
    <n v="3"/>
    <n v="9407431266"/>
    <x v="1"/>
    <s v="No"/>
    <s v="Veg"/>
    <x v="3"/>
    <s v="Dance"/>
  </r>
  <r>
    <s v="Aishwarya Datta"/>
    <x v="1"/>
    <x v="3"/>
    <n v="5"/>
    <n v="8273697068"/>
    <x v="0"/>
    <s v="Yes"/>
    <s v="Non-Veg"/>
    <x v="3"/>
    <s v="Dance"/>
  </r>
  <r>
    <s v="Priya Biswas"/>
    <x v="0"/>
    <x v="3"/>
    <n v="3"/>
    <n v="9879545883"/>
    <x v="1"/>
    <s v="No"/>
    <s v="Non-Veg"/>
    <x v="1"/>
    <s v="Singing"/>
  </r>
  <r>
    <s v="Ritika Bajaj"/>
    <x v="3"/>
    <x v="2"/>
    <n v="1"/>
    <n v="6954326748"/>
    <x v="1"/>
    <s v="No"/>
    <s v="Veg"/>
    <x v="3"/>
    <s v="Dance"/>
  </r>
  <r>
    <s v="Raj Verma"/>
    <x v="1"/>
    <x v="3"/>
    <n v="5"/>
    <n v="8606376171"/>
    <x v="1"/>
    <s v="No"/>
    <s v="Veg"/>
    <x v="3"/>
    <s v="Dance"/>
  </r>
  <r>
    <s v="Vishal Srivastava"/>
    <x v="0"/>
    <x v="2"/>
    <n v="3"/>
    <n v="6658324986"/>
    <x v="0"/>
    <s v="No"/>
    <s v="Non-Veg"/>
    <x v="1"/>
    <s v="Singing"/>
  </r>
  <r>
    <s v="Nisha Das"/>
    <x v="0"/>
    <x v="0"/>
    <n v="3"/>
    <n v="6975936691"/>
    <x v="0"/>
    <s v="Yes"/>
    <s v="Veg"/>
    <x v="3"/>
    <s v="Singing"/>
  </r>
  <r>
    <s v="Rupali Patel"/>
    <x v="1"/>
    <x v="4"/>
    <n v="5"/>
    <n v="7292782057"/>
    <x v="1"/>
    <s v="Yes"/>
    <s v="Non-Veg"/>
    <x v="2"/>
    <s v="Dance"/>
  </r>
  <r>
    <s v="Pooja Sen"/>
    <x v="0"/>
    <x v="0"/>
    <n v="3"/>
    <n v="9639956501"/>
    <x v="1"/>
    <s v="No"/>
    <s v="Veg"/>
    <x v="1"/>
    <s v="Dance"/>
  </r>
  <r>
    <s v="Yamini Menon"/>
    <x v="3"/>
    <x v="2"/>
    <n v="1"/>
    <n v="7892758248"/>
    <x v="0"/>
    <s v="Yes"/>
    <s v="Veg"/>
    <x v="0"/>
    <s v="None"/>
  </r>
  <r>
    <s v="Sejal Chatterjee"/>
    <x v="3"/>
    <x v="3"/>
    <n v="1"/>
    <n v="9161364260"/>
    <x v="0"/>
    <s v="Yes"/>
    <s v="Non-Veg"/>
    <x v="1"/>
    <s v="None"/>
  </r>
  <r>
    <s v="Divya Chopra"/>
    <x v="1"/>
    <x v="1"/>
    <n v="5"/>
    <n v="8247327953"/>
    <x v="0"/>
    <s v="No"/>
    <s v="Veg"/>
    <x v="1"/>
    <s v="Singing"/>
  </r>
  <r>
    <s v="Vivek Pillai"/>
    <x v="0"/>
    <x v="4"/>
    <n v="3"/>
    <n v="6794903931"/>
    <x v="1"/>
    <s v="Yes"/>
    <s v="Veg"/>
    <x v="1"/>
    <s v="None"/>
  </r>
  <r>
    <s v="Anushka Kumar"/>
    <x v="0"/>
    <x v="2"/>
    <n v="3"/>
    <n v="9822401303"/>
    <x v="0"/>
    <s v="Yes"/>
    <s v="Non-Veg"/>
    <x v="4"/>
    <s v="Dance"/>
  </r>
  <r>
    <s v="Manish Srivastava"/>
    <x v="0"/>
    <x v="2"/>
    <n v="3"/>
    <n v="9508773883"/>
    <x v="1"/>
    <s v="No"/>
    <s v="Veg"/>
    <x v="2"/>
    <s v="None"/>
  </r>
  <r>
    <s v="Himanshu Ahuja"/>
    <x v="2"/>
    <x v="0"/>
    <n v="7"/>
    <n v="7683981022"/>
    <x v="0"/>
    <s v="No"/>
    <s v="Non-Veg"/>
    <x v="4"/>
    <s v="Dance"/>
  </r>
  <r>
    <s v="Amrita Bajaj"/>
    <x v="0"/>
    <x v="2"/>
    <n v="3"/>
    <n v="9998783356"/>
    <x v="1"/>
    <s v="Yes"/>
    <s v="Veg"/>
    <x v="1"/>
    <s v="Singing"/>
  </r>
  <r>
    <s v="Aarti Shah"/>
    <x v="3"/>
    <x v="1"/>
    <n v="1"/>
    <n v="8162140057"/>
    <x v="0"/>
    <s v="No"/>
    <s v="Non-Veg"/>
    <x v="1"/>
    <s v="Dance"/>
  </r>
  <r>
    <s v="Lokesh Shah"/>
    <x v="2"/>
    <x v="0"/>
    <n v="7"/>
    <n v="8420516381"/>
    <x v="1"/>
    <s v="No"/>
    <s v="Non-Veg"/>
    <x v="5"/>
    <s v="Dance"/>
  </r>
  <r>
    <s v="Dhruv Reddy"/>
    <x v="3"/>
    <x v="0"/>
    <n v="1"/>
    <n v="8396038611"/>
    <x v="1"/>
    <s v="Yes"/>
    <s v="Non-Veg"/>
    <x v="1"/>
    <s v="Dance"/>
  </r>
  <r>
    <s v="Megha Agarwal"/>
    <x v="3"/>
    <x v="2"/>
    <n v="1"/>
    <n v="7418073673"/>
    <x v="0"/>
    <s v="No"/>
    <s v="Veg"/>
    <x v="4"/>
    <s v="Singing"/>
  </r>
  <r>
    <s v="Monika Roy"/>
    <x v="0"/>
    <x v="0"/>
    <n v="3"/>
    <n v="8334003743"/>
    <x v="1"/>
    <s v="No"/>
    <s v="Non-Veg"/>
    <x v="1"/>
    <s v="Dance"/>
  </r>
  <r>
    <s v="Nitin Das"/>
    <x v="1"/>
    <x v="1"/>
    <n v="5"/>
    <n v="6549299163"/>
    <x v="1"/>
    <s v="No"/>
    <s v="Non-Veg"/>
    <x v="0"/>
    <s v="Singing"/>
  </r>
  <r>
    <s v="Mansi Dubey"/>
    <x v="1"/>
    <x v="2"/>
    <n v="5"/>
    <n v="9020157913"/>
    <x v="0"/>
    <s v="No"/>
    <s v="Non-Veg"/>
    <x v="5"/>
    <s v="Dance"/>
  </r>
  <r>
    <s v="Mansi Saxena"/>
    <x v="0"/>
    <x v="4"/>
    <n v="3"/>
    <n v="9761958156"/>
    <x v="0"/>
    <s v="Yes"/>
    <s v="Non-Veg"/>
    <x v="1"/>
    <s v="None"/>
  </r>
  <r>
    <s v="Akanksha Yadav"/>
    <x v="1"/>
    <x v="0"/>
    <n v="5"/>
    <n v="6350611883"/>
    <x v="1"/>
    <s v="No"/>
    <s v="Non-Veg"/>
    <x v="4"/>
    <s v="Singing"/>
  </r>
  <r>
    <s v="Neha Arora"/>
    <x v="1"/>
    <x v="2"/>
    <n v="5"/>
    <n v="9644626288"/>
    <x v="1"/>
    <s v="Yes"/>
    <s v="Veg"/>
    <x v="1"/>
    <s v="Dance"/>
  </r>
  <r>
    <s v="Aishwarya Dey"/>
    <x v="2"/>
    <x v="1"/>
    <n v="7"/>
    <n v="9648394647"/>
    <x v="1"/>
    <s v="No"/>
    <s v="Non-Veg"/>
    <x v="1"/>
    <s v="Dance"/>
  </r>
  <r>
    <s v="Pranav Biswas"/>
    <x v="2"/>
    <x v="1"/>
    <n v="7"/>
    <n v="8823168499"/>
    <x v="1"/>
    <s v="No"/>
    <s v="Veg"/>
    <x v="1"/>
    <s v="None"/>
  </r>
  <r>
    <s v="Jay Kapoor"/>
    <x v="2"/>
    <x v="2"/>
    <n v="7"/>
    <n v="8258272626"/>
    <x v="1"/>
    <s v="No"/>
    <s v="Veg"/>
    <x v="1"/>
    <s v="Singing"/>
  </r>
  <r>
    <s v="Lokesh Mondal"/>
    <x v="1"/>
    <x v="2"/>
    <n v="5"/>
    <n v="6705599047"/>
    <x v="0"/>
    <s v="No"/>
    <s v="Non-Veg"/>
    <x v="1"/>
    <s v="Dance"/>
  </r>
  <r>
    <s v="Jay Sen"/>
    <x v="0"/>
    <x v="2"/>
    <n v="3"/>
    <n v="9897094064"/>
    <x v="0"/>
    <s v="Yes"/>
    <s v="Non-Veg"/>
    <x v="3"/>
    <s v="Singing"/>
  </r>
  <r>
    <s v="Aniket Malhotra"/>
    <x v="1"/>
    <x v="0"/>
    <n v="5"/>
    <n v="6525704052"/>
    <x v="0"/>
    <s v="No"/>
    <s v="Non-Veg"/>
    <x v="1"/>
    <s v="Dance"/>
  </r>
  <r>
    <s v="Uday Bose"/>
    <x v="1"/>
    <x v="3"/>
    <n v="5"/>
    <n v="7825327920"/>
    <x v="0"/>
    <s v="No"/>
    <s v="Non-Veg"/>
    <x v="1"/>
    <s v="None"/>
  </r>
  <r>
    <s v="Alok Datta"/>
    <x v="0"/>
    <x v="4"/>
    <n v="3"/>
    <n v="6041928240"/>
    <x v="1"/>
    <s v="No"/>
    <s v="Non-Veg"/>
    <x v="1"/>
    <s v="Dance"/>
  </r>
  <r>
    <s v="Ishita Reddy"/>
    <x v="0"/>
    <x v="2"/>
    <n v="3"/>
    <n v="9957523367"/>
    <x v="0"/>
    <s v="No"/>
    <s v="Non-Veg"/>
    <x v="1"/>
    <s v="Singing"/>
  </r>
  <r>
    <s v="Yamini Reddy"/>
    <x v="1"/>
    <x v="0"/>
    <n v="5"/>
    <n v="7438690398"/>
    <x v="0"/>
    <s v="No"/>
    <s v="Veg"/>
    <x v="1"/>
    <s v="Singing"/>
  </r>
  <r>
    <s v="Simran Sethi"/>
    <x v="2"/>
    <x v="4"/>
    <n v="7"/>
    <n v="6167025734"/>
    <x v="1"/>
    <s v="No"/>
    <s v="Non-Veg"/>
    <x v="3"/>
    <s v="None"/>
  </r>
  <r>
    <s v="Nitin Shah"/>
    <x v="0"/>
    <x v="4"/>
    <n v="3"/>
    <n v="6262727617"/>
    <x v="1"/>
    <s v="No"/>
    <s v="Non-Veg"/>
    <x v="1"/>
    <s v="Dance"/>
  </r>
  <r>
    <s v="Akhil Kumar"/>
    <x v="1"/>
    <x v="4"/>
    <n v="5"/>
    <n v="7220972702"/>
    <x v="0"/>
    <s v="No"/>
    <s v="Non-Veg"/>
    <x v="0"/>
    <s v="None"/>
  </r>
  <r>
    <s v="Muskan Rajput"/>
    <x v="0"/>
    <x v="1"/>
    <n v="3"/>
    <n v="8429504300"/>
    <x v="1"/>
    <s v="No"/>
    <s v="Non-Veg"/>
    <x v="4"/>
    <s v="Singing"/>
  </r>
  <r>
    <s v="Ankit Menon"/>
    <x v="2"/>
    <x v="1"/>
    <n v="7"/>
    <n v="7295585678"/>
    <x v="1"/>
    <s v="Yes"/>
    <s v="Veg"/>
    <x v="2"/>
    <s v="Singing"/>
  </r>
  <r>
    <s v="Riya Mehta"/>
    <x v="3"/>
    <x v="1"/>
    <n v="1"/>
    <n v="8083959508"/>
    <x v="1"/>
    <s v="No"/>
    <s v="Veg"/>
    <x v="1"/>
    <s v="None"/>
  </r>
  <r>
    <s v="Nikita Sharma"/>
    <x v="2"/>
    <x v="3"/>
    <n v="7"/>
    <n v="8407487849"/>
    <x v="1"/>
    <s v="Yes"/>
    <s v="Veg"/>
    <x v="1"/>
    <s v="Dance"/>
  </r>
  <r>
    <s v="Mohit Gupta"/>
    <x v="2"/>
    <x v="4"/>
    <n v="7"/>
    <n v="8386575048"/>
    <x v="1"/>
    <s v="No"/>
    <s v="Non-Veg"/>
    <x v="4"/>
    <s v="Dance"/>
  </r>
  <r>
    <s v="Muskan Arora"/>
    <x v="0"/>
    <x v="0"/>
    <n v="3"/>
    <n v="7959427548"/>
    <x v="1"/>
    <s v="No"/>
    <s v="Non-Veg"/>
    <x v="2"/>
    <s v="Singing"/>
  </r>
  <r>
    <s v="Rashmi Biswas"/>
    <x v="2"/>
    <x v="4"/>
    <n v="7"/>
    <n v="9650489619"/>
    <x v="0"/>
    <s v="No"/>
    <s v="Non-Veg"/>
    <x v="4"/>
    <s v="Dance"/>
  </r>
  <r>
    <s v="Ishan Bhatia"/>
    <x v="3"/>
    <x v="1"/>
    <n v="1"/>
    <n v="7266693099"/>
    <x v="0"/>
    <s v="Yes"/>
    <s v="Veg"/>
    <x v="0"/>
    <s v="Singing"/>
  </r>
  <r>
    <s v="Vipasha Malhotra"/>
    <x v="2"/>
    <x v="3"/>
    <n v="7"/>
    <n v="6967100195"/>
    <x v="1"/>
    <s v="No"/>
    <s v="Non-Veg"/>
    <x v="1"/>
    <s v="None"/>
  </r>
  <r>
    <s v="Amit Gupta"/>
    <x v="3"/>
    <x v="4"/>
    <n v="1"/>
    <n v="8363850369"/>
    <x v="0"/>
    <s v="No"/>
    <s v="Non-Veg"/>
    <x v="4"/>
    <s v="Singing"/>
  </r>
  <r>
    <s v="Sonali Chauhan"/>
    <x v="0"/>
    <x v="2"/>
    <n v="3"/>
    <n v="6866298228"/>
    <x v="0"/>
    <s v="No"/>
    <s v="Veg"/>
    <x v="5"/>
    <s v="None"/>
  </r>
  <r>
    <s v="Varun Yadav"/>
    <x v="2"/>
    <x v="2"/>
    <n v="7"/>
    <n v="6267426911"/>
    <x v="0"/>
    <s v="No"/>
    <s v="Veg"/>
    <x v="5"/>
    <s v="None"/>
  </r>
  <r>
    <s v="Harsh Mondal"/>
    <x v="0"/>
    <x v="2"/>
    <n v="3"/>
    <n v="7222501355"/>
    <x v="1"/>
    <s v="Yes"/>
    <s v="Non-Veg"/>
    <x v="2"/>
    <s v="None"/>
  </r>
  <r>
    <s v="Abhinav Sharma"/>
    <x v="1"/>
    <x v="4"/>
    <n v="5"/>
    <n v="9611732855"/>
    <x v="1"/>
    <s v="Yes"/>
    <s v="Veg"/>
    <x v="4"/>
    <s v="Dance"/>
  </r>
  <r>
    <s v="Tanya Singh"/>
    <x v="1"/>
    <x v="4"/>
    <n v="5"/>
    <n v="9725796636"/>
    <x v="1"/>
    <s v="Yes"/>
    <s v="Non-Veg"/>
    <x v="0"/>
    <s v="Dance"/>
  </r>
  <r>
    <s v="Shikha Sethi"/>
    <x v="2"/>
    <x v="1"/>
    <n v="7"/>
    <n v="9502345108"/>
    <x v="1"/>
    <s v="Yes"/>
    <s v="Non-Veg"/>
    <x v="2"/>
    <s v="Singing"/>
  </r>
  <r>
    <s v="Sejal Khanna"/>
    <x v="2"/>
    <x v="4"/>
    <n v="7"/>
    <n v="6626290114"/>
    <x v="0"/>
    <s v="Yes"/>
    <s v="Veg"/>
    <x v="2"/>
    <s v="Dance"/>
  </r>
  <r>
    <s v="Neha Choudhary"/>
    <x v="0"/>
    <x v="1"/>
    <n v="3"/>
    <n v="8514209100"/>
    <x v="1"/>
    <s v="No"/>
    <s v="Non-Veg"/>
    <x v="1"/>
    <s v="None"/>
  </r>
  <r>
    <s v="Deepika Naidu"/>
    <x v="3"/>
    <x v="3"/>
    <n v="1"/>
    <n v="7997041169"/>
    <x v="0"/>
    <s v="Yes"/>
    <s v="Veg"/>
    <x v="0"/>
    <s v="Dance"/>
  </r>
  <r>
    <s v="Akash Mukherjee"/>
    <x v="3"/>
    <x v="1"/>
    <n v="1"/>
    <n v="8892986939"/>
    <x v="1"/>
    <s v="Yes"/>
    <s v="Non-Veg"/>
    <x v="0"/>
    <s v="Singing"/>
  </r>
  <r>
    <s v="Ishan Bansal"/>
    <x v="2"/>
    <x v="2"/>
    <n v="7"/>
    <n v="7811731818"/>
    <x v="1"/>
    <s v="No"/>
    <s v="Veg"/>
    <x v="3"/>
    <s v="None"/>
  </r>
  <r>
    <s v="Mansi Chatterjee"/>
    <x v="2"/>
    <x v="3"/>
    <n v="7"/>
    <n v="6442387570"/>
    <x v="1"/>
    <s v="No"/>
    <s v="Veg"/>
    <x v="1"/>
    <s v="Singing"/>
  </r>
  <r>
    <s v="Archana Sharma"/>
    <x v="2"/>
    <x v="2"/>
    <n v="7"/>
    <n v="7503032656"/>
    <x v="1"/>
    <s v="Yes"/>
    <s v="Veg"/>
    <x v="2"/>
    <s v="Dance"/>
  </r>
  <r>
    <s v="Simran Sharma"/>
    <x v="0"/>
    <x v="1"/>
    <n v="3"/>
    <n v="8696706768"/>
    <x v="0"/>
    <s v="Yes"/>
    <s v="Non-Veg"/>
    <x v="2"/>
    <s v="None"/>
  </r>
  <r>
    <s v="Ankita Saxena"/>
    <x v="2"/>
    <x v="2"/>
    <n v="7"/>
    <n v="6760935768"/>
    <x v="1"/>
    <s v="Yes"/>
    <s v="Veg"/>
    <x v="1"/>
    <s v="None"/>
  </r>
  <r>
    <s v="Sandhya Paul"/>
    <x v="3"/>
    <x v="2"/>
    <n v="1"/>
    <n v="9543400801"/>
    <x v="0"/>
    <s v="Yes"/>
    <s v="Veg"/>
    <x v="0"/>
    <s v="Singing"/>
  </r>
  <r>
    <s v="Vivek Sharma"/>
    <x v="2"/>
    <x v="4"/>
    <n v="7"/>
    <n v="8008795602"/>
    <x v="1"/>
    <s v="Yes"/>
    <s v="Veg"/>
    <x v="1"/>
    <s v="Singing"/>
  </r>
  <r>
    <s v="Bhavna Ahuja"/>
    <x v="2"/>
    <x v="2"/>
    <n v="7"/>
    <n v="7354403246"/>
    <x v="1"/>
    <s v="No"/>
    <s v="Veg"/>
    <x v="1"/>
    <s v="Singing"/>
  </r>
  <r>
    <s v="Pranav Tiwari"/>
    <x v="2"/>
    <x v="0"/>
    <n v="7"/>
    <n v="6774563101"/>
    <x v="0"/>
    <s v="No"/>
    <s v="Veg"/>
    <x v="1"/>
    <s v="Dance"/>
  </r>
  <r>
    <s v="Tanya Ahuja"/>
    <x v="2"/>
    <x v="4"/>
    <n v="7"/>
    <n v="6942766830"/>
    <x v="0"/>
    <s v="Yes"/>
    <s v="Non-Veg"/>
    <x v="4"/>
    <s v="None"/>
  </r>
  <r>
    <s v="Sandhya Jain"/>
    <x v="0"/>
    <x v="2"/>
    <n v="3"/>
    <n v="6119945810"/>
    <x v="1"/>
    <s v="Yes"/>
    <s v="Non-Veg"/>
    <x v="1"/>
    <s v="Dance"/>
  </r>
  <r>
    <s v="Priyanshi Das"/>
    <x v="1"/>
    <x v="0"/>
    <n v="5"/>
    <n v="6063974507"/>
    <x v="1"/>
    <s v="Yes"/>
    <s v="Veg"/>
    <x v="4"/>
    <s v="None"/>
  </r>
  <r>
    <s v="Amar Paul"/>
    <x v="3"/>
    <x v="4"/>
    <n v="1"/>
    <n v="8182528183"/>
    <x v="0"/>
    <s v="Yes"/>
    <s v="Non-Veg"/>
    <x v="1"/>
    <s v="Dance"/>
  </r>
  <r>
    <s v="Anushka Joshi"/>
    <x v="3"/>
    <x v="1"/>
    <n v="1"/>
    <n v="9082299989"/>
    <x v="0"/>
    <s v="Yes"/>
    <s v="Veg"/>
    <x v="1"/>
    <s v="None"/>
  </r>
  <r>
    <s v="Tarun Saxena"/>
    <x v="1"/>
    <x v="0"/>
    <n v="5"/>
    <n v="7256217471"/>
    <x v="0"/>
    <s v="Yes"/>
    <s v="Non-Veg"/>
    <x v="1"/>
    <s v="Dance"/>
  </r>
  <r>
    <s v="Saurabh Yadav"/>
    <x v="0"/>
    <x v="0"/>
    <n v="3"/>
    <n v="7112911090"/>
    <x v="1"/>
    <s v="No"/>
    <s v="Non-Veg"/>
    <x v="5"/>
    <s v="Dance"/>
  </r>
  <r>
    <s v="Abhinav Choudhary"/>
    <x v="1"/>
    <x v="4"/>
    <n v="5"/>
    <n v="7615308856"/>
    <x v="1"/>
    <s v="Yes"/>
    <s v="Non-Veg"/>
    <x v="5"/>
    <s v="Dance"/>
  </r>
  <r>
    <s v="Siddharth Dey"/>
    <x v="1"/>
    <x v="2"/>
    <n v="5"/>
    <n v="9847899395"/>
    <x v="1"/>
    <s v="Yes"/>
    <s v="Veg"/>
    <x v="4"/>
    <s v="None"/>
  </r>
  <r>
    <s v="Vipasha Dey"/>
    <x v="0"/>
    <x v="2"/>
    <n v="3"/>
    <n v="7902422598"/>
    <x v="1"/>
    <s v="Yes"/>
    <s v="Veg"/>
    <x v="1"/>
    <s v="Dance"/>
  </r>
  <r>
    <s v="Vipasha Chatterjee"/>
    <x v="3"/>
    <x v="0"/>
    <n v="1"/>
    <n v="6570307637"/>
    <x v="0"/>
    <s v="Yes"/>
    <s v="Non-Veg"/>
    <x v="4"/>
    <s v="Singing"/>
  </r>
  <r>
    <s v="Raj Arora"/>
    <x v="2"/>
    <x v="0"/>
    <n v="7"/>
    <n v="6538891921"/>
    <x v="1"/>
    <s v="No"/>
    <s v="Non-Veg"/>
    <x v="1"/>
    <s v="Singing"/>
  </r>
  <r>
    <s v="Akash Malhotra"/>
    <x v="0"/>
    <x v="0"/>
    <n v="3"/>
    <n v="6764981615"/>
    <x v="1"/>
    <s v="Yes"/>
    <s v="Non-Veg"/>
    <x v="4"/>
    <s v="None"/>
  </r>
  <r>
    <s v="Alok Yadav"/>
    <x v="1"/>
    <x v="1"/>
    <n v="5"/>
    <n v="6897919819"/>
    <x v="1"/>
    <s v="No"/>
    <s v="Veg"/>
    <x v="5"/>
    <s v="None"/>
  </r>
  <r>
    <s v="Sejal Mehta"/>
    <x v="1"/>
    <x v="0"/>
    <n v="5"/>
    <n v="7147300176"/>
    <x v="1"/>
    <s v="No"/>
    <s v="Veg"/>
    <x v="1"/>
    <s v="Dance"/>
  </r>
  <r>
    <s v="Vipasha Bhatia"/>
    <x v="1"/>
    <x v="4"/>
    <n v="5"/>
    <n v="9668041763"/>
    <x v="0"/>
    <s v="Yes"/>
    <s v="Veg"/>
    <x v="4"/>
    <s v="None"/>
  </r>
  <r>
    <s v="Rajat Dubey"/>
    <x v="2"/>
    <x v="0"/>
    <n v="7"/>
    <n v="7826892025"/>
    <x v="0"/>
    <s v="No"/>
    <s v="Veg"/>
    <x v="0"/>
    <s v="None"/>
  </r>
  <r>
    <s v="Arnav Saxena"/>
    <x v="2"/>
    <x v="1"/>
    <n v="7"/>
    <n v="8003475837"/>
    <x v="1"/>
    <s v="No"/>
    <s v="Veg"/>
    <x v="5"/>
    <s v="Dance"/>
  </r>
  <r>
    <s v="Ajay Reddy"/>
    <x v="2"/>
    <x v="4"/>
    <n v="7"/>
    <n v="8705613636"/>
    <x v="1"/>
    <s v="No"/>
    <s v="Non-Veg"/>
    <x v="0"/>
    <s v="None"/>
  </r>
  <r>
    <s v="Pallavi Naidu"/>
    <x v="1"/>
    <x v="2"/>
    <n v="5"/>
    <n v="6118847180"/>
    <x v="0"/>
    <s v="Yes"/>
    <s v="Veg"/>
    <x v="4"/>
    <s v="Singing"/>
  </r>
  <r>
    <s v="Zara Ghosh"/>
    <x v="0"/>
    <x v="0"/>
    <n v="3"/>
    <n v="9905412979"/>
    <x v="0"/>
    <s v="No"/>
    <s v="Veg"/>
    <x v="5"/>
    <s v="None"/>
  </r>
  <r>
    <s v="Vivek Ghosh"/>
    <x v="1"/>
    <x v="2"/>
    <n v="5"/>
    <n v="7409594170"/>
    <x v="0"/>
    <s v="Yes"/>
    <s v="Veg"/>
    <x v="2"/>
    <s v="None"/>
  </r>
  <r>
    <s v="Pooja Chatterjee"/>
    <x v="3"/>
    <x v="1"/>
    <n v="1"/>
    <n v="6536982244"/>
    <x v="0"/>
    <s v="No"/>
    <s v="Non-Veg"/>
    <x v="5"/>
    <s v="None"/>
  </r>
  <r>
    <s v="Nitin Menon"/>
    <x v="1"/>
    <x v="2"/>
    <n v="5"/>
    <n v="7297304435"/>
    <x v="0"/>
    <s v="Yes"/>
    <s v="Non-Veg"/>
    <x v="5"/>
    <s v="Singing"/>
  </r>
  <r>
    <s v="Harsh Datta"/>
    <x v="3"/>
    <x v="0"/>
    <n v="1"/>
    <n v="9124302350"/>
    <x v="0"/>
    <s v="No"/>
    <s v="Veg"/>
    <x v="3"/>
    <s v="Singing"/>
  </r>
  <r>
    <s v="Nandini Kumar"/>
    <x v="3"/>
    <x v="1"/>
    <n v="1"/>
    <n v="9523962094"/>
    <x v="0"/>
    <s v="Yes"/>
    <s v="Veg"/>
    <x v="1"/>
    <s v="None"/>
  </r>
  <r>
    <s v="Archana Dubey"/>
    <x v="0"/>
    <x v="0"/>
    <n v="3"/>
    <n v="7805019973"/>
    <x v="0"/>
    <s v="Yes"/>
    <s v="Non-Veg"/>
    <x v="3"/>
    <s v="Dance"/>
  </r>
  <r>
    <s v="Vikram Verma"/>
    <x v="1"/>
    <x v="4"/>
    <n v="5"/>
    <n v="8908711740"/>
    <x v="1"/>
    <s v="Yes"/>
    <s v="Non-Veg"/>
    <x v="1"/>
    <s v="Dance"/>
  </r>
  <r>
    <s v="Yamini Kumar"/>
    <x v="0"/>
    <x v="3"/>
    <n v="3"/>
    <n v="9994241163"/>
    <x v="1"/>
    <s v="Yes"/>
    <s v="Non-Veg"/>
    <x v="3"/>
    <s v="None"/>
  </r>
  <r>
    <s v="Priya Mukherjee"/>
    <x v="2"/>
    <x v="0"/>
    <n v="7"/>
    <n v="7351683503"/>
    <x v="0"/>
    <s v="No"/>
    <s v="Non-Veg"/>
    <x v="0"/>
    <s v="Singing"/>
  </r>
  <r>
    <s v="Nitin Chauhan"/>
    <x v="0"/>
    <x v="3"/>
    <n v="3"/>
    <n v="8080619526"/>
    <x v="1"/>
    <s v="No"/>
    <s v="Veg"/>
    <x v="2"/>
    <s v="Dance"/>
  </r>
  <r>
    <s v="Ayush Datta"/>
    <x v="2"/>
    <x v="0"/>
    <n v="7"/>
    <n v="8523942137"/>
    <x v="1"/>
    <s v="No"/>
    <s v="Non-Veg"/>
    <x v="1"/>
    <s v="Singing"/>
  </r>
  <r>
    <s v="Swati Malhotra"/>
    <x v="3"/>
    <x v="4"/>
    <n v="1"/>
    <n v="6880452593"/>
    <x v="0"/>
    <s v="No"/>
    <s v="Non-Veg"/>
    <x v="5"/>
    <s v="Dance"/>
  </r>
  <r>
    <s v="Aaditya Verma"/>
    <x v="1"/>
    <x v="2"/>
    <n v="5"/>
    <n v="7528675887"/>
    <x v="0"/>
    <s v="Yes"/>
    <s v="Non-Veg"/>
    <x v="4"/>
    <s v="None"/>
  </r>
  <r>
    <s v="Neha Menon"/>
    <x v="2"/>
    <x v="1"/>
    <n v="7"/>
    <n v="9975716753"/>
    <x v="1"/>
    <s v="No"/>
    <s v="Veg"/>
    <x v="4"/>
    <s v="None"/>
  </r>
  <r>
    <s v="Ishita Pandey"/>
    <x v="1"/>
    <x v="0"/>
    <n v="5"/>
    <n v="7782042637"/>
    <x v="1"/>
    <s v="Yes"/>
    <s v="Non-Veg"/>
    <x v="5"/>
    <s v="Singing"/>
  </r>
  <r>
    <s v="Rashmi Dey"/>
    <x v="0"/>
    <x v="1"/>
    <n v="3"/>
    <n v="8200682061"/>
    <x v="1"/>
    <s v="No"/>
    <s v="Non-Veg"/>
    <x v="1"/>
    <s v="Dance"/>
  </r>
  <r>
    <s v="Prachi Mishra"/>
    <x v="1"/>
    <x v="2"/>
    <n v="5"/>
    <n v="6951338106"/>
    <x v="0"/>
    <s v="No"/>
    <s v="Non-Veg"/>
    <x v="1"/>
    <s v="None"/>
  </r>
  <r>
    <s v="Himanshu Mehta"/>
    <x v="3"/>
    <x v="0"/>
    <n v="1"/>
    <n v="6934987009"/>
    <x v="1"/>
    <s v="No"/>
    <s v="Veg"/>
    <x v="1"/>
    <s v="Dance"/>
  </r>
  <r>
    <s v="Sejal Khanna"/>
    <x v="3"/>
    <x v="0"/>
    <n v="1"/>
    <n v="9886073664"/>
    <x v="0"/>
    <s v="No"/>
    <s v="Veg"/>
    <x v="1"/>
    <s v="None"/>
  </r>
  <r>
    <s v="Manish Ahuja"/>
    <x v="2"/>
    <x v="3"/>
    <n v="7"/>
    <n v="9013296970"/>
    <x v="1"/>
    <s v="No"/>
    <s v="Veg"/>
    <x v="0"/>
    <s v="Dance"/>
  </r>
  <r>
    <s v="Tanvi Chopra"/>
    <x v="1"/>
    <x v="4"/>
    <n v="5"/>
    <n v="9239147624"/>
    <x v="1"/>
    <s v="Yes"/>
    <s v="Non-Veg"/>
    <x v="5"/>
    <s v="None"/>
  </r>
  <r>
    <s v="Ayush Choudhary"/>
    <x v="2"/>
    <x v="1"/>
    <n v="7"/>
    <n v="7453021693"/>
    <x v="0"/>
    <s v="No"/>
    <s v="Veg"/>
    <x v="3"/>
    <s v="None"/>
  </r>
  <r>
    <s v="Dhruv Roy"/>
    <x v="1"/>
    <x v="1"/>
    <n v="5"/>
    <n v="7315120205"/>
    <x v="1"/>
    <s v="Yes"/>
    <s v="Non-Veg"/>
    <x v="1"/>
    <s v="Singing"/>
  </r>
  <r>
    <s v="Amol Dubey"/>
    <x v="3"/>
    <x v="4"/>
    <n v="1"/>
    <n v="6653290332"/>
    <x v="1"/>
    <s v="Yes"/>
    <s v="Veg"/>
    <x v="4"/>
    <s v="None"/>
  </r>
  <r>
    <s v="Mansi Bose"/>
    <x v="2"/>
    <x v="3"/>
    <n v="7"/>
    <n v="8933456313"/>
    <x v="1"/>
    <s v="Yes"/>
    <s v="Veg"/>
    <x v="0"/>
    <s v="None"/>
  </r>
  <r>
    <s v="Shreya Datta"/>
    <x v="0"/>
    <x v="3"/>
    <n v="3"/>
    <n v="9012070733"/>
    <x v="0"/>
    <s v="No"/>
    <s v="Non-Veg"/>
    <x v="1"/>
    <s v="None"/>
  </r>
  <r>
    <s v="Pooja Agarwal"/>
    <x v="2"/>
    <x v="2"/>
    <n v="7"/>
    <n v="8780588741"/>
    <x v="1"/>
    <s v="No"/>
    <s v="Veg"/>
    <x v="1"/>
    <s v="None"/>
  </r>
  <r>
    <s v="Pragya Reddy"/>
    <x v="3"/>
    <x v="4"/>
    <n v="1"/>
    <n v="6873896121"/>
    <x v="1"/>
    <s v="No"/>
    <s v="Non-Veg"/>
    <x v="2"/>
    <s v="Dance"/>
  </r>
  <r>
    <s v="Gaurav Sharma"/>
    <x v="1"/>
    <x v="2"/>
    <n v="5"/>
    <n v="6175040360"/>
    <x v="0"/>
    <s v="Yes"/>
    <s v="Veg"/>
    <x v="1"/>
    <s v="Dance"/>
  </r>
  <r>
    <s v="Urvashi Bose"/>
    <x v="1"/>
    <x v="2"/>
    <n v="5"/>
    <n v="7833947819"/>
    <x v="1"/>
    <s v="Yes"/>
    <s v="Veg"/>
    <x v="0"/>
    <s v="Dance"/>
  </r>
  <r>
    <s v="Ishan Mishra"/>
    <x v="1"/>
    <x v="0"/>
    <n v="5"/>
    <n v="7508540175"/>
    <x v="1"/>
    <s v="No"/>
    <s v="Non-Veg"/>
    <x v="3"/>
    <s v="None"/>
  </r>
  <r>
    <s v="Pragya Chopra"/>
    <x v="2"/>
    <x v="3"/>
    <n v="7"/>
    <n v="8022301658"/>
    <x v="1"/>
    <s v="No"/>
    <s v="Veg"/>
    <x v="1"/>
    <s v="Dance"/>
  </r>
  <r>
    <s v="Neha Kumar"/>
    <x v="1"/>
    <x v="1"/>
    <n v="5"/>
    <n v="8843845156"/>
    <x v="0"/>
    <s v="No"/>
    <s v="Veg"/>
    <x v="2"/>
    <s v="None"/>
  </r>
  <r>
    <s v="Lokesh Khanna"/>
    <x v="1"/>
    <x v="1"/>
    <n v="5"/>
    <n v="6539639903"/>
    <x v="1"/>
    <s v="Yes"/>
    <s v="Veg"/>
    <x v="1"/>
    <s v="None"/>
  </r>
  <r>
    <s v="Deepika Dubey"/>
    <x v="0"/>
    <x v="4"/>
    <n v="3"/>
    <n v="9219332602"/>
    <x v="1"/>
    <s v="No"/>
    <s v="Non-Veg"/>
    <x v="3"/>
    <s v="None"/>
  </r>
  <r>
    <s v="Ananya Jain"/>
    <x v="1"/>
    <x v="3"/>
    <n v="5"/>
    <n v="9250606038"/>
    <x v="0"/>
    <s v="Yes"/>
    <s v="Veg"/>
    <x v="4"/>
    <s v="Dance"/>
  </r>
  <r>
    <s v="Saurabh Mondal"/>
    <x v="2"/>
    <x v="3"/>
    <n v="7"/>
    <n v="8751623627"/>
    <x v="0"/>
    <s v="Yes"/>
    <s v="Veg"/>
    <x v="0"/>
    <s v="Dance"/>
  </r>
  <r>
    <s v="Kunal Pillai"/>
    <x v="0"/>
    <x v="0"/>
    <n v="3"/>
    <n v="9581677026"/>
    <x v="0"/>
    <s v="Yes"/>
    <s v="Non-Veg"/>
    <x v="1"/>
    <s v="Dance"/>
  </r>
  <r>
    <s v="Aarti Mehta"/>
    <x v="3"/>
    <x v="2"/>
    <n v="1"/>
    <n v="7591863235"/>
    <x v="1"/>
    <s v="No"/>
    <s v="Non-Veg"/>
    <x v="1"/>
    <s v="Dance"/>
  </r>
  <r>
    <s v="Deepika Mondal"/>
    <x v="0"/>
    <x v="0"/>
    <n v="3"/>
    <n v="7571815436"/>
    <x v="1"/>
    <s v="Yes"/>
    <s v="Veg"/>
    <x v="1"/>
    <s v="Dance"/>
  </r>
  <r>
    <s v="Aaditya Mondal"/>
    <x v="3"/>
    <x v="0"/>
    <n v="1"/>
    <n v="7820642372"/>
    <x v="1"/>
    <s v="Yes"/>
    <s v="Non-Veg"/>
    <x v="4"/>
    <s v="None"/>
  </r>
  <r>
    <s v="Kajal Singh"/>
    <x v="3"/>
    <x v="0"/>
    <n v="1"/>
    <n v="6214259466"/>
    <x v="0"/>
    <s v="Yes"/>
    <s v="Veg"/>
    <x v="1"/>
    <s v="Dance"/>
  </r>
  <r>
    <s v="Aishwarya Kapoor"/>
    <x v="2"/>
    <x v="4"/>
    <n v="7"/>
    <n v="6138272229"/>
    <x v="0"/>
    <s v="No"/>
    <s v="Veg"/>
    <x v="3"/>
    <s v="None"/>
  </r>
  <r>
    <s v="Abhinav Kapoor"/>
    <x v="2"/>
    <x v="4"/>
    <n v="7"/>
    <n v="8808322626"/>
    <x v="1"/>
    <s v="Yes"/>
    <s v="Veg"/>
    <x v="0"/>
    <s v="None"/>
  </r>
  <r>
    <s v="Farhan Patel"/>
    <x v="3"/>
    <x v="0"/>
    <n v="1"/>
    <n v="7224698432"/>
    <x v="1"/>
    <s v="Yes"/>
    <s v="Non-Veg"/>
    <x v="5"/>
    <s v="None"/>
  </r>
  <r>
    <s v="Deepika Joshi"/>
    <x v="2"/>
    <x v="1"/>
    <n v="7"/>
    <n v="9222471765"/>
    <x v="1"/>
    <s v="No"/>
    <s v="Non-Veg"/>
    <x v="4"/>
    <s v="None"/>
  </r>
  <r>
    <s v="Shreya Srivastava"/>
    <x v="2"/>
    <x v="0"/>
    <n v="7"/>
    <n v="9631014275"/>
    <x v="0"/>
    <s v="No"/>
    <s v="Non-Veg"/>
    <x v="3"/>
    <s v="None"/>
  </r>
  <r>
    <s v="Ankita Chatterjee"/>
    <x v="0"/>
    <x v="2"/>
    <n v="3"/>
    <n v="9017213082"/>
    <x v="0"/>
    <s v="No"/>
    <s v="Non-Veg"/>
    <x v="1"/>
    <s v="None"/>
  </r>
  <r>
    <s v="Pooja Roy"/>
    <x v="2"/>
    <x v="1"/>
    <n v="7"/>
    <n v="9585524674"/>
    <x v="1"/>
    <s v="No"/>
    <s v="Non-Veg"/>
    <x v="1"/>
    <s v="None"/>
  </r>
  <r>
    <s v="Divya Verma"/>
    <x v="3"/>
    <x v="4"/>
    <n v="1"/>
    <n v="9319981861"/>
    <x v="1"/>
    <s v="No"/>
    <s v="Non-Veg"/>
    <x v="5"/>
    <s v="Dance"/>
  </r>
  <r>
    <s v="Gaurav Datta"/>
    <x v="1"/>
    <x v="2"/>
    <n v="5"/>
    <n v="9041231436"/>
    <x v="0"/>
    <s v="Yes"/>
    <s v="Non-Veg"/>
    <x v="4"/>
    <s v="None"/>
  </r>
  <r>
    <s v="Deepak Pillai"/>
    <x v="3"/>
    <x v="2"/>
    <n v="1"/>
    <n v="8565900630"/>
    <x v="1"/>
    <s v="Yes"/>
    <s v="Veg"/>
    <x v="4"/>
    <s v="None"/>
  </r>
  <r>
    <s v="Neha Reddy"/>
    <x v="2"/>
    <x v="0"/>
    <n v="7"/>
    <n v="6909456424"/>
    <x v="1"/>
    <s v="No"/>
    <s v="Veg"/>
    <x v="0"/>
    <s v="None"/>
  </r>
  <r>
    <s v="Poonam Bhatia"/>
    <x v="0"/>
    <x v="3"/>
    <n v="3"/>
    <n v="9985286187"/>
    <x v="0"/>
    <s v="Yes"/>
    <s v="Non-Veg"/>
    <x v="1"/>
    <s v="Singing"/>
  </r>
  <r>
    <s v="Priya Agarwal"/>
    <x v="2"/>
    <x v="0"/>
    <n v="7"/>
    <n v="9950282483"/>
    <x v="0"/>
    <s v="No"/>
    <s v="Veg"/>
    <x v="3"/>
    <s v="None"/>
  </r>
  <r>
    <s v="Lokesh Mehta"/>
    <x v="1"/>
    <x v="1"/>
    <n v="5"/>
    <n v="6501595760"/>
    <x v="1"/>
    <s v="No"/>
    <s v="Non-Veg"/>
    <x v="4"/>
    <s v="None"/>
  </r>
  <r>
    <s v="Neha Joshi"/>
    <x v="3"/>
    <x v="3"/>
    <n v="1"/>
    <n v="6491679736"/>
    <x v="1"/>
    <s v="No"/>
    <s v="Veg"/>
    <x v="1"/>
    <s v="None"/>
  </r>
  <r>
    <s v="Aditya Ahuja"/>
    <x v="0"/>
    <x v="4"/>
    <n v="3"/>
    <n v="8170221149"/>
    <x v="1"/>
    <s v="No"/>
    <s v="Non-Veg"/>
    <x v="4"/>
    <s v="Dance"/>
  </r>
  <r>
    <s v="Deepak Choudhary"/>
    <x v="3"/>
    <x v="1"/>
    <n v="1"/>
    <n v="9419907098"/>
    <x v="0"/>
    <s v="Yes"/>
    <s v="Non-Veg"/>
    <x v="5"/>
    <s v="Dance"/>
  </r>
  <r>
    <s v="Rajat Kapoor"/>
    <x v="3"/>
    <x v="1"/>
    <n v="1"/>
    <n v="8231986838"/>
    <x v="0"/>
    <s v="Yes"/>
    <s v="Veg"/>
    <x v="1"/>
    <s v="None"/>
  </r>
  <r>
    <s v="Akhil Bhatia"/>
    <x v="0"/>
    <x v="0"/>
    <n v="3"/>
    <n v="9015229272"/>
    <x v="0"/>
    <s v="Yes"/>
    <s v="Non-Veg"/>
    <x v="5"/>
    <s v="None"/>
  </r>
  <r>
    <s v="Amar Yadav"/>
    <x v="3"/>
    <x v="1"/>
    <n v="1"/>
    <n v="7589063584"/>
    <x v="0"/>
    <s v="Yes"/>
    <s v="Non-Veg"/>
    <x v="1"/>
    <s v="Singing"/>
  </r>
  <r>
    <s v="Ananya Shah"/>
    <x v="2"/>
    <x v="3"/>
    <n v="7"/>
    <n v="8885132052"/>
    <x v="1"/>
    <s v="No"/>
    <s v="Veg"/>
    <x v="5"/>
    <s v="Dance"/>
  </r>
  <r>
    <s v="Bhavesh Jain"/>
    <x v="2"/>
    <x v="1"/>
    <n v="7"/>
    <n v="9703709139"/>
    <x v="0"/>
    <s v="No"/>
    <s v="Non-Veg"/>
    <x v="5"/>
    <s v="Dance"/>
  </r>
  <r>
    <s v="Ayush Verma"/>
    <x v="2"/>
    <x v="4"/>
    <n v="7"/>
    <n v="7901230518"/>
    <x v="0"/>
    <s v="No"/>
    <s v="Non-Veg"/>
    <x v="3"/>
    <s v="None"/>
  </r>
  <r>
    <s v="Akash Patel"/>
    <x v="3"/>
    <x v="0"/>
    <n v="1"/>
    <n v="6881513688"/>
    <x v="1"/>
    <s v="Yes"/>
    <s v="Non-Veg"/>
    <x v="1"/>
    <s v="Singing"/>
  </r>
  <r>
    <s v="Priyanshi Sharma"/>
    <x v="1"/>
    <x v="2"/>
    <n v="5"/>
    <n v="9108905407"/>
    <x v="1"/>
    <s v="Yes"/>
    <s v="Non-Veg"/>
    <x v="5"/>
    <s v="None"/>
  </r>
  <r>
    <s v="Neha Chatterjee"/>
    <x v="3"/>
    <x v="0"/>
    <n v="1"/>
    <n v="9382482365"/>
    <x v="1"/>
    <s v="Yes"/>
    <s v="Veg"/>
    <x v="1"/>
    <s v="Dance"/>
  </r>
  <r>
    <s v="Amit Kapoor"/>
    <x v="2"/>
    <x v="0"/>
    <n v="7"/>
    <n v="9176378136"/>
    <x v="0"/>
    <s v="Yes"/>
    <s v="Veg"/>
    <x v="1"/>
    <s v="Dance"/>
  </r>
  <r>
    <s v="Shubham Mukherjee"/>
    <x v="0"/>
    <x v="4"/>
    <n v="3"/>
    <n v="8357282905"/>
    <x v="0"/>
    <s v="No"/>
    <s v="Non-Veg"/>
    <x v="1"/>
    <s v="None"/>
  </r>
  <r>
    <s v="Nandini Kapoor"/>
    <x v="3"/>
    <x v="1"/>
    <n v="1"/>
    <n v="8487440378"/>
    <x v="1"/>
    <s v="No"/>
    <s v="Non-Veg"/>
    <x v="1"/>
    <s v="None"/>
  </r>
  <r>
    <s v="Madhuri Rao"/>
    <x v="3"/>
    <x v="1"/>
    <n v="1"/>
    <n v="7801236636"/>
    <x v="1"/>
    <s v="No"/>
    <s v="Non-Veg"/>
    <x v="2"/>
    <s v="Dance"/>
  </r>
  <r>
    <s v="Tushar Joshi"/>
    <x v="0"/>
    <x v="1"/>
    <n v="3"/>
    <n v="6887661013"/>
    <x v="0"/>
    <s v="No"/>
    <s v="Veg"/>
    <x v="4"/>
    <s v="None"/>
  </r>
  <r>
    <s v="Akhil Roy"/>
    <x v="3"/>
    <x v="0"/>
    <n v="1"/>
    <n v="7819681315"/>
    <x v="1"/>
    <s v="Yes"/>
    <s v="Veg"/>
    <x v="5"/>
    <s v="None"/>
  </r>
  <r>
    <s v="Rishabh Dubey"/>
    <x v="2"/>
    <x v="0"/>
    <n v="7"/>
    <n v="8087335119"/>
    <x v="0"/>
    <s v="No"/>
    <s v="Non-Veg"/>
    <x v="0"/>
    <s v="None"/>
  </r>
  <r>
    <s v="Om Sethi"/>
    <x v="1"/>
    <x v="2"/>
    <n v="5"/>
    <n v="7241865784"/>
    <x v="1"/>
    <s v="Yes"/>
    <s v="Non-Veg"/>
    <x v="2"/>
    <s v="None"/>
  </r>
  <r>
    <s v="Shreya Bhatia"/>
    <x v="1"/>
    <x v="0"/>
    <n v="5"/>
    <n v="8607035304"/>
    <x v="1"/>
    <s v="No"/>
    <s v="Non-Veg"/>
    <x v="2"/>
    <s v="None"/>
  </r>
  <r>
    <s v="Sandhya Sharma"/>
    <x v="2"/>
    <x v="4"/>
    <n v="7"/>
    <n v="9360091103"/>
    <x v="1"/>
    <s v="No"/>
    <s v="Non-Veg"/>
    <x v="0"/>
    <s v="None"/>
  </r>
  <r>
    <s v="Bhavna Saxena"/>
    <x v="2"/>
    <x v="3"/>
    <n v="7"/>
    <n v="9935742634"/>
    <x v="0"/>
    <s v="Yes"/>
    <s v="Non-Veg"/>
    <x v="1"/>
    <s v="None"/>
  </r>
  <r>
    <s v="Varun Biswas"/>
    <x v="2"/>
    <x v="3"/>
    <n v="7"/>
    <n v="9330981780"/>
    <x v="1"/>
    <s v="No"/>
    <s v="Veg"/>
    <x v="1"/>
    <s v="Singing"/>
  </r>
  <r>
    <s v="Ishan Roy"/>
    <x v="1"/>
    <x v="2"/>
    <n v="5"/>
    <n v="9655386925"/>
    <x v="1"/>
    <s v="No"/>
    <s v="Veg"/>
    <x v="1"/>
    <s v="None"/>
  </r>
  <r>
    <s v="Raj Kapoor"/>
    <x v="0"/>
    <x v="1"/>
    <n v="3"/>
    <n v="7748109259"/>
    <x v="0"/>
    <s v="No"/>
    <s v="Veg"/>
    <x v="5"/>
    <s v="None"/>
  </r>
  <r>
    <s v="Vidya Reddy"/>
    <x v="3"/>
    <x v="3"/>
    <n v="1"/>
    <n v="9957198283"/>
    <x v="0"/>
    <s v="No"/>
    <s v="Non-Veg"/>
    <x v="1"/>
    <s v="None"/>
  </r>
  <r>
    <s v="Shikha Mukherjee"/>
    <x v="1"/>
    <x v="3"/>
    <n v="5"/>
    <n v="8940121225"/>
    <x v="1"/>
    <s v="Yes"/>
    <s v="Non-Veg"/>
    <x v="3"/>
    <s v="None"/>
  </r>
  <r>
    <s v="Rishabh Rao"/>
    <x v="1"/>
    <x v="0"/>
    <n v="5"/>
    <n v="8782081790"/>
    <x v="0"/>
    <s v="No"/>
    <s v="Veg"/>
    <x v="1"/>
    <s v="Dance"/>
  </r>
  <r>
    <s v="Tarun Mehta"/>
    <x v="3"/>
    <x v="4"/>
    <n v="1"/>
    <n v="9576395488"/>
    <x v="0"/>
    <s v="No"/>
    <s v="Veg"/>
    <x v="1"/>
    <s v="Singing"/>
  </r>
  <r>
    <s v="Dhruv Pandey"/>
    <x v="0"/>
    <x v="2"/>
    <n v="3"/>
    <n v="6505490679"/>
    <x v="0"/>
    <s v="No"/>
    <s v="Non-Veg"/>
    <x v="1"/>
    <s v="None"/>
  </r>
  <r>
    <s v="Ayush Chatterjee"/>
    <x v="3"/>
    <x v="1"/>
    <n v="1"/>
    <n v="9284636166"/>
    <x v="1"/>
    <s v="No"/>
    <s v="Non-Veg"/>
    <x v="5"/>
    <s v="None"/>
  </r>
  <r>
    <s v="Alok Das"/>
    <x v="0"/>
    <x v="0"/>
    <n v="3"/>
    <n v="8762525544"/>
    <x v="1"/>
    <s v="No"/>
    <s v="Veg"/>
    <x v="5"/>
    <s v="None"/>
  </r>
  <r>
    <s v="Om Kumar"/>
    <x v="3"/>
    <x v="1"/>
    <n v="1"/>
    <n v="6274514568"/>
    <x v="1"/>
    <s v="Yes"/>
    <s v="Non-Veg"/>
    <x v="3"/>
    <s v="None"/>
  </r>
  <r>
    <s v="Ritika Chatterjee"/>
    <x v="2"/>
    <x v="3"/>
    <n v="7"/>
    <n v="9799634476"/>
    <x v="0"/>
    <s v="No"/>
    <s v="Veg"/>
    <x v="5"/>
    <s v="None"/>
  </r>
  <r>
    <s v="Aditya Bajaj"/>
    <x v="1"/>
    <x v="3"/>
    <n v="5"/>
    <n v="7310759000"/>
    <x v="1"/>
    <s v="No"/>
    <s v="Non-Veg"/>
    <x v="1"/>
    <s v="Dance"/>
  </r>
  <r>
    <s v="Pranav Mukherjee"/>
    <x v="3"/>
    <x v="1"/>
    <n v="1"/>
    <n v="8980177303"/>
    <x v="0"/>
    <s v="No"/>
    <s v="Veg"/>
    <x v="2"/>
    <s v="None"/>
  </r>
  <r>
    <s v="Kajal Bajaj"/>
    <x v="3"/>
    <x v="4"/>
    <n v="1"/>
    <n v="9377927796"/>
    <x v="0"/>
    <s v="No"/>
    <s v="Veg"/>
    <x v="2"/>
    <s v="None"/>
  </r>
  <r>
    <s v="Farhan Bose"/>
    <x v="3"/>
    <x v="1"/>
    <n v="1"/>
    <n v="9292138042"/>
    <x v="0"/>
    <s v="Yes"/>
    <s v="Non-Veg"/>
    <x v="3"/>
    <s v="None"/>
  </r>
  <r>
    <s v="Tanvi Rao"/>
    <x v="1"/>
    <x v="2"/>
    <n v="5"/>
    <n v="9790828308"/>
    <x v="0"/>
    <s v="No"/>
    <s v="Non-Veg"/>
    <x v="1"/>
    <s v="Dance"/>
  </r>
  <r>
    <s v="Sonali Sharma"/>
    <x v="2"/>
    <x v="4"/>
    <n v="7"/>
    <n v="6163066985"/>
    <x v="1"/>
    <s v="Yes"/>
    <s v="Veg"/>
    <x v="2"/>
    <s v="None"/>
  </r>
  <r>
    <s v="Alok Mishra"/>
    <x v="3"/>
    <x v="4"/>
    <n v="1"/>
    <n v="9133319189"/>
    <x v="0"/>
    <s v="Yes"/>
    <s v="Veg"/>
    <x v="1"/>
    <s v="None"/>
  </r>
  <r>
    <s v="Shreya Chopra"/>
    <x v="2"/>
    <x v="4"/>
    <n v="7"/>
    <n v="6532481726"/>
    <x v="0"/>
    <s v="Yes"/>
    <s v="Veg"/>
    <x v="1"/>
    <s v="Dance"/>
  </r>
  <r>
    <s v="Vikram Nair"/>
    <x v="2"/>
    <x v="1"/>
    <n v="7"/>
    <n v="7216116614"/>
    <x v="1"/>
    <s v="Yes"/>
    <s v="Non-Veg"/>
    <x v="1"/>
    <s v="Singing"/>
  </r>
  <r>
    <s v="Manish Mukherjee"/>
    <x v="3"/>
    <x v="4"/>
    <n v="1"/>
    <n v="6222297119"/>
    <x v="1"/>
    <s v="Yes"/>
    <s v="Veg"/>
    <x v="2"/>
    <s v="None"/>
  </r>
  <r>
    <s v="Rupali Gupta"/>
    <x v="0"/>
    <x v="4"/>
    <n v="3"/>
    <n v="8846475206"/>
    <x v="0"/>
    <s v="Yes"/>
    <s v="Veg"/>
    <x v="1"/>
    <s v="None"/>
  </r>
  <r>
    <s v="Sonali Bose"/>
    <x v="3"/>
    <x v="3"/>
    <n v="1"/>
    <n v="8203381060"/>
    <x v="1"/>
    <s v="No"/>
    <s v="Non-Veg"/>
    <x v="4"/>
    <s v="Dance"/>
  </r>
  <r>
    <s v="Pallavi Malhotra"/>
    <x v="0"/>
    <x v="1"/>
    <n v="3"/>
    <n v="6564524489"/>
    <x v="0"/>
    <s v="Yes"/>
    <s v="Non-Veg"/>
    <x v="1"/>
    <s v="Dance"/>
  </r>
  <r>
    <s v="Madhuri Sethi"/>
    <x v="0"/>
    <x v="1"/>
    <n v="3"/>
    <n v="9702794458"/>
    <x v="1"/>
    <s v="Yes"/>
    <s v="Veg"/>
    <x v="4"/>
    <s v="Singing"/>
  </r>
  <r>
    <s v="Sneha Chatterjee"/>
    <x v="3"/>
    <x v="2"/>
    <n v="1"/>
    <n v="9197694366"/>
    <x v="1"/>
    <s v="Yes"/>
    <s v="Veg"/>
    <x v="5"/>
    <s v="Dance"/>
  </r>
  <r>
    <s v="Om Sharma"/>
    <x v="2"/>
    <x v="1"/>
    <n v="7"/>
    <n v="7882395101"/>
    <x v="1"/>
    <s v="Yes"/>
    <s v="Non-Veg"/>
    <x v="0"/>
    <s v="Dance"/>
  </r>
  <r>
    <s v="Rohit Pillai"/>
    <x v="0"/>
    <x v="1"/>
    <n v="3"/>
    <n v="9878298998"/>
    <x v="0"/>
    <s v="Yes"/>
    <s v="Veg"/>
    <x v="1"/>
    <s v="None"/>
  </r>
  <r>
    <s v="Shikha Shah"/>
    <x v="3"/>
    <x v="0"/>
    <n v="1"/>
    <n v="7321579557"/>
    <x v="1"/>
    <s v="No"/>
    <s v="Veg"/>
    <x v="1"/>
    <s v="Singing"/>
  </r>
  <r>
    <s v="Rashmi Chauhan"/>
    <x v="1"/>
    <x v="4"/>
    <n v="5"/>
    <n v="9319351231"/>
    <x v="0"/>
    <s v="No"/>
    <s v="Veg"/>
    <x v="3"/>
    <s v="Singing"/>
  </r>
  <r>
    <s v="Pallavi Dubey"/>
    <x v="1"/>
    <x v="1"/>
    <n v="5"/>
    <n v="8854114255"/>
    <x v="1"/>
    <s v="Yes"/>
    <s v="Non-Veg"/>
    <x v="1"/>
    <s v="Dance"/>
  </r>
  <r>
    <s v="Priyanshi Kumar"/>
    <x v="1"/>
    <x v="4"/>
    <n v="5"/>
    <n v="8487251900"/>
    <x v="0"/>
    <s v="No"/>
    <s v="Non-Veg"/>
    <x v="1"/>
    <s v="Singing"/>
  </r>
  <r>
    <s v="Garima Jain"/>
    <x v="1"/>
    <x v="1"/>
    <n v="5"/>
    <n v="9557479819"/>
    <x v="0"/>
    <s v="No"/>
    <s v="Veg"/>
    <x v="5"/>
    <s v="Singing"/>
  </r>
  <r>
    <s v="Karan Verma"/>
    <x v="1"/>
    <x v="3"/>
    <n v="5"/>
    <n v="6041006304"/>
    <x v="0"/>
    <s v="Yes"/>
    <s v="Non-Veg"/>
    <x v="1"/>
    <s v="None"/>
  </r>
  <r>
    <s v="Yamini Mehta"/>
    <x v="0"/>
    <x v="2"/>
    <n v="3"/>
    <n v="9691792161"/>
    <x v="1"/>
    <s v="Yes"/>
    <s v="Non-Veg"/>
    <x v="2"/>
    <s v="None"/>
  </r>
  <r>
    <s v="Kunal Malhotra"/>
    <x v="3"/>
    <x v="1"/>
    <n v="1"/>
    <n v="9755508431"/>
    <x v="1"/>
    <s v="No"/>
    <s v="Non-Veg"/>
    <x v="4"/>
    <s v="Dance"/>
  </r>
  <r>
    <s v="Vipasha Mukherjee"/>
    <x v="0"/>
    <x v="3"/>
    <n v="3"/>
    <n v="9537716519"/>
    <x v="0"/>
    <s v="No"/>
    <s v="Non-Veg"/>
    <x v="3"/>
    <s v="Singing"/>
  </r>
  <r>
    <s v="Bhavesh Srivastava"/>
    <x v="2"/>
    <x v="3"/>
    <n v="7"/>
    <n v="9720218003"/>
    <x v="0"/>
    <s v="No"/>
    <s v="Non-Veg"/>
    <x v="4"/>
    <s v="None"/>
  </r>
  <r>
    <s v="Neha Singh"/>
    <x v="2"/>
    <x v="1"/>
    <n v="7"/>
    <n v="8780053545"/>
    <x v="0"/>
    <s v="No"/>
    <s v="Non-Veg"/>
    <x v="0"/>
    <s v="Dance"/>
  </r>
  <r>
    <s v="Tushar Choudhary"/>
    <x v="1"/>
    <x v="4"/>
    <n v="5"/>
    <n v="6978398514"/>
    <x v="0"/>
    <s v="No"/>
    <s v="Veg"/>
    <x v="3"/>
    <s v="Singing"/>
  </r>
  <r>
    <s v="Amrita Verma"/>
    <x v="0"/>
    <x v="1"/>
    <n v="3"/>
    <n v="8261889901"/>
    <x v="1"/>
    <s v="No"/>
    <s v="Veg"/>
    <x v="3"/>
    <s v="Dance"/>
  </r>
  <r>
    <s v="Himanshu Ghosh"/>
    <x v="0"/>
    <x v="3"/>
    <n v="3"/>
    <n v="9759899733"/>
    <x v="0"/>
    <s v="Yes"/>
    <s v="Non-Veg"/>
    <x v="1"/>
    <s v="None"/>
  </r>
  <r>
    <s v="Sandhya Kumar"/>
    <x v="1"/>
    <x v="0"/>
    <n v="5"/>
    <n v="6357350529"/>
    <x v="0"/>
    <s v="Yes"/>
    <s v="Non-Veg"/>
    <x v="2"/>
    <s v="Dance"/>
  </r>
  <r>
    <s v="Om Patel"/>
    <x v="2"/>
    <x v="4"/>
    <n v="7"/>
    <n v="7774394963"/>
    <x v="0"/>
    <s v="Yes"/>
    <s v="Veg"/>
    <x v="1"/>
    <s v="Dance"/>
  </r>
  <r>
    <s v="Alok Srivastava"/>
    <x v="0"/>
    <x v="1"/>
    <n v="3"/>
    <n v="6410931184"/>
    <x v="0"/>
    <s v="No"/>
    <s v="Veg"/>
    <x v="2"/>
    <s v="Dance"/>
  </r>
  <r>
    <s v="Zara Ghosh"/>
    <x v="0"/>
    <x v="3"/>
    <n v="3"/>
    <n v="8777180060"/>
    <x v="0"/>
    <s v="Yes"/>
    <s v="Non-Veg"/>
    <x v="5"/>
    <s v="Dance"/>
  </r>
  <r>
    <s v="Tarun Nair"/>
    <x v="0"/>
    <x v="2"/>
    <n v="3"/>
    <n v="9416409051"/>
    <x v="0"/>
    <s v="No"/>
    <s v="Non-Veg"/>
    <x v="1"/>
    <s v="None"/>
  </r>
  <r>
    <s v="Siddharth Roy"/>
    <x v="2"/>
    <x v="1"/>
    <n v="7"/>
    <n v="6798462618"/>
    <x v="1"/>
    <s v="No"/>
    <s v="Non-Veg"/>
    <x v="1"/>
    <s v="Singing"/>
  </r>
  <r>
    <s v="Riya Chauhan"/>
    <x v="0"/>
    <x v="4"/>
    <n v="3"/>
    <n v="9629823068"/>
    <x v="1"/>
    <s v="No"/>
    <s v="Non-Veg"/>
    <x v="5"/>
    <s v="None"/>
  </r>
  <r>
    <s v="Rohit Yadav"/>
    <x v="1"/>
    <x v="1"/>
    <n v="5"/>
    <n v="7228048436"/>
    <x v="1"/>
    <s v="No"/>
    <s v="Non-Veg"/>
    <x v="1"/>
    <s v="Dance"/>
  </r>
  <r>
    <s v="Deepika Chauhan"/>
    <x v="1"/>
    <x v="1"/>
    <n v="5"/>
    <n v="8130968865"/>
    <x v="1"/>
    <s v="Yes"/>
    <s v="Veg"/>
    <x v="4"/>
    <s v="Dance"/>
  </r>
  <r>
    <s v="Komal Yadav"/>
    <x v="1"/>
    <x v="3"/>
    <n v="5"/>
    <n v="9760540447"/>
    <x v="1"/>
    <s v="No"/>
    <s v="Non-Veg"/>
    <x v="0"/>
    <s v="Singing"/>
  </r>
  <r>
    <s v="Sneha Kumar"/>
    <x v="0"/>
    <x v="1"/>
    <n v="3"/>
    <n v="6065208701"/>
    <x v="1"/>
    <s v="No"/>
    <s v="Veg"/>
    <x v="2"/>
    <s v="None"/>
  </r>
  <r>
    <s v="Vidya Bose"/>
    <x v="1"/>
    <x v="1"/>
    <n v="5"/>
    <n v="9220126639"/>
    <x v="1"/>
    <s v="No"/>
    <s v="Non-Veg"/>
    <x v="3"/>
    <s v="None"/>
  </r>
  <r>
    <s v="Rohan Chatterjee"/>
    <x v="1"/>
    <x v="2"/>
    <n v="5"/>
    <n v="6802897985"/>
    <x v="0"/>
    <s v="No"/>
    <s v="Veg"/>
    <x v="5"/>
    <s v="None"/>
  </r>
  <r>
    <s v="Arjun Pandey"/>
    <x v="2"/>
    <x v="0"/>
    <n v="7"/>
    <n v="6001798181"/>
    <x v="0"/>
    <s v="No"/>
    <s v="Veg"/>
    <x v="2"/>
    <s v="Dance"/>
  </r>
  <r>
    <s v="Trisha Nair"/>
    <x v="3"/>
    <x v="4"/>
    <n v="1"/>
    <n v="6829011064"/>
    <x v="0"/>
    <s v="No"/>
    <s v="Non-Veg"/>
    <x v="3"/>
    <s v="None"/>
  </r>
  <r>
    <s v="Monika Jain"/>
    <x v="2"/>
    <x v="2"/>
    <n v="7"/>
    <n v="7600235040"/>
    <x v="1"/>
    <s v="No"/>
    <s v="Veg"/>
    <x v="3"/>
    <s v="None"/>
  </r>
  <r>
    <s v="Sahil Kumar"/>
    <x v="2"/>
    <x v="4"/>
    <n v="7"/>
    <n v="8201362507"/>
    <x v="1"/>
    <s v="Yes"/>
    <s v="Non-Veg"/>
    <x v="1"/>
    <s v="Singing"/>
  </r>
  <r>
    <s v="Mansi Chatterjee"/>
    <x v="2"/>
    <x v="0"/>
    <n v="7"/>
    <n v="9010963256"/>
    <x v="1"/>
    <s v="No"/>
    <s v="Non-Veg"/>
    <x v="5"/>
    <s v="Dance"/>
  </r>
  <r>
    <s v="Madhuri Patel"/>
    <x v="1"/>
    <x v="0"/>
    <n v="5"/>
    <n v="7611044753"/>
    <x v="1"/>
    <s v="Yes"/>
    <s v="Veg"/>
    <x v="1"/>
    <s v="Singing"/>
  </r>
  <r>
    <s v="Arnav Naidu"/>
    <x v="1"/>
    <x v="0"/>
    <n v="5"/>
    <n v="7670512345"/>
    <x v="0"/>
    <s v="Yes"/>
    <s v="Veg"/>
    <x v="0"/>
    <s v="None"/>
  </r>
  <r>
    <s v="Bhavesh Srivastava"/>
    <x v="1"/>
    <x v="0"/>
    <n v="5"/>
    <n v="7153814034"/>
    <x v="0"/>
    <s v="No"/>
    <s v="Non-Veg"/>
    <x v="1"/>
    <s v="Singing"/>
  </r>
  <r>
    <s v="Yamini Pillai"/>
    <x v="3"/>
    <x v="4"/>
    <n v="1"/>
    <n v="8190064554"/>
    <x v="1"/>
    <s v="Yes"/>
    <s v="Non-Veg"/>
    <x v="2"/>
    <s v="Dance"/>
  </r>
  <r>
    <s v="Harsh Joshi"/>
    <x v="2"/>
    <x v="2"/>
    <n v="7"/>
    <n v="7038530231"/>
    <x v="1"/>
    <s v="Yes"/>
    <s v="Veg"/>
    <x v="1"/>
    <s v="None"/>
  </r>
  <r>
    <s v="Sandhya Rao"/>
    <x v="1"/>
    <x v="0"/>
    <n v="5"/>
    <n v="6262370299"/>
    <x v="1"/>
    <s v="No"/>
    <s v="Veg"/>
    <x v="3"/>
    <s v="Singing"/>
  </r>
  <r>
    <s v="Zara Agarwal"/>
    <x v="1"/>
    <x v="1"/>
    <n v="5"/>
    <n v="9622874622"/>
    <x v="0"/>
    <s v="Yes"/>
    <s v="Non-Veg"/>
    <x v="3"/>
    <s v="None"/>
  </r>
  <r>
    <s v="Monika Biswas"/>
    <x v="3"/>
    <x v="3"/>
    <n v="1"/>
    <n v="8867280292"/>
    <x v="0"/>
    <s v="No"/>
    <s v="Non-Veg"/>
    <x v="5"/>
    <s v="Singing"/>
  </r>
  <r>
    <s v="Aaditya Srivastava"/>
    <x v="0"/>
    <x v="1"/>
    <n v="3"/>
    <n v="6241582747"/>
    <x v="1"/>
    <s v="No"/>
    <s v="Veg"/>
    <x v="1"/>
    <s v="None"/>
  </r>
  <r>
    <s v="Amar Choudhary"/>
    <x v="3"/>
    <x v="1"/>
    <n v="1"/>
    <n v="7891554611"/>
    <x v="1"/>
    <s v="No"/>
    <s v="Veg"/>
    <x v="3"/>
    <s v="Dance"/>
  </r>
  <r>
    <s v="Amar Paul"/>
    <x v="2"/>
    <x v="2"/>
    <n v="7"/>
    <n v="8252917353"/>
    <x v="1"/>
    <s v="Yes"/>
    <s v="Non-Veg"/>
    <x v="1"/>
    <s v="Dance"/>
  </r>
  <r>
    <s v="Suraj Naidu"/>
    <x v="2"/>
    <x v="0"/>
    <n v="7"/>
    <n v="6220533732"/>
    <x v="1"/>
    <s v="No"/>
    <s v="Non-Veg"/>
    <x v="4"/>
    <s v="None"/>
  </r>
  <r>
    <s v="Vishal Pillai"/>
    <x v="2"/>
    <x v="4"/>
    <n v="7"/>
    <n v="9625590206"/>
    <x v="1"/>
    <s v="No"/>
    <s v="Non-Veg"/>
    <x v="5"/>
    <s v="Dance"/>
  </r>
  <r>
    <s v="Aaditya Iyer"/>
    <x v="3"/>
    <x v="2"/>
    <n v="1"/>
    <n v="6532686828"/>
    <x v="1"/>
    <s v="Yes"/>
    <s v="Non-Veg"/>
    <x v="3"/>
    <s v="None"/>
  </r>
  <r>
    <s v="Kunal Saxena"/>
    <x v="3"/>
    <x v="0"/>
    <n v="1"/>
    <n v="8573092728"/>
    <x v="1"/>
    <s v="No"/>
    <s v="Non-Veg"/>
    <x v="5"/>
    <s v="None"/>
  </r>
  <r>
    <s v="Trisha Bose"/>
    <x v="3"/>
    <x v="2"/>
    <n v="1"/>
    <n v="6489472674"/>
    <x v="1"/>
    <s v="Yes"/>
    <s v="Non-Veg"/>
    <x v="4"/>
    <s v="None"/>
  </r>
  <r>
    <s v="Anushka Mukherjee"/>
    <x v="2"/>
    <x v="3"/>
    <n v="7"/>
    <n v="8442835198"/>
    <x v="0"/>
    <s v="No"/>
    <s v="Veg"/>
    <x v="1"/>
    <s v="Singing"/>
  </r>
  <r>
    <s v="Harsh Datta"/>
    <x v="2"/>
    <x v="0"/>
    <n v="7"/>
    <n v="7723902708"/>
    <x v="1"/>
    <s v="No"/>
    <s v="Veg"/>
    <x v="1"/>
    <s v="None"/>
  </r>
  <r>
    <s v="Shreya Mukherjee"/>
    <x v="0"/>
    <x v="0"/>
    <n v="3"/>
    <n v="8213058272"/>
    <x v="1"/>
    <s v="Yes"/>
    <s v="Veg"/>
    <x v="1"/>
    <s v="Singing"/>
  </r>
  <r>
    <s v="Deepika Menon"/>
    <x v="3"/>
    <x v="1"/>
    <n v="1"/>
    <n v="6224064382"/>
    <x v="0"/>
    <s v="No"/>
    <s v="Veg"/>
    <x v="4"/>
    <s v="None"/>
  </r>
  <r>
    <s v="Shubham Mehta"/>
    <x v="2"/>
    <x v="3"/>
    <n v="7"/>
    <n v="6029120214"/>
    <x v="0"/>
    <s v="Yes"/>
    <s v="Non-Veg"/>
    <x v="1"/>
    <s v="None"/>
  </r>
  <r>
    <s v="Ayush Ghosh"/>
    <x v="0"/>
    <x v="1"/>
    <n v="3"/>
    <n v="7995892910"/>
    <x v="1"/>
    <s v="No"/>
    <s v="Veg"/>
    <x v="1"/>
    <s v="Dance"/>
  </r>
  <r>
    <s v="Trisha Bhatia"/>
    <x v="3"/>
    <x v="1"/>
    <n v="1"/>
    <n v="6746780906"/>
    <x v="1"/>
    <s v="Yes"/>
    <s v="Veg"/>
    <x v="1"/>
    <s v="None"/>
  </r>
  <r>
    <s v="Karan Bajaj"/>
    <x v="1"/>
    <x v="3"/>
    <n v="5"/>
    <n v="6842400297"/>
    <x v="0"/>
    <s v="No"/>
    <s v="Non-Veg"/>
    <x v="0"/>
    <s v="None"/>
  </r>
  <r>
    <s v="Manish Mishra"/>
    <x v="2"/>
    <x v="4"/>
    <n v="7"/>
    <n v="8594447711"/>
    <x v="0"/>
    <s v="No"/>
    <s v="Non-Veg"/>
    <x v="1"/>
    <s v="Singing"/>
  </r>
  <r>
    <s v="Sonali Khanna"/>
    <x v="2"/>
    <x v="3"/>
    <n v="7"/>
    <n v="6636125476"/>
    <x v="0"/>
    <s v="Yes"/>
    <s v="Veg"/>
    <x v="5"/>
    <s v="None"/>
  </r>
  <r>
    <s v="Zara Dey"/>
    <x v="1"/>
    <x v="0"/>
    <n v="5"/>
    <n v="7662718863"/>
    <x v="1"/>
    <s v="No"/>
    <s v="Non-Veg"/>
    <x v="0"/>
    <s v="None"/>
  </r>
  <r>
    <s v="Simran Datta"/>
    <x v="0"/>
    <x v="0"/>
    <n v="3"/>
    <n v="6664080094"/>
    <x v="1"/>
    <s v="Yes"/>
    <s v="Veg"/>
    <x v="4"/>
    <s v="Dance"/>
  </r>
  <r>
    <s v="Rakesh Arora"/>
    <x v="0"/>
    <x v="1"/>
    <n v="3"/>
    <n v="8852790241"/>
    <x v="1"/>
    <s v="Yes"/>
    <s v="Veg"/>
    <x v="0"/>
    <s v="Dance"/>
  </r>
  <r>
    <s v="Uday Bansal"/>
    <x v="0"/>
    <x v="0"/>
    <n v="3"/>
    <n v="6018481124"/>
    <x v="1"/>
    <s v="No"/>
    <s v="Veg"/>
    <x v="3"/>
    <s v="Dance"/>
  </r>
  <r>
    <s v="Ritika Saxena"/>
    <x v="2"/>
    <x v="1"/>
    <n v="7"/>
    <n v="7966532117"/>
    <x v="1"/>
    <s v="Yes"/>
    <s v="Non-Veg"/>
    <x v="5"/>
    <s v="None"/>
  </r>
  <r>
    <s v="Nandini Bhatia"/>
    <x v="2"/>
    <x v="0"/>
    <n v="7"/>
    <n v="7639041600"/>
    <x v="0"/>
    <s v="Yes"/>
    <s v="Non-Veg"/>
    <x v="4"/>
    <s v="None"/>
  </r>
  <r>
    <s v="Komal Dubey"/>
    <x v="0"/>
    <x v="3"/>
    <n v="3"/>
    <n v="8425499906"/>
    <x v="0"/>
    <s v="No"/>
    <s v="Veg"/>
    <x v="4"/>
    <s v="None"/>
  </r>
  <r>
    <s v="Rishabh Kapoor"/>
    <x v="1"/>
    <x v="4"/>
    <n v="5"/>
    <n v="8128479615"/>
    <x v="1"/>
    <s v="No"/>
    <s v="Veg"/>
    <x v="0"/>
    <s v="None"/>
  </r>
  <r>
    <s v="Tarun Sethi"/>
    <x v="3"/>
    <x v="3"/>
    <n v="1"/>
    <n v="7329081362"/>
    <x v="0"/>
    <s v="No"/>
    <s v="Non-Veg"/>
    <x v="1"/>
    <s v="Singing"/>
  </r>
  <r>
    <s v="Sneha Rajput"/>
    <x v="3"/>
    <x v="0"/>
    <n v="1"/>
    <n v="9843720558"/>
    <x v="1"/>
    <s v="No"/>
    <s v="Non-Veg"/>
    <x v="3"/>
    <s v="Dance"/>
  </r>
  <r>
    <s v="Abhinav Patel"/>
    <x v="1"/>
    <x v="4"/>
    <n v="5"/>
    <n v="7872958481"/>
    <x v="0"/>
    <s v="No"/>
    <s v="Non-Veg"/>
    <x v="4"/>
    <s v="Singing"/>
  </r>
  <r>
    <s v="Tushar Joshi"/>
    <x v="3"/>
    <x v="0"/>
    <n v="1"/>
    <n v="7265529176"/>
    <x v="1"/>
    <s v="Yes"/>
    <s v="Non-Veg"/>
    <x v="4"/>
    <s v="None"/>
  </r>
  <r>
    <s v="Priyanshi Kapoor"/>
    <x v="1"/>
    <x v="0"/>
    <n v="5"/>
    <n v="7175138999"/>
    <x v="1"/>
    <s v="No"/>
    <s v="Non-Veg"/>
    <x v="1"/>
    <s v="Singing"/>
  </r>
  <r>
    <s v="Sumit Bansal"/>
    <x v="2"/>
    <x v="2"/>
    <n v="7"/>
    <n v="6916929404"/>
    <x v="1"/>
    <s v="Yes"/>
    <s v="Non-Veg"/>
    <x v="1"/>
    <s v="None"/>
  </r>
  <r>
    <s v="Trisha Chatterjee"/>
    <x v="0"/>
    <x v="4"/>
    <n v="3"/>
    <n v="7578639935"/>
    <x v="0"/>
    <s v="No"/>
    <s v="Non-Veg"/>
    <x v="2"/>
    <s v="Dance"/>
  </r>
  <r>
    <s v="Sejal Menon"/>
    <x v="2"/>
    <x v="4"/>
    <n v="7"/>
    <n v="7981115337"/>
    <x v="0"/>
    <s v="Yes"/>
    <s v="Non-Veg"/>
    <x v="1"/>
    <s v="None"/>
  </r>
  <r>
    <s v="Urvashi Das"/>
    <x v="2"/>
    <x v="4"/>
    <n v="7"/>
    <n v="6759915509"/>
    <x v="0"/>
    <s v="Yes"/>
    <s v="Non-Veg"/>
    <x v="3"/>
    <s v="None"/>
  </r>
  <r>
    <s v="Tarun Roy"/>
    <x v="2"/>
    <x v="4"/>
    <n v="7"/>
    <n v="6043371887"/>
    <x v="0"/>
    <s v="No"/>
    <s v="Non-Veg"/>
    <x v="3"/>
    <s v="Singing"/>
  </r>
  <r>
    <s v="Ankita Kapoor"/>
    <x v="0"/>
    <x v="1"/>
    <n v="3"/>
    <n v="7056373018"/>
    <x v="1"/>
    <s v="No"/>
    <s v="Veg"/>
    <x v="4"/>
    <s v="Dance"/>
  </r>
  <r>
    <s v="Deepak Agarwal"/>
    <x v="2"/>
    <x v="3"/>
    <n v="7"/>
    <n v="9966393845"/>
    <x v="1"/>
    <s v="No"/>
    <s v="Veg"/>
    <x v="2"/>
    <s v="None"/>
  </r>
  <r>
    <s v="Vishal Mondal"/>
    <x v="3"/>
    <x v="0"/>
    <n v="1"/>
    <n v="8222071316"/>
    <x v="1"/>
    <s v="No"/>
    <s v="Non-Veg"/>
    <x v="1"/>
    <s v="None"/>
  </r>
  <r>
    <s v="Nitin Joshi"/>
    <x v="2"/>
    <x v="2"/>
    <n v="7"/>
    <n v="8040119751"/>
    <x v="0"/>
    <s v="No"/>
    <s v="Veg"/>
    <x v="2"/>
    <s v="None"/>
  </r>
  <r>
    <s v="Suraj Reddy"/>
    <x v="1"/>
    <x v="2"/>
    <n v="5"/>
    <n v="8432055028"/>
    <x v="1"/>
    <s v="No"/>
    <s v="Veg"/>
    <x v="2"/>
    <s v="None"/>
  </r>
  <r>
    <s v="Sachin Das"/>
    <x v="0"/>
    <x v="3"/>
    <n v="3"/>
    <n v="7458810015"/>
    <x v="1"/>
    <s v="Yes"/>
    <s v="Non-Veg"/>
    <x v="3"/>
    <s v="None"/>
  </r>
  <r>
    <s v="Megha Chopra"/>
    <x v="2"/>
    <x v="0"/>
    <n v="7"/>
    <n v="7660936281"/>
    <x v="1"/>
    <s v="Yes"/>
    <s v="Veg"/>
    <x v="5"/>
    <s v="Dance"/>
  </r>
  <r>
    <s v="Rohit Sharma"/>
    <x v="0"/>
    <x v="1"/>
    <n v="3"/>
    <n v="9589950817"/>
    <x v="1"/>
    <s v="Yes"/>
    <s v="Veg"/>
    <x v="1"/>
    <s v="Singing"/>
  </r>
  <r>
    <s v="Himanshu Arora"/>
    <x v="3"/>
    <x v="2"/>
    <n v="1"/>
    <n v="6652375431"/>
    <x v="1"/>
    <s v="No"/>
    <s v="Veg"/>
    <x v="0"/>
    <s v="None"/>
  </r>
  <r>
    <s v="Monika Ghosh"/>
    <x v="2"/>
    <x v="2"/>
    <n v="7"/>
    <n v="8146157458"/>
    <x v="1"/>
    <s v="Yes"/>
    <s v="Veg"/>
    <x v="4"/>
    <s v="Dance"/>
  </r>
  <r>
    <s v="Muskan Menon"/>
    <x v="1"/>
    <x v="3"/>
    <n v="5"/>
    <n v="7749961526"/>
    <x v="0"/>
    <s v="Yes"/>
    <s v="Non-Veg"/>
    <x v="4"/>
    <s v="None"/>
  </r>
  <r>
    <s v="Sumit Paul"/>
    <x v="0"/>
    <x v="0"/>
    <n v="3"/>
    <n v="8837328306"/>
    <x v="1"/>
    <s v="No"/>
    <s v="Veg"/>
    <x v="3"/>
    <s v="Dance"/>
  </r>
  <r>
    <s v="Ankit Rajput"/>
    <x v="0"/>
    <x v="0"/>
    <n v="3"/>
    <n v="7517974835"/>
    <x v="0"/>
    <s v="Yes"/>
    <s v="Veg"/>
    <x v="0"/>
    <s v="None"/>
  </r>
  <r>
    <s v="Deepak Mondal"/>
    <x v="1"/>
    <x v="0"/>
    <n v="5"/>
    <n v="9247984940"/>
    <x v="1"/>
    <s v="No"/>
    <s v="Non-Veg"/>
    <x v="1"/>
    <s v="None"/>
  </r>
  <r>
    <s v="Rohit Saxena"/>
    <x v="1"/>
    <x v="1"/>
    <n v="5"/>
    <n v="7808483238"/>
    <x v="0"/>
    <s v="No"/>
    <s v="Non-Veg"/>
    <x v="3"/>
    <s v="None"/>
  </r>
  <r>
    <s v="Amar Reddy"/>
    <x v="1"/>
    <x v="4"/>
    <n v="5"/>
    <n v="9674474748"/>
    <x v="0"/>
    <s v="Yes"/>
    <s v="Non-Veg"/>
    <x v="0"/>
    <s v="None"/>
  </r>
  <r>
    <s v="Himanshu Kapoor"/>
    <x v="1"/>
    <x v="4"/>
    <n v="5"/>
    <n v="6760706177"/>
    <x v="1"/>
    <s v="Yes"/>
    <s v="Non-Veg"/>
    <x v="1"/>
    <s v="None"/>
  </r>
  <r>
    <s v="Varun Dubey"/>
    <x v="3"/>
    <x v="2"/>
    <n v="1"/>
    <n v="6016851584"/>
    <x v="1"/>
    <s v="No"/>
    <s v="Veg"/>
    <x v="0"/>
    <s v="None"/>
  </r>
  <r>
    <s v="Sakshi Patel"/>
    <x v="3"/>
    <x v="2"/>
    <n v="1"/>
    <n v="6710324869"/>
    <x v="0"/>
    <s v="Yes"/>
    <s v="Non-Veg"/>
    <x v="1"/>
    <s v="Singing"/>
  </r>
  <r>
    <s v="Akhil Khanna"/>
    <x v="2"/>
    <x v="2"/>
    <n v="7"/>
    <n v="9055636678"/>
    <x v="0"/>
    <s v="Yes"/>
    <s v="Non-Veg"/>
    <x v="0"/>
    <s v="None"/>
  </r>
  <r>
    <s v="Sandhya Bose"/>
    <x v="3"/>
    <x v="2"/>
    <n v="1"/>
    <n v="6744800165"/>
    <x v="1"/>
    <s v="Yes"/>
    <s v="Non-Veg"/>
    <x v="4"/>
    <s v="Singing"/>
  </r>
  <r>
    <s v="Ishita Kumar"/>
    <x v="0"/>
    <x v="0"/>
    <n v="3"/>
    <n v="8241218520"/>
    <x v="0"/>
    <s v="Yes"/>
    <s v="Veg"/>
    <x v="3"/>
    <s v="Dance"/>
  </r>
  <r>
    <s v="Akhil Verma"/>
    <x v="3"/>
    <x v="4"/>
    <n v="1"/>
    <n v="6561378375"/>
    <x v="1"/>
    <s v="No"/>
    <s v="Non-Veg"/>
    <x v="0"/>
    <s v="None"/>
  </r>
  <r>
    <s v="Sneha Bajaj"/>
    <x v="2"/>
    <x v="4"/>
    <n v="7"/>
    <n v="6539466165"/>
    <x v="1"/>
    <s v="No"/>
    <s v="Non-Veg"/>
    <x v="1"/>
    <s v="Dance"/>
  </r>
  <r>
    <s v="Rashmi Menon"/>
    <x v="1"/>
    <x v="1"/>
    <n v="5"/>
    <n v="7100920800"/>
    <x v="1"/>
    <s v="No"/>
    <s v="Veg"/>
    <x v="4"/>
    <s v="Dance"/>
  </r>
  <r>
    <s v="Vipasha Paul"/>
    <x v="1"/>
    <x v="1"/>
    <n v="5"/>
    <n v="7631837536"/>
    <x v="1"/>
    <s v="Yes"/>
    <s v="Veg"/>
    <x v="3"/>
    <s v="None"/>
  </r>
  <r>
    <s v="Nisha Mondal"/>
    <x v="1"/>
    <x v="4"/>
    <n v="5"/>
    <n v="7215178339"/>
    <x v="1"/>
    <s v="Yes"/>
    <s v="Veg"/>
    <x v="1"/>
    <s v="Dance"/>
  </r>
  <r>
    <s v="Jyoti Sharma"/>
    <x v="3"/>
    <x v="4"/>
    <n v="1"/>
    <n v="7449425536"/>
    <x v="1"/>
    <s v="Yes"/>
    <s v="Non-Veg"/>
    <x v="4"/>
    <s v="None"/>
  </r>
  <r>
    <s v="Shreya Chopra"/>
    <x v="2"/>
    <x v="3"/>
    <n v="7"/>
    <n v="7488243527"/>
    <x v="0"/>
    <s v="No"/>
    <s v="Non-Veg"/>
    <x v="5"/>
    <s v="Dance"/>
  </r>
  <r>
    <s v="Priya Naidu"/>
    <x v="0"/>
    <x v="1"/>
    <n v="3"/>
    <n v="6638446925"/>
    <x v="0"/>
    <s v="Yes"/>
    <s v="Veg"/>
    <x v="2"/>
    <s v="Dance"/>
  </r>
  <r>
    <s v="Aditya Verma"/>
    <x v="2"/>
    <x v="4"/>
    <n v="7"/>
    <n v="7241751573"/>
    <x v="0"/>
    <s v="No"/>
    <s v="Veg"/>
    <x v="1"/>
    <s v="Dance"/>
  </r>
  <r>
    <s v="Rahul Joshi"/>
    <x v="2"/>
    <x v="0"/>
    <n v="7"/>
    <n v="8982599699"/>
    <x v="1"/>
    <s v="No"/>
    <s v="Non-Veg"/>
    <x v="1"/>
    <s v="Singing"/>
  </r>
  <r>
    <s v="Farhan Das"/>
    <x v="3"/>
    <x v="4"/>
    <n v="1"/>
    <n v="9884395934"/>
    <x v="1"/>
    <s v="Yes"/>
    <s v="Veg"/>
    <x v="1"/>
    <s v="None"/>
  </r>
  <r>
    <s v="Neha Iyer"/>
    <x v="3"/>
    <x v="1"/>
    <n v="1"/>
    <n v="7023587431"/>
    <x v="1"/>
    <s v="Yes"/>
    <s v="Non-Veg"/>
    <x v="2"/>
    <s v="None"/>
  </r>
  <r>
    <s v="Simran Rajput"/>
    <x v="2"/>
    <x v="2"/>
    <n v="7"/>
    <n v="7442807338"/>
    <x v="0"/>
    <s v="Yes"/>
    <s v="Non-Veg"/>
    <x v="2"/>
    <s v="Dance"/>
  </r>
  <r>
    <s v="Rupali Bose"/>
    <x v="3"/>
    <x v="4"/>
    <n v="1"/>
    <n v="9423836399"/>
    <x v="1"/>
    <s v="Yes"/>
    <s v="Veg"/>
    <x v="1"/>
    <s v="Dance"/>
  </r>
  <r>
    <s v="Ritika Dubey"/>
    <x v="3"/>
    <x v="1"/>
    <n v="1"/>
    <n v="7422699392"/>
    <x v="1"/>
    <s v="Yes"/>
    <s v="Veg"/>
    <x v="2"/>
    <s v="Dance"/>
  </r>
  <r>
    <s v="Saloni Menon"/>
    <x v="0"/>
    <x v="1"/>
    <n v="3"/>
    <n v="9362476393"/>
    <x v="1"/>
    <s v="No"/>
    <s v="Veg"/>
    <x v="2"/>
    <s v="None"/>
  </r>
  <r>
    <s v="Ankita Choudhary"/>
    <x v="2"/>
    <x v="0"/>
    <n v="7"/>
    <n v="8663603389"/>
    <x v="1"/>
    <s v="No"/>
    <s v="Veg"/>
    <x v="2"/>
    <s v="Singing"/>
  </r>
  <r>
    <s v="Himanshu Chauhan"/>
    <x v="3"/>
    <x v="2"/>
    <n v="1"/>
    <n v="9031389119"/>
    <x v="1"/>
    <s v="No"/>
    <s v="Non-Veg"/>
    <x v="0"/>
    <s v="None"/>
  </r>
  <r>
    <s v="Rohan Mishra"/>
    <x v="3"/>
    <x v="4"/>
    <n v="1"/>
    <n v="6426975886"/>
    <x v="0"/>
    <s v="No"/>
    <s v="Veg"/>
    <x v="5"/>
    <s v="Singing"/>
  </r>
  <r>
    <s v="Alok Bose"/>
    <x v="1"/>
    <x v="1"/>
    <n v="5"/>
    <n v="8938331095"/>
    <x v="0"/>
    <s v="No"/>
    <s v="Non-Veg"/>
    <x v="5"/>
    <s v="Singing"/>
  </r>
  <r>
    <s v="Riya Chauhan"/>
    <x v="0"/>
    <x v="2"/>
    <n v="3"/>
    <n v="8065438945"/>
    <x v="1"/>
    <s v="Yes"/>
    <s v="Non-Veg"/>
    <x v="5"/>
    <s v="None"/>
  </r>
  <r>
    <s v="Simran Ghosh"/>
    <x v="2"/>
    <x v="1"/>
    <n v="7"/>
    <n v="8123120427"/>
    <x v="0"/>
    <s v="No"/>
    <s v="Veg"/>
    <x v="3"/>
    <s v="None"/>
  </r>
  <r>
    <s v="Pranav Mondal"/>
    <x v="0"/>
    <x v="1"/>
    <n v="3"/>
    <n v="7507233767"/>
    <x v="0"/>
    <s v="Yes"/>
    <s v="Veg"/>
    <x v="1"/>
    <s v="Singing"/>
  </r>
  <r>
    <s v="Neha Datta"/>
    <x v="1"/>
    <x v="3"/>
    <n v="5"/>
    <n v="8009312828"/>
    <x v="0"/>
    <s v="Yes"/>
    <s v="Non-Veg"/>
    <x v="5"/>
    <s v="Dance"/>
  </r>
  <r>
    <s v="Neha Singh"/>
    <x v="3"/>
    <x v="1"/>
    <n v="1"/>
    <n v="7381251355"/>
    <x v="1"/>
    <s v="No"/>
    <s v="Non-Veg"/>
    <x v="1"/>
    <s v="None"/>
  </r>
  <r>
    <s v="Tanya Mehta"/>
    <x v="3"/>
    <x v="0"/>
    <n v="1"/>
    <n v="8757874656"/>
    <x v="1"/>
    <s v="Yes"/>
    <s v="Veg"/>
    <x v="3"/>
    <s v="None"/>
  </r>
  <r>
    <s v="Ishita Sen"/>
    <x v="3"/>
    <x v="3"/>
    <n v="1"/>
    <n v="7244604939"/>
    <x v="0"/>
    <s v="No"/>
    <s v="Veg"/>
    <x v="0"/>
    <s v="Singing"/>
  </r>
  <r>
    <s v="Sonali Paul"/>
    <x v="3"/>
    <x v="2"/>
    <n v="1"/>
    <n v="8991465847"/>
    <x v="1"/>
    <s v="No"/>
    <s v="Non-Veg"/>
    <x v="5"/>
    <s v="Dance"/>
  </r>
  <r>
    <s v="Nandini Rajput"/>
    <x v="3"/>
    <x v="1"/>
    <n v="1"/>
    <n v="7712627893"/>
    <x v="1"/>
    <s v="Yes"/>
    <s v="Veg"/>
    <x v="4"/>
    <s v="Dance"/>
  </r>
  <r>
    <s v="Madhuri Dey"/>
    <x v="3"/>
    <x v="3"/>
    <n v="1"/>
    <n v="9134284930"/>
    <x v="1"/>
    <s v="Yes"/>
    <s v="Veg"/>
    <x v="4"/>
    <s v="Singing"/>
  </r>
  <r>
    <s v="Chirag Chauhan"/>
    <x v="2"/>
    <x v="4"/>
    <n v="7"/>
    <n v="8592739796"/>
    <x v="1"/>
    <s v="Yes"/>
    <s v="Veg"/>
    <x v="1"/>
    <s v="None"/>
  </r>
  <r>
    <s v="Monika Pillai"/>
    <x v="1"/>
    <x v="1"/>
    <n v="5"/>
    <n v="7263962071"/>
    <x v="0"/>
    <s v="Yes"/>
    <s v="Non-Veg"/>
    <x v="5"/>
    <s v="None"/>
  </r>
  <r>
    <s v="Deepika Roy"/>
    <x v="1"/>
    <x v="2"/>
    <n v="5"/>
    <n v="6802777637"/>
    <x v="1"/>
    <s v="Yes"/>
    <s v="Veg"/>
    <x v="1"/>
    <s v="Dance"/>
  </r>
  <r>
    <s v="Rishabh Sen"/>
    <x v="3"/>
    <x v="3"/>
    <n v="1"/>
    <n v="8380003977"/>
    <x v="0"/>
    <s v="Yes"/>
    <s v="Veg"/>
    <x v="1"/>
    <s v="None"/>
  </r>
  <r>
    <s v="Ayush Bhatia"/>
    <x v="2"/>
    <x v="1"/>
    <n v="7"/>
    <n v="7452989514"/>
    <x v="1"/>
    <s v="No"/>
    <s v="Non-Veg"/>
    <x v="1"/>
    <s v="None"/>
  </r>
  <r>
    <s v="Sachin Sethi"/>
    <x v="0"/>
    <x v="4"/>
    <n v="3"/>
    <n v="9958928140"/>
    <x v="0"/>
    <s v="No"/>
    <s v="Veg"/>
    <x v="5"/>
    <s v="Singing"/>
  </r>
  <r>
    <s v="Tarun Verma"/>
    <x v="1"/>
    <x v="3"/>
    <n v="5"/>
    <n v="9358394387"/>
    <x v="0"/>
    <s v="Yes"/>
    <s v="Non-Veg"/>
    <x v="1"/>
    <s v="Singing"/>
  </r>
  <r>
    <s v="Nitin Joshi"/>
    <x v="1"/>
    <x v="1"/>
    <n v="5"/>
    <n v="8050211683"/>
    <x v="1"/>
    <s v="No"/>
    <s v="Non-Veg"/>
    <x v="1"/>
    <s v="Singing"/>
  </r>
  <r>
    <s v="Akash Dey"/>
    <x v="2"/>
    <x v="1"/>
    <n v="7"/>
    <n v="8799177556"/>
    <x v="1"/>
    <s v="Yes"/>
    <s v="Non-Veg"/>
    <x v="5"/>
    <s v="Dance"/>
  </r>
  <r>
    <s v="Akanksha Bansal"/>
    <x v="3"/>
    <x v="4"/>
    <n v="1"/>
    <n v="8829335955"/>
    <x v="0"/>
    <s v="No"/>
    <s v="Non-Veg"/>
    <x v="1"/>
    <s v="Dance"/>
  </r>
  <r>
    <s v="Rohit Saxena"/>
    <x v="3"/>
    <x v="4"/>
    <n v="1"/>
    <n v="7106236932"/>
    <x v="0"/>
    <s v="No"/>
    <s v="Non-Veg"/>
    <x v="4"/>
    <s v="None"/>
  </r>
  <r>
    <s v="Aarti Malhotra"/>
    <x v="2"/>
    <x v="2"/>
    <n v="7"/>
    <n v="6778183212"/>
    <x v="1"/>
    <s v="Yes"/>
    <s v="Veg"/>
    <x v="4"/>
    <s v="None"/>
  </r>
  <r>
    <s v="Rupali Dubey"/>
    <x v="0"/>
    <x v="0"/>
    <n v="3"/>
    <n v="7305820563"/>
    <x v="0"/>
    <s v="No"/>
    <s v="Non-Veg"/>
    <x v="5"/>
    <s v="Singing"/>
  </r>
  <r>
    <s v="Neha Chopra"/>
    <x v="2"/>
    <x v="2"/>
    <n v="7"/>
    <n v="6085750383"/>
    <x v="1"/>
    <s v="No"/>
    <s v="Veg"/>
    <x v="1"/>
    <s v="Dance"/>
  </r>
  <r>
    <s v="Sourabh Choudhary"/>
    <x v="3"/>
    <x v="0"/>
    <n v="1"/>
    <n v="6937024662"/>
    <x v="1"/>
    <s v="No"/>
    <s v="Veg"/>
    <x v="3"/>
    <s v="None"/>
  </r>
  <r>
    <s v="Amrita Ahuja"/>
    <x v="3"/>
    <x v="0"/>
    <n v="1"/>
    <n v="9764627124"/>
    <x v="1"/>
    <s v="No"/>
    <s v="Non-Veg"/>
    <x v="1"/>
    <s v="Dance"/>
  </r>
  <r>
    <s v="Priya Khanna"/>
    <x v="2"/>
    <x v="1"/>
    <n v="7"/>
    <n v="6894705621"/>
    <x v="1"/>
    <s v="No"/>
    <s v="Non-Veg"/>
    <x v="2"/>
    <s v="None"/>
  </r>
  <r>
    <s v="Sumit Choudhary"/>
    <x v="3"/>
    <x v="4"/>
    <n v="1"/>
    <n v="7478040919"/>
    <x v="1"/>
    <s v="No"/>
    <s v="Veg"/>
    <x v="5"/>
    <s v="None"/>
  </r>
  <r>
    <s v="Saloni Rao"/>
    <x v="0"/>
    <x v="2"/>
    <n v="3"/>
    <n v="8413669015"/>
    <x v="0"/>
    <s v="No"/>
    <s v="Non-Veg"/>
    <x v="1"/>
    <s v="None"/>
  </r>
  <r>
    <s v="Megha Reddy"/>
    <x v="3"/>
    <x v="0"/>
    <n v="1"/>
    <n v="7509845517"/>
    <x v="0"/>
    <s v="Yes"/>
    <s v="Veg"/>
    <x v="2"/>
    <s v="None"/>
  </r>
  <r>
    <s v="Aishwarya Yadav"/>
    <x v="3"/>
    <x v="4"/>
    <n v="1"/>
    <n v="7320490624"/>
    <x v="0"/>
    <s v="No"/>
    <s v="Non-Veg"/>
    <x v="1"/>
    <s v="Dance"/>
  </r>
  <r>
    <s v="Sonam Agarwal"/>
    <x v="1"/>
    <x v="0"/>
    <n v="5"/>
    <n v="8670642324"/>
    <x v="1"/>
    <s v="No"/>
    <s v="Veg"/>
    <x v="0"/>
    <s v="Singing"/>
  </r>
  <r>
    <s v="Deepika Rao"/>
    <x v="3"/>
    <x v="1"/>
    <n v="1"/>
    <n v="8608868511"/>
    <x v="1"/>
    <s v="Yes"/>
    <s v="Veg"/>
    <x v="3"/>
    <s v="None"/>
  </r>
  <r>
    <s v="Megha Gupta"/>
    <x v="2"/>
    <x v="3"/>
    <n v="7"/>
    <n v="9398634264"/>
    <x v="0"/>
    <s v="Yes"/>
    <s v="Veg"/>
    <x v="1"/>
    <s v="Dance"/>
  </r>
  <r>
    <s v="Sachin Kapoor"/>
    <x v="2"/>
    <x v="1"/>
    <n v="7"/>
    <n v="6575664723"/>
    <x v="1"/>
    <s v="Yes"/>
    <s v="Non-Veg"/>
    <x v="1"/>
    <s v="Dance"/>
  </r>
  <r>
    <s v="Uday Bansal"/>
    <x v="0"/>
    <x v="1"/>
    <n v="3"/>
    <n v="9708243859"/>
    <x v="1"/>
    <s v="Yes"/>
    <s v="Non-Veg"/>
    <x v="1"/>
    <s v="Dance"/>
  </r>
  <r>
    <s v="Kajal Yadav"/>
    <x v="1"/>
    <x v="2"/>
    <n v="5"/>
    <n v="6501963377"/>
    <x v="1"/>
    <s v="No"/>
    <s v="Veg"/>
    <x v="1"/>
    <s v="Singing"/>
  </r>
  <r>
    <s v="Bhavesh Bhatia"/>
    <x v="0"/>
    <x v="1"/>
    <n v="3"/>
    <n v="8679500866"/>
    <x v="1"/>
    <s v="No"/>
    <s v="Veg"/>
    <x v="1"/>
    <s v="None"/>
  </r>
  <r>
    <s v="Akanksha Nair"/>
    <x v="0"/>
    <x v="2"/>
    <n v="3"/>
    <n v="7304676721"/>
    <x v="1"/>
    <s v="No"/>
    <s v="Non-Veg"/>
    <x v="0"/>
    <s v="None"/>
  </r>
  <r>
    <s v="Ishan Dubey"/>
    <x v="1"/>
    <x v="1"/>
    <n v="5"/>
    <n v="8566880913"/>
    <x v="0"/>
    <s v="Yes"/>
    <s v="Non-Veg"/>
    <x v="2"/>
    <s v="Singing"/>
  </r>
  <r>
    <s v="Chirag Tiwari"/>
    <x v="0"/>
    <x v="3"/>
    <n v="3"/>
    <n v="6241830847"/>
    <x v="1"/>
    <s v="No"/>
    <s v="Non-Veg"/>
    <x v="4"/>
    <s v="None"/>
  </r>
  <r>
    <s v="Archana Sen"/>
    <x v="0"/>
    <x v="2"/>
    <n v="3"/>
    <n v="6868890909"/>
    <x v="0"/>
    <s v="Yes"/>
    <s v="Veg"/>
    <x v="1"/>
    <s v="Dance"/>
  </r>
  <r>
    <s v="Arnav Mehta"/>
    <x v="2"/>
    <x v="2"/>
    <n v="7"/>
    <n v="9254975927"/>
    <x v="1"/>
    <s v="Yes"/>
    <s v="Non-Veg"/>
    <x v="1"/>
    <s v="None"/>
  </r>
  <r>
    <s v="Varsha Mishra"/>
    <x v="1"/>
    <x v="3"/>
    <n v="5"/>
    <n v="8219286416"/>
    <x v="1"/>
    <s v="Yes"/>
    <s v="Veg"/>
    <x v="2"/>
    <s v="Singing"/>
  </r>
  <r>
    <s v="Prachi Gupta"/>
    <x v="0"/>
    <x v="1"/>
    <n v="3"/>
    <n v="7366898250"/>
    <x v="1"/>
    <s v="Yes"/>
    <s v="Veg"/>
    <x v="1"/>
    <s v="Dance"/>
  </r>
  <r>
    <s v="Arjun Ghosh"/>
    <x v="2"/>
    <x v="1"/>
    <n v="7"/>
    <n v="6021890263"/>
    <x v="1"/>
    <s v="No"/>
    <s v="Veg"/>
    <x v="1"/>
    <s v="None"/>
  </r>
  <r>
    <s v="Nikita Kumar"/>
    <x v="2"/>
    <x v="1"/>
    <n v="7"/>
    <n v="7918713135"/>
    <x v="1"/>
    <s v="Yes"/>
    <s v="Veg"/>
    <x v="3"/>
    <s v="None"/>
  </r>
  <r>
    <s v="Rajat Bajaj"/>
    <x v="0"/>
    <x v="4"/>
    <n v="3"/>
    <n v="9178261686"/>
    <x v="1"/>
    <s v="Yes"/>
    <s v="Non-Veg"/>
    <x v="4"/>
    <s v="Dance"/>
  </r>
  <r>
    <s v="Pragya Menon"/>
    <x v="0"/>
    <x v="0"/>
    <n v="3"/>
    <n v="9633833628"/>
    <x v="0"/>
    <s v="Yes"/>
    <s v="Non-Veg"/>
    <x v="1"/>
    <s v="Singing"/>
  </r>
  <r>
    <s v="Abhinav Verma"/>
    <x v="0"/>
    <x v="1"/>
    <n v="3"/>
    <n v="9570615344"/>
    <x v="0"/>
    <s v="No"/>
    <s v="Veg"/>
    <x v="4"/>
    <s v="None"/>
  </r>
  <r>
    <s v="Rajat Dubey"/>
    <x v="2"/>
    <x v="4"/>
    <n v="7"/>
    <n v="6193139365"/>
    <x v="0"/>
    <s v="No"/>
    <s v="Veg"/>
    <x v="1"/>
    <s v="Singing"/>
  </r>
  <r>
    <s v="Ananya Iyer"/>
    <x v="1"/>
    <x v="1"/>
    <n v="5"/>
    <n v="8328043599"/>
    <x v="0"/>
    <s v="Yes"/>
    <s v="Veg"/>
    <x v="3"/>
    <s v="Dance"/>
  </r>
  <r>
    <s v="Sneha Pillai"/>
    <x v="1"/>
    <x v="1"/>
    <n v="5"/>
    <n v="6785071094"/>
    <x v="1"/>
    <s v="No"/>
    <s v="Veg"/>
    <x v="5"/>
    <s v="Dance"/>
  </r>
  <r>
    <s v="Sakshi Ghosh"/>
    <x v="3"/>
    <x v="0"/>
    <n v="1"/>
    <n v="8231655871"/>
    <x v="1"/>
    <s v="No"/>
    <s v="Non-Veg"/>
    <x v="0"/>
    <s v="Singing"/>
  </r>
  <r>
    <s v="Vipasha Shah"/>
    <x v="0"/>
    <x v="3"/>
    <n v="3"/>
    <n v="9835142753"/>
    <x v="0"/>
    <s v="No"/>
    <s v="Veg"/>
    <x v="5"/>
    <s v="Singing"/>
  </r>
  <r>
    <s v="Jay Mishra"/>
    <x v="0"/>
    <x v="3"/>
    <n v="3"/>
    <n v="6655421202"/>
    <x v="1"/>
    <s v="Yes"/>
    <s v="Veg"/>
    <x v="1"/>
    <s v="None"/>
  </r>
  <r>
    <s v="Rupali Dey"/>
    <x v="2"/>
    <x v="4"/>
    <n v="7"/>
    <n v="6195026846"/>
    <x v="1"/>
    <s v="No"/>
    <s v="Veg"/>
    <x v="0"/>
    <s v="Dance"/>
  </r>
  <r>
    <s v="Rajat Patel"/>
    <x v="0"/>
    <x v="3"/>
    <n v="3"/>
    <n v="9805179615"/>
    <x v="0"/>
    <s v="Yes"/>
    <s v="Veg"/>
    <x v="5"/>
    <s v="None"/>
  </r>
  <r>
    <s v="Aaditya Bansal"/>
    <x v="3"/>
    <x v="3"/>
    <n v="1"/>
    <n v="6509196471"/>
    <x v="1"/>
    <s v="No"/>
    <s v="Veg"/>
    <x v="5"/>
    <s v="None"/>
  </r>
  <r>
    <s v="Pragya Choudhary"/>
    <x v="0"/>
    <x v="4"/>
    <n v="3"/>
    <n v="7857047171"/>
    <x v="0"/>
    <s v="Yes"/>
    <s v="Non-Veg"/>
    <x v="2"/>
    <s v="None"/>
  </r>
  <r>
    <s v="Megha Pandey"/>
    <x v="3"/>
    <x v="3"/>
    <n v="1"/>
    <n v="9308105932"/>
    <x v="1"/>
    <s v="Yes"/>
    <s v="Veg"/>
    <x v="5"/>
    <s v="Dance"/>
  </r>
  <r>
    <s v="Vidya Saxena"/>
    <x v="2"/>
    <x v="0"/>
    <n v="7"/>
    <n v="8085452036"/>
    <x v="0"/>
    <s v="No"/>
    <s v="Non-Veg"/>
    <x v="1"/>
    <s v="None"/>
  </r>
  <r>
    <s v="Karan Roy"/>
    <x v="3"/>
    <x v="0"/>
    <n v="1"/>
    <n v="8758498860"/>
    <x v="1"/>
    <s v="No"/>
    <s v="Non-Veg"/>
    <x v="1"/>
    <s v="Singing"/>
  </r>
  <r>
    <s v="Shikha Patel"/>
    <x v="3"/>
    <x v="1"/>
    <n v="1"/>
    <n v="9398881248"/>
    <x v="1"/>
    <s v="Yes"/>
    <s v="Veg"/>
    <x v="2"/>
    <s v="None"/>
  </r>
  <r>
    <s v="Tushar Pandey"/>
    <x v="3"/>
    <x v="1"/>
    <n v="1"/>
    <n v="8615835306"/>
    <x v="1"/>
    <s v="Yes"/>
    <s v="Non-Veg"/>
    <x v="5"/>
    <s v="None"/>
  </r>
  <r>
    <s v="Shikha Sen"/>
    <x v="1"/>
    <x v="2"/>
    <n v="5"/>
    <n v="9425841780"/>
    <x v="0"/>
    <s v="No"/>
    <s v="Veg"/>
    <x v="4"/>
    <s v="Dance"/>
  </r>
  <r>
    <s v="Archana Das"/>
    <x v="0"/>
    <x v="4"/>
    <n v="3"/>
    <n v="8943284099"/>
    <x v="0"/>
    <s v="Yes"/>
    <s v="Veg"/>
    <x v="1"/>
    <s v="None"/>
  </r>
  <r>
    <s v="Rakesh Choudhary"/>
    <x v="0"/>
    <x v="2"/>
    <n v="3"/>
    <n v="6650420596"/>
    <x v="1"/>
    <s v="Yes"/>
    <s v="Veg"/>
    <x v="3"/>
    <s v="None"/>
  </r>
  <r>
    <s v="Nandini Roy"/>
    <x v="3"/>
    <x v="0"/>
    <n v="1"/>
    <n v="7242389060"/>
    <x v="0"/>
    <s v="Yes"/>
    <s v="Veg"/>
    <x v="1"/>
    <s v="None"/>
  </r>
  <r>
    <s v="Lokesh Chatterjee"/>
    <x v="0"/>
    <x v="1"/>
    <n v="3"/>
    <n v="7691732993"/>
    <x v="0"/>
    <s v="Yes"/>
    <s v="Non-Veg"/>
    <x v="0"/>
    <s v="Dance"/>
  </r>
  <r>
    <s v="Sonali Sen"/>
    <x v="1"/>
    <x v="2"/>
    <n v="5"/>
    <n v="8293622460"/>
    <x v="0"/>
    <s v="Yes"/>
    <s v="Veg"/>
    <x v="4"/>
    <s v="Singing"/>
  </r>
  <r>
    <s v="Yamini Gupta"/>
    <x v="0"/>
    <x v="3"/>
    <n v="3"/>
    <n v="6413890731"/>
    <x v="0"/>
    <s v="No"/>
    <s v="Non-Veg"/>
    <x v="0"/>
    <s v="None"/>
  </r>
  <r>
    <s v="Jyoti Mehta"/>
    <x v="3"/>
    <x v="0"/>
    <n v="1"/>
    <n v="6482716114"/>
    <x v="1"/>
    <s v="Yes"/>
    <s v="Veg"/>
    <x v="1"/>
    <s v="None"/>
  </r>
  <r>
    <s v="Pallavi Agarwal"/>
    <x v="3"/>
    <x v="1"/>
    <n v="1"/>
    <n v="7820565827"/>
    <x v="0"/>
    <s v="Yes"/>
    <s v="Non-Veg"/>
    <x v="1"/>
    <s v="Dance"/>
  </r>
  <r>
    <s v="Arnav Mukherjee"/>
    <x v="3"/>
    <x v="0"/>
    <n v="1"/>
    <n v="8901463651"/>
    <x v="0"/>
    <s v="Yes"/>
    <s v="Non-Veg"/>
    <x v="1"/>
    <s v="Dance"/>
  </r>
  <r>
    <s v="Ankita Shah"/>
    <x v="3"/>
    <x v="3"/>
    <n v="1"/>
    <n v="9800791989"/>
    <x v="0"/>
    <s v="No"/>
    <s v="Non-Veg"/>
    <x v="4"/>
    <s v="None"/>
  </r>
  <r>
    <s v="Anushka Patel"/>
    <x v="2"/>
    <x v="2"/>
    <n v="7"/>
    <n v="9400327196"/>
    <x v="1"/>
    <s v="No"/>
    <s v="Veg"/>
    <x v="3"/>
    <s v="Singing"/>
  </r>
  <r>
    <s v="Manish Yadav"/>
    <x v="3"/>
    <x v="3"/>
    <n v="1"/>
    <n v="6391016261"/>
    <x v="0"/>
    <s v="Yes"/>
    <s v="Veg"/>
    <x v="4"/>
    <s v="Dance"/>
  </r>
  <r>
    <s v="Kajal Kumar"/>
    <x v="3"/>
    <x v="3"/>
    <n v="1"/>
    <n v="7335568316"/>
    <x v="1"/>
    <s v="No"/>
    <s v="Non-Veg"/>
    <x v="4"/>
    <s v="None"/>
  </r>
  <r>
    <s v="Jay Sharma"/>
    <x v="1"/>
    <x v="0"/>
    <n v="5"/>
    <n v="9537103484"/>
    <x v="0"/>
    <s v="No"/>
    <s v="Non-Veg"/>
    <x v="1"/>
    <s v="None"/>
  </r>
  <r>
    <s v="Aditi Sharma"/>
    <x v="2"/>
    <x v="2"/>
    <n v="7"/>
    <n v="7557752541"/>
    <x v="0"/>
    <s v="Yes"/>
    <s v="Non-Veg"/>
    <x v="3"/>
    <s v="None"/>
  </r>
  <r>
    <s v="Pragya Jain"/>
    <x v="2"/>
    <x v="1"/>
    <n v="7"/>
    <n v="7263338417"/>
    <x v="0"/>
    <s v="Yes"/>
    <s v="Veg"/>
    <x v="0"/>
    <s v="None"/>
  </r>
  <r>
    <s v="Sumit Singh"/>
    <x v="2"/>
    <x v="2"/>
    <n v="7"/>
    <n v="8898878405"/>
    <x v="1"/>
    <s v="No"/>
    <s v="Veg"/>
    <x v="3"/>
    <s v="None"/>
  </r>
  <r>
    <s v="Siddharth Bose"/>
    <x v="1"/>
    <x v="0"/>
    <n v="5"/>
    <n v="6370750663"/>
    <x v="0"/>
    <s v="Yes"/>
    <s v="Veg"/>
    <x v="1"/>
    <s v="None"/>
  </r>
  <r>
    <s v="Komal Chatterjee"/>
    <x v="0"/>
    <x v="1"/>
    <n v="3"/>
    <n v="9470306834"/>
    <x v="0"/>
    <s v="No"/>
    <s v="Non-Veg"/>
    <x v="1"/>
    <s v="Dance"/>
  </r>
  <r>
    <s v="Alok Verma"/>
    <x v="2"/>
    <x v="4"/>
    <n v="7"/>
    <n v="7140407908"/>
    <x v="1"/>
    <s v="No"/>
    <s v="Non-Veg"/>
    <x v="4"/>
    <s v="None"/>
  </r>
  <r>
    <s v="Dhruv Joshi"/>
    <x v="2"/>
    <x v="0"/>
    <n v="7"/>
    <n v="7219227246"/>
    <x v="1"/>
    <s v="No"/>
    <s v="Non-Veg"/>
    <x v="0"/>
    <s v="Singing"/>
  </r>
  <r>
    <s v="Vikas Rao"/>
    <x v="1"/>
    <x v="2"/>
    <n v="5"/>
    <n v="6924752263"/>
    <x v="1"/>
    <s v="Yes"/>
    <s v="Non-Veg"/>
    <x v="5"/>
    <s v="Singing"/>
  </r>
  <r>
    <s v="Kriti Gupta"/>
    <x v="1"/>
    <x v="1"/>
    <n v="5"/>
    <n v="8571037427"/>
    <x v="0"/>
    <s v="No"/>
    <s v="Non-Veg"/>
    <x v="1"/>
    <s v="Singing"/>
  </r>
  <r>
    <s v="Ritika Ghosh"/>
    <x v="0"/>
    <x v="0"/>
    <n v="3"/>
    <n v="8906470231"/>
    <x v="0"/>
    <s v="Yes"/>
    <s v="Veg"/>
    <x v="0"/>
    <s v="None"/>
  </r>
  <r>
    <s v="Arnav Khanna"/>
    <x v="1"/>
    <x v="0"/>
    <n v="5"/>
    <n v="6855104557"/>
    <x v="1"/>
    <s v="No"/>
    <s v="Non-Veg"/>
    <x v="5"/>
    <s v="Singing"/>
  </r>
  <r>
    <s v="Nandini Reddy"/>
    <x v="2"/>
    <x v="4"/>
    <n v="7"/>
    <n v="8510184689"/>
    <x v="0"/>
    <s v="No"/>
    <s v="Veg"/>
    <x v="2"/>
    <s v="None"/>
  </r>
  <r>
    <s v="Jyoti Verma"/>
    <x v="2"/>
    <x v="4"/>
    <n v="7"/>
    <n v="7941047717"/>
    <x v="0"/>
    <s v="No"/>
    <s v="Non-Veg"/>
    <x v="5"/>
    <s v="None"/>
  </r>
  <r>
    <s v="Chirag Mehta"/>
    <x v="2"/>
    <x v="3"/>
    <n v="7"/>
    <n v="8133614467"/>
    <x v="1"/>
    <s v="Yes"/>
    <s v="Veg"/>
    <x v="5"/>
    <s v="Singing"/>
  </r>
  <r>
    <s v="Farhan Ghosh"/>
    <x v="0"/>
    <x v="3"/>
    <n v="3"/>
    <n v="6891077641"/>
    <x v="0"/>
    <s v="No"/>
    <s v="Veg"/>
    <x v="1"/>
    <s v="None"/>
  </r>
  <r>
    <s v="Divya Sethi"/>
    <x v="1"/>
    <x v="1"/>
    <n v="5"/>
    <n v="7076837972"/>
    <x v="1"/>
    <s v="Yes"/>
    <s v="Veg"/>
    <x v="0"/>
    <s v="Singing"/>
  </r>
  <r>
    <s v="Sakshi Tiwari"/>
    <x v="1"/>
    <x v="3"/>
    <n v="5"/>
    <n v="6659008742"/>
    <x v="1"/>
    <s v="No"/>
    <s v="Non-Veg"/>
    <x v="2"/>
    <s v="None"/>
  </r>
  <r>
    <s v="Ankit Sharma"/>
    <x v="3"/>
    <x v="0"/>
    <n v="1"/>
    <n v="6581669564"/>
    <x v="1"/>
    <s v="Yes"/>
    <s v="Veg"/>
    <x v="1"/>
    <s v="Dance"/>
  </r>
  <r>
    <s v="Sumit Chopra"/>
    <x v="0"/>
    <x v="2"/>
    <n v="3"/>
    <n v="7576405064"/>
    <x v="1"/>
    <s v="No"/>
    <s v="Veg"/>
    <x v="1"/>
    <s v="Singing"/>
  </r>
  <r>
    <s v="Muskan Choudhary"/>
    <x v="3"/>
    <x v="1"/>
    <n v="1"/>
    <n v="8640490987"/>
    <x v="1"/>
    <s v="No"/>
    <s v="Non-Veg"/>
    <x v="1"/>
    <s v="None"/>
  </r>
  <r>
    <s v="Nikhil Biswas"/>
    <x v="1"/>
    <x v="3"/>
    <n v="5"/>
    <n v="7857290666"/>
    <x v="1"/>
    <s v="No"/>
    <s v="Non-Veg"/>
    <x v="3"/>
    <s v="Dance"/>
  </r>
  <r>
    <s v="Nikita Reddy"/>
    <x v="0"/>
    <x v="3"/>
    <n v="3"/>
    <n v="9677037792"/>
    <x v="1"/>
    <s v="Yes"/>
    <s v="Non-Veg"/>
    <x v="1"/>
    <s v="None"/>
  </r>
  <r>
    <s v="Kavya Chatterjee"/>
    <x v="1"/>
    <x v="1"/>
    <n v="5"/>
    <n v="8033326799"/>
    <x v="0"/>
    <s v="Yes"/>
    <s v="Non-Veg"/>
    <x v="1"/>
    <s v="Singing"/>
  </r>
  <r>
    <s v="Aaditya Biswas"/>
    <x v="2"/>
    <x v="3"/>
    <n v="7"/>
    <n v="8758669981"/>
    <x v="0"/>
    <s v="No"/>
    <s v="Veg"/>
    <x v="4"/>
    <s v="None"/>
  </r>
  <r>
    <s v="Arnav Bansal"/>
    <x v="1"/>
    <x v="0"/>
    <n v="5"/>
    <n v="9121064857"/>
    <x v="0"/>
    <s v="No"/>
    <s v="Veg"/>
    <x v="5"/>
    <s v="Dance"/>
  </r>
  <r>
    <s v="Swati Arora"/>
    <x v="2"/>
    <x v="4"/>
    <n v="7"/>
    <n v="7774928235"/>
    <x v="0"/>
    <s v="No"/>
    <s v="Non-Veg"/>
    <x v="1"/>
    <s v="Dance"/>
  </r>
  <r>
    <s v="Nikita Rajput"/>
    <x v="2"/>
    <x v="1"/>
    <n v="7"/>
    <n v="6318602399"/>
    <x v="0"/>
    <s v="No"/>
    <s v="Non-Veg"/>
    <x v="3"/>
    <s v="Singing"/>
  </r>
  <r>
    <s v="Ajay Chauhan"/>
    <x v="2"/>
    <x v="1"/>
    <n v="7"/>
    <n v="9474566659"/>
    <x v="1"/>
    <s v="No"/>
    <s v="Veg"/>
    <x v="3"/>
    <s v="Dance"/>
  </r>
  <r>
    <s v="Varsha Sen"/>
    <x v="3"/>
    <x v="1"/>
    <n v="1"/>
    <n v="7530342597"/>
    <x v="1"/>
    <s v="Yes"/>
    <s v="Veg"/>
    <x v="3"/>
    <s v="Singing"/>
  </r>
  <r>
    <s v="Sumit Das"/>
    <x v="0"/>
    <x v="1"/>
    <n v="3"/>
    <n v="7507724242"/>
    <x v="1"/>
    <s v="No"/>
    <s v="Veg"/>
    <x v="4"/>
    <s v="Singing"/>
  </r>
  <r>
    <s v="Aarav Iyer"/>
    <x v="3"/>
    <x v="3"/>
    <n v="1"/>
    <n v="9415389868"/>
    <x v="0"/>
    <s v="No"/>
    <s v="Veg"/>
    <x v="1"/>
    <s v="None"/>
  </r>
  <r>
    <s v="Alok Kumar"/>
    <x v="1"/>
    <x v="2"/>
    <n v="5"/>
    <n v="8472602880"/>
    <x v="1"/>
    <s v="No"/>
    <s v="Non-Veg"/>
    <x v="0"/>
    <s v="None"/>
  </r>
  <r>
    <s v="Abhinav Joshi"/>
    <x v="1"/>
    <x v="0"/>
    <n v="5"/>
    <n v="6362530497"/>
    <x v="0"/>
    <s v="No"/>
    <s v="Veg"/>
    <x v="3"/>
    <s v="None"/>
  </r>
  <r>
    <s v="Amit Bose"/>
    <x v="2"/>
    <x v="4"/>
    <n v="7"/>
    <n v="8222411847"/>
    <x v="1"/>
    <s v="Yes"/>
    <s v="Veg"/>
    <x v="3"/>
    <s v="Singing"/>
  </r>
  <r>
    <s v="Dhruv Agarwal"/>
    <x v="1"/>
    <x v="3"/>
    <n v="5"/>
    <n v="6121596566"/>
    <x v="1"/>
    <s v="No"/>
    <s v="Non-Veg"/>
    <x v="2"/>
    <s v="None"/>
  </r>
  <r>
    <s v="Aparna Chauhan"/>
    <x v="1"/>
    <x v="2"/>
    <n v="5"/>
    <n v="8856174190"/>
    <x v="0"/>
    <s v="Yes"/>
    <s v="Veg"/>
    <x v="1"/>
    <s v="None"/>
  </r>
  <r>
    <s v="Ananya Sethi"/>
    <x v="3"/>
    <x v="3"/>
    <n v="1"/>
    <n v="7814362402"/>
    <x v="1"/>
    <s v="No"/>
    <s v="Veg"/>
    <x v="4"/>
    <s v="Singing"/>
  </r>
  <r>
    <s v="Jyoti Mishra"/>
    <x v="0"/>
    <x v="3"/>
    <n v="3"/>
    <n v="8508206749"/>
    <x v="0"/>
    <s v="No"/>
    <s v="Veg"/>
    <x v="2"/>
    <s v="None"/>
  </r>
  <r>
    <s v="Sejal Agarwal"/>
    <x v="0"/>
    <x v="1"/>
    <n v="3"/>
    <n v="9184741974"/>
    <x v="0"/>
    <s v="Yes"/>
    <s v="Non-Veg"/>
    <x v="0"/>
    <s v="Singing"/>
  </r>
  <r>
    <s v="Gaurav Sen"/>
    <x v="2"/>
    <x v="2"/>
    <n v="7"/>
    <n v="8306373241"/>
    <x v="0"/>
    <s v="Yes"/>
    <s v="Non-Veg"/>
    <x v="2"/>
    <s v="Dance"/>
  </r>
  <r>
    <s v="Nisha Sethi"/>
    <x v="2"/>
    <x v="2"/>
    <n v="7"/>
    <n v="6583374756"/>
    <x v="1"/>
    <s v="Yes"/>
    <s v="Veg"/>
    <x v="1"/>
    <s v="Singing"/>
  </r>
  <r>
    <s v="Kriti Sen"/>
    <x v="0"/>
    <x v="3"/>
    <n v="3"/>
    <n v="6326243264"/>
    <x v="0"/>
    <s v="No"/>
    <s v="Veg"/>
    <x v="0"/>
    <s v="Singing"/>
  </r>
  <r>
    <s v="Shikha Mishra"/>
    <x v="3"/>
    <x v="4"/>
    <n v="1"/>
    <n v="6858107343"/>
    <x v="0"/>
    <s v="Yes"/>
    <s v="Non-Veg"/>
    <x v="5"/>
    <s v="None"/>
  </r>
  <r>
    <s v="Ajay Sethi"/>
    <x v="0"/>
    <x v="2"/>
    <n v="3"/>
    <n v="6711963659"/>
    <x v="1"/>
    <s v="Yes"/>
    <s v="Veg"/>
    <x v="4"/>
    <s v="Singing"/>
  </r>
  <r>
    <s v="Swati Shah"/>
    <x v="1"/>
    <x v="3"/>
    <n v="5"/>
    <n v="6259634603"/>
    <x v="0"/>
    <s v="No"/>
    <s v="Veg"/>
    <x v="1"/>
    <s v="None"/>
  </r>
  <r>
    <s v="Yamini Das"/>
    <x v="1"/>
    <x v="3"/>
    <n v="5"/>
    <n v="8400810214"/>
    <x v="1"/>
    <s v="No"/>
    <s v="Veg"/>
    <x v="1"/>
    <s v="None"/>
  </r>
  <r>
    <s v="Aniket Datta"/>
    <x v="1"/>
    <x v="2"/>
    <n v="5"/>
    <n v="8782214667"/>
    <x v="0"/>
    <s v="Yes"/>
    <s v="Non-Veg"/>
    <x v="0"/>
    <s v="Sing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CCFE9-E26C-4A13-B3C1-AC107578F17D}"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L23:N60" firstHeaderRow="2" firstDataRow="2" firstDataCol="2"/>
  <pivotFields count="9">
    <pivotField compact="0" outline="0" showAll="0" includeNewItemsInFilter="1"/>
    <pivotField axis="axisRow" compact="0" outline="0" showAll="0" includeNewItemsInFilter="1">
      <items count="6">
        <item x="1"/>
        <item x="3"/>
        <item x="2"/>
        <item x="4"/>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dataField="1" compact="0" outline="0" showAll="0" includeNewItemsInFilter="1">
      <items count="7">
        <item x="0"/>
        <item x="5"/>
        <item x="3"/>
        <item x="1"/>
        <item x="4"/>
        <item x="2"/>
        <item t="default"/>
      </items>
    </pivotField>
    <pivotField compact="0" outline="0" showAll="0" includeNewItemsInFilter="1"/>
  </pivotFields>
  <rowFields count="2">
    <field x="1"/>
    <field x="7"/>
  </rowFields>
  <rowItems count="36">
    <i>
      <x/>
      <x/>
    </i>
    <i r="1">
      <x v="1"/>
    </i>
    <i r="1">
      <x v="2"/>
    </i>
    <i r="1">
      <x v="3"/>
    </i>
    <i r="1">
      <x v="4"/>
    </i>
    <i r="1">
      <x v="5"/>
    </i>
    <i t="default">
      <x/>
    </i>
    <i>
      <x v="1"/>
      <x/>
    </i>
    <i r="1">
      <x v="1"/>
    </i>
    <i r="1">
      <x v="2"/>
    </i>
    <i r="1">
      <x v="3"/>
    </i>
    <i r="1">
      <x v="4"/>
    </i>
    <i r="1">
      <x v="5"/>
    </i>
    <i t="default">
      <x v="1"/>
    </i>
    <i>
      <x v="2"/>
      <x/>
    </i>
    <i r="1">
      <x v="1"/>
    </i>
    <i r="1">
      <x v="2"/>
    </i>
    <i r="1">
      <x v="3"/>
    </i>
    <i r="1">
      <x v="4"/>
    </i>
    <i r="1">
      <x v="5"/>
    </i>
    <i t="default">
      <x v="2"/>
    </i>
    <i>
      <x v="3"/>
      <x/>
    </i>
    <i r="1">
      <x v="1"/>
    </i>
    <i r="1">
      <x v="2"/>
    </i>
    <i r="1">
      <x v="3"/>
    </i>
    <i r="1">
      <x v="4"/>
    </i>
    <i r="1">
      <x v="5"/>
    </i>
    <i t="default">
      <x v="3"/>
    </i>
    <i>
      <x v="4"/>
      <x/>
    </i>
    <i r="1">
      <x v="1"/>
    </i>
    <i r="1">
      <x v="2"/>
    </i>
    <i r="1">
      <x v="3"/>
    </i>
    <i r="1">
      <x v="4"/>
    </i>
    <i r="1">
      <x v="5"/>
    </i>
    <i t="default">
      <x v="4"/>
    </i>
    <i t="grand">
      <x/>
    </i>
  </rowItems>
  <colItems count="1">
    <i/>
  </colItems>
  <dataFields count="1">
    <dataField name="Count of Tech Fest Participation" fld="7"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249B7F-853E-4D33-8C87-EA1B26739EE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9:B34" firstHeaderRow="1" firstDataRow="1" firstDataCol="1" rowPageCount="1" colPageCount="1"/>
  <pivotFields count="10">
    <pivotField showAll="0"/>
    <pivotField axis="axisRow" showAll="0">
      <items count="5">
        <item x="3"/>
        <item h="1" x="0"/>
        <item h="1" x="1"/>
        <item h="1" x="2"/>
        <item t="default"/>
      </items>
    </pivotField>
    <pivotField axis="axisPage" showAll="0">
      <items count="6">
        <item x="1"/>
        <item x="3"/>
        <item x="2"/>
        <item x="4"/>
        <item x="0"/>
        <item t="default"/>
      </items>
    </pivotField>
    <pivotField showAll="0"/>
    <pivotField showAll="0"/>
    <pivotField axis="axisRow" dataField="1" showAll="0">
      <items count="3">
        <item x="0"/>
        <item x="1"/>
        <item t="default"/>
      </items>
    </pivotField>
    <pivotField showAll="0"/>
    <pivotField showAll="0"/>
    <pivotField showAll="0"/>
    <pivotField showAll="0"/>
  </pivotFields>
  <rowFields count="2">
    <field x="5"/>
    <field x="1"/>
  </rowFields>
  <rowItems count="5">
    <i>
      <x/>
    </i>
    <i r="1">
      <x/>
    </i>
    <i>
      <x v="1"/>
    </i>
    <i r="1">
      <x/>
    </i>
    <i t="grand">
      <x/>
    </i>
  </rowItems>
  <colItems count="1">
    <i/>
  </colItems>
  <pageFields count="1">
    <pageField fld="2" item="0" hier="-1"/>
  </pageFields>
  <dataFields count="1">
    <dataField name="Count of Fest Amount Status" fld="5" subtotal="count" baseField="5" baseItem="0"/>
  </dataFields>
  <formats count="9">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5" type="button" dataOnly="0" labelOnly="1" outline="0" axis="axisRow" fieldPosition="0"/>
    </format>
    <format dxfId="58">
      <pivotArea dataOnly="0" labelOnly="1" fieldPosition="0">
        <references count="1">
          <reference field="5" count="0"/>
        </references>
      </pivotArea>
    </format>
    <format dxfId="57">
      <pivotArea dataOnly="0" labelOnly="1" grandRow="1" outline="0" fieldPosition="0"/>
    </format>
    <format dxfId="56">
      <pivotArea dataOnly="0" labelOnly="1" fieldPosition="0">
        <references count="2">
          <reference field="1" count="0"/>
          <reference field="5" count="1" selected="0">
            <x v="0"/>
          </reference>
        </references>
      </pivotArea>
    </format>
    <format dxfId="55">
      <pivotArea dataOnly="0" labelOnly="1" fieldPosition="0">
        <references count="2">
          <reference field="1" count="0"/>
          <reference field="5" count="1" selected="0">
            <x v="1"/>
          </reference>
        </references>
      </pivotArea>
    </format>
    <format dxfId="54">
      <pivotArea dataOnly="0" labelOnly="1" outline="0" axis="axisValues" fieldPosition="0"/>
    </format>
  </formats>
  <chartFormats count="5">
    <chartFormat chart="1" format="6" series="1">
      <pivotArea type="data" outline="0" fieldPosition="0">
        <references count="1">
          <reference field="4294967294" count="1" selected="0">
            <x v="0"/>
          </reference>
        </references>
      </pivotArea>
    </chartFormat>
    <chartFormat chart="1" format="7">
      <pivotArea type="data" outline="0" fieldPosition="0">
        <references count="3">
          <reference field="4294967294" count="1" selected="0">
            <x v="0"/>
          </reference>
          <reference field="1" count="1" selected="0">
            <x v="2"/>
          </reference>
          <reference field="5" count="1" selected="0">
            <x v="0"/>
          </reference>
        </references>
      </pivotArea>
    </chartFormat>
    <chartFormat chart="1" format="8">
      <pivotArea type="data" outline="0" fieldPosition="0">
        <references count="3">
          <reference field="4294967294" count="1" selected="0">
            <x v="0"/>
          </reference>
          <reference field="1" count="1" selected="0">
            <x v="2"/>
          </reference>
          <reference field="5" count="1" selected="0">
            <x v="1"/>
          </reference>
        </references>
      </pivotArea>
    </chartFormat>
    <chartFormat chart="1" format="9">
      <pivotArea type="data" outline="0" fieldPosition="0">
        <references count="3">
          <reference field="4294967294" count="1" selected="0">
            <x v="0"/>
          </reference>
          <reference field="1" count="1" selected="0">
            <x v="1"/>
          </reference>
          <reference field="5" count="1" selected="0">
            <x v="0"/>
          </reference>
        </references>
      </pivotArea>
    </chartFormat>
    <chartFormat chart="1" format="10">
      <pivotArea type="data" outline="0" fieldPosition="0">
        <references count="3">
          <reference field="4294967294" count="1" selected="0">
            <x v="0"/>
          </reference>
          <reference field="1"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89507B-C469-4D7C-BBDB-545C24E1B08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1" firstHeaderRow="1" firstDataRow="1" firstDataCol="1"/>
  <pivotFields count="10">
    <pivotField showAll="0"/>
    <pivotField showAll="0">
      <items count="5">
        <item x="3"/>
        <item h="1" x="0"/>
        <item h="1" x="1"/>
        <item h="1" x="2"/>
        <item t="default"/>
      </items>
    </pivotField>
    <pivotField showAll="0">
      <items count="6">
        <item x="1"/>
        <item h="1" x="3"/>
        <item h="1" x="2"/>
        <item h="1" x="4"/>
        <item h="1" x="0"/>
        <item t="default"/>
      </items>
    </pivotField>
    <pivotField showAll="0"/>
    <pivotField showAll="0"/>
    <pivotField showAll="0"/>
    <pivotField showAll="0"/>
    <pivotField showAll="0"/>
    <pivotField axis="axisRow" dataField="1" showAll="0">
      <items count="7">
        <item x="0"/>
        <item x="5"/>
        <item x="3"/>
        <item x="1"/>
        <item x="4"/>
        <item x="2"/>
        <item t="default"/>
      </items>
    </pivotField>
    <pivotField showAll="0"/>
  </pivotFields>
  <rowFields count="1">
    <field x="8"/>
  </rowFields>
  <rowItems count="7">
    <i>
      <x/>
    </i>
    <i>
      <x v="1"/>
    </i>
    <i>
      <x v="2"/>
    </i>
    <i>
      <x v="3"/>
    </i>
    <i>
      <x v="4"/>
    </i>
    <i>
      <x v="5"/>
    </i>
    <i t="grand">
      <x/>
    </i>
  </rowItems>
  <colItems count="1">
    <i/>
  </colItems>
  <dataFields count="1">
    <dataField name="Count of Tech Fest Participation" fld="8" subtotal="count" baseField="8"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4BE78D-244E-4985-9EEB-CDBA46D5DC5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6" firstHeaderRow="1" firstDataRow="1" firstDataCol="1"/>
  <pivotFields count="10">
    <pivotField showAll="0"/>
    <pivotField axis="axisRow" showAll="0">
      <items count="5">
        <item x="3"/>
        <item h="1" x="0"/>
        <item h="1" x="1"/>
        <item h="1" x="2"/>
        <item t="default"/>
      </items>
    </pivotField>
    <pivotField axis="axisRow" showAll="0">
      <items count="6">
        <item x="1"/>
        <item h="1" x="3"/>
        <item h="1" x="2"/>
        <item h="1" x="4"/>
        <item h="1" x="0"/>
        <item t="default"/>
      </items>
    </pivotField>
    <pivotField showAll="0"/>
    <pivotField showAll="0"/>
    <pivotField showAll="0"/>
    <pivotField showAll="0"/>
    <pivotField showAll="0"/>
    <pivotField showAll="0"/>
    <pivotField showAll="0"/>
  </pivotFields>
  <rowFields count="2">
    <field x="1"/>
    <field x="2"/>
  </rowFields>
  <rowItems count="3">
    <i>
      <x/>
    </i>
    <i r="1">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FF43FF7-629D-40F6-95E1-306BD6904AF2}" sourceName="Year">
  <pivotTables>
    <pivotTable tabId="12" name="PivotTable6"/>
    <pivotTable tabId="12" name="PivotTable2"/>
    <pivotTable tabId="12" name="PivotTable7"/>
  </pivotTables>
  <data>
    <tabular pivotCacheId="122904377">
      <items count="4">
        <i x="3" s="1"/>
        <i x="0"/>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436FD8D-27CC-404A-90A8-E1EB8870AB80}" sourceName="Department">
  <pivotTables>
    <pivotTable tabId="12" name="PivotTable6"/>
    <pivotTable tabId="12" name="PivotTable2"/>
    <pivotTable tabId="12" name="PivotTable7"/>
  </pivotTables>
  <data>
    <tabular pivotCacheId="122904377">
      <items count="5">
        <i x="1" s="1"/>
        <i x="3"/>
        <i x="2"/>
        <i x="4"/>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C025488-2621-4C23-A2C7-DD9CA260E74A}" cache="Slicer_Year" caption="Year" rowHeight="234950"/>
  <slicer name="Department" xr10:uid="{6D3437BB-E91B-46DC-9420-82C1F2AE6FF0}"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1A9527-E0DA-4A1A-B9B6-88A359252CEB}" name="Table1" displayName="Table1" ref="L15:N26" totalsRowShown="0">
  <autoFilter ref="L15:N26" xr:uid="{701A9527-E0DA-4A1A-B9B6-88A359252CEB}"/>
  <tableColumns count="3">
    <tableColumn id="1" xr3:uid="{CF0867C7-33F9-4CAA-8750-206D1231B887}" name="Column1"/>
    <tableColumn id="2" xr3:uid="{0A1E77C4-AB4D-46FB-BEEC-7CB6A03F6293}" name="Column2"/>
    <tableColumn id="3" xr3:uid="{881C8489-0AF0-4A0C-AB1B-320DA8886B18}" name="Column3" dataDxfId="53"/>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439B42-6741-4DDB-8521-7579E424D2F9}" name="Table4" displayName="Table4" ref="A1:J601" totalsRowShown="0" headerRowDxfId="52" dataDxfId="50" headerRowBorderDxfId="51" tableBorderDxfId="49" totalsRowBorderDxfId="48">
  <autoFilter ref="A1:J601" xr:uid="{3B439B42-6741-4DDB-8521-7579E424D2F9}"/>
  <tableColumns count="10">
    <tableColumn id="1" xr3:uid="{BE8FC543-BED9-463A-BFFE-B6BC53202F2C}" name="Name" dataDxfId="47"/>
    <tableColumn id="2" xr3:uid="{65620391-A328-4FD3-8530-2476EEB15635}" name="Year" dataDxfId="46"/>
    <tableColumn id="3" xr3:uid="{E9E68585-72E9-497F-8DC1-3A8E1E060CFC}" name="Department" dataDxfId="45"/>
    <tableColumn id="4" xr3:uid="{D8DF5B1F-F9FC-418D-AD13-E54228C026DC}" name="Semester" dataDxfId="44"/>
    <tableColumn id="5" xr3:uid="{4DA2DF6F-DB7B-4FF4-832A-6A5D2D4ABEC9}" name="Phone Number" dataDxfId="43"/>
    <tableColumn id="6" xr3:uid="{6905C411-37EA-4329-B934-5F51C9020E74}" name="Fest Amount Status" dataDxfId="42"/>
    <tableColumn id="7" xr3:uid="{1E71FE83-3E9D-4EBF-A7E4-11BF2A9051AC}" name="Coupon Collected" dataDxfId="41"/>
    <tableColumn id="8" xr3:uid="{53D40D1D-188B-4154-A678-C2600BFCB21A}" name="Food Preference" dataDxfId="40"/>
    <tableColumn id="9" xr3:uid="{4E16DA83-EFEF-4114-84BA-D801BE4BC4BB}" name="Tech Fest Participation" dataDxfId="39"/>
    <tableColumn id="10" xr3:uid="{228230D7-00A8-468A-8714-2CD31F604C5A}" name="Cultural Fest Participation" dataDxf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77B9-7AEC-4BCD-B401-75D4B273EED7}">
  <dimension ref="A1:J601"/>
  <sheetViews>
    <sheetView workbookViewId="0">
      <selection sqref="A1:J601"/>
    </sheetView>
  </sheetViews>
  <sheetFormatPr defaultRowHeight="14.4" x14ac:dyDescent="0.3"/>
  <cols>
    <col min="1" max="1" width="17.6640625" bestFit="1" customWidth="1"/>
    <col min="2" max="2" width="4.6640625" bestFit="1" customWidth="1"/>
    <col min="3" max="3" width="10.6640625" bestFit="1" customWidth="1"/>
    <col min="4" max="4" width="8.5546875" bestFit="1" customWidth="1"/>
    <col min="5" max="5" width="13.33203125" bestFit="1" customWidth="1"/>
    <col min="6" max="6" width="16.6640625" bestFit="1" customWidth="1"/>
    <col min="7" max="7" width="15.5546875" bestFit="1" customWidth="1"/>
    <col min="8" max="8" width="14.5546875" bestFit="1" customWidth="1"/>
    <col min="9" max="9" width="19.6640625" bestFit="1" customWidth="1"/>
    <col min="10" max="10" width="22.33203125" bestFit="1" customWidth="1"/>
  </cols>
  <sheetData>
    <row r="1" spans="1:10" x14ac:dyDescent="0.3">
      <c r="A1" s="3" t="s">
        <v>0</v>
      </c>
      <c r="B1" s="3" t="s">
        <v>1</v>
      </c>
      <c r="C1" s="3" t="s">
        <v>2</v>
      </c>
      <c r="D1" s="3" t="s">
        <v>3</v>
      </c>
      <c r="E1" s="3" t="s">
        <v>4</v>
      </c>
      <c r="F1" s="3" t="s">
        <v>5</v>
      </c>
      <c r="G1" s="3" t="s">
        <v>6</v>
      </c>
      <c r="H1" s="3" t="s">
        <v>7</v>
      </c>
      <c r="I1" s="3" t="s">
        <v>8</v>
      </c>
      <c r="J1" s="3" t="s">
        <v>9</v>
      </c>
    </row>
    <row r="2" spans="1:10" x14ac:dyDescent="0.3">
      <c r="A2" s="2" t="s">
        <v>10</v>
      </c>
      <c r="B2" s="2" t="s">
        <v>11</v>
      </c>
      <c r="C2" s="2" t="s">
        <v>12</v>
      </c>
      <c r="D2" s="2">
        <v>3</v>
      </c>
      <c r="E2" s="2">
        <v>9706233821</v>
      </c>
      <c r="F2" s="2" t="s">
        <v>13</v>
      </c>
      <c r="G2" s="2" t="s">
        <v>14</v>
      </c>
      <c r="H2" s="2" t="s">
        <v>15</v>
      </c>
      <c r="I2" s="2" t="s">
        <v>16</v>
      </c>
      <c r="J2" s="2" t="s">
        <v>17</v>
      </c>
    </row>
    <row r="3" spans="1:10" x14ac:dyDescent="0.3">
      <c r="A3" s="2" t="s">
        <v>18</v>
      </c>
      <c r="B3" s="2" t="s">
        <v>11</v>
      </c>
      <c r="C3" s="2" t="s">
        <v>12</v>
      </c>
      <c r="D3" s="2">
        <v>3</v>
      </c>
      <c r="E3" s="2">
        <v>6669525518</v>
      </c>
      <c r="F3" s="2" t="s">
        <v>19</v>
      </c>
      <c r="G3" s="2" t="s">
        <v>20</v>
      </c>
      <c r="H3" s="2" t="s">
        <v>21</v>
      </c>
      <c r="I3" s="2" t="s">
        <v>22</v>
      </c>
      <c r="J3" s="2" t="s">
        <v>23</v>
      </c>
    </row>
    <row r="4" spans="1:10" x14ac:dyDescent="0.3">
      <c r="A4" s="2" t="s">
        <v>24</v>
      </c>
      <c r="B4" s="2" t="s">
        <v>25</v>
      </c>
      <c r="C4" s="2" t="s">
        <v>26</v>
      </c>
      <c r="D4" s="2">
        <v>5</v>
      </c>
      <c r="E4" s="2">
        <v>6105851450</v>
      </c>
      <c r="F4" s="2" t="s">
        <v>13</v>
      </c>
      <c r="G4" s="2" t="s">
        <v>14</v>
      </c>
      <c r="H4" s="2" t="s">
        <v>15</v>
      </c>
      <c r="I4" s="2" t="s">
        <v>27</v>
      </c>
      <c r="J4" s="2" t="s">
        <v>22</v>
      </c>
    </row>
    <row r="5" spans="1:10" x14ac:dyDescent="0.3">
      <c r="A5" s="2" t="s">
        <v>28</v>
      </c>
      <c r="B5" s="2" t="s">
        <v>11</v>
      </c>
      <c r="C5" s="2" t="s">
        <v>26</v>
      </c>
      <c r="D5" s="2">
        <v>3</v>
      </c>
      <c r="E5" s="2">
        <v>6421418421</v>
      </c>
      <c r="F5" s="2" t="s">
        <v>19</v>
      </c>
      <c r="G5" s="2" t="s">
        <v>20</v>
      </c>
      <c r="H5" s="2" t="s">
        <v>21</v>
      </c>
      <c r="I5" s="2" t="s">
        <v>29</v>
      </c>
      <c r="J5" s="2" t="s">
        <v>17</v>
      </c>
    </row>
    <row r="6" spans="1:10" x14ac:dyDescent="0.3">
      <c r="A6" s="2" t="s">
        <v>30</v>
      </c>
      <c r="B6" s="2" t="s">
        <v>25</v>
      </c>
      <c r="C6" s="2" t="s">
        <v>12</v>
      </c>
      <c r="D6" s="2">
        <v>5</v>
      </c>
      <c r="E6" s="2">
        <v>6345416297</v>
      </c>
      <c r="F6" s="2" t="s">
        <v>19</v>
      </c>
      <c r="G6" s="2" t="s">
        <v>14</v>
      </c>
      <c r="H6" s="2" t="s">
        <v>21</v>
      </c>
      <c r="I6" s="2" t="s">
        <v>22</v>
      </c>
      <c r="J6" s="2" t="s">
        <v>22</v>
      </c>
    </row>
    <row r="7" spans="1:10" x14ac:dyDescent="0.3">
      <c r="A7" s="2" t="s">
        <v>31</v>
      </c>
      <c r="B7" s="2" t="s">
        <v>32</v>
      </c>
      <c r="C7" s="2" t="s">
        <v>33</v>
      </c>
      <c r="D7" s="2">
        <v>7</v>
      </c>
      <c r="E7" s="2">
        <v>9825291736</v>
      </c>
      <c r="F7" s="2" t="s">
        <v>19</v>
      </c>
      <c r="G7" s="2" t="s">
        <v>20</v>
      </c>
      <c r="H7" s="2" t="s">
        <v>15</v>
      </c>
      <c r="I7" s="2" t="s">
        <v>22</v>
      </c>
      <c r="J7" s="2" t="s">
        <v>23</v>
      </c>
    </row>
    <row r="8" spans="1:10" x14ac:dyDescent="0.3">
      <c r="A8" s="2" t="s">
        <v>34</v>
      </c>
      <c r="B8" s="2" t="s">
        <v>35</v>
      </c>
      <c r="C8" s="2" t="s">
        <v>36</v>
      </c>
      <c r="D8" s="2">
        <v>1</v>
      </c>
      <c r="E8" s="2">
        <v>6196589644</v>
      </c>
      <c r="F8" s="2" t="s">
        <v>19</v>
      </c>
      <c r="G8" s="2" t="s">
        <v>14</v>
      </c>
      <c r="H8" s="2" t="s">
        <v>21</v>
      </c>
      <c r="I8" s="2" t="s">
        <v>37</v>
      </c>
      <c r="J8" s="2" t="s">
        <v>23</v>
      </c>
    </row>
    <row r="9" spans="1:10" x14ac:dyDescent="0.3">
      <c r="A9" s="2" t="s">
        <v>38</v>
      </c>
      <c r="B9" s="2" t="s">
        <v>35</v>
      </c>
      <c r="C9" s="2" t="s">
        <v>12</v>
      </c>
      <c r="D9" s="2">
        <v>1</v>
      </c>
      <c r="E9" s="2">
        <v>8951489573</v>
      </c>
      <c r="F9" s="2" t="s">
        <v>13</v>
      </c>
      <c r="G9" s="2" t="s">
        <v>14</v>
      </c>
      <c r="H9" s="2" t="s">
        <v>15</v>
      </c>
      <c r="I9" s="2" t="s">
        <v>29</v>
      </c>
      <c r="J9" s="2" t="s">
        <v>17</v>
      </c>
    </row>
    <row r="10" spans="1:10" x14ac:dyDescent="0.3">
      <c r="A10" s="2" t="s">
        <v>39</v>
      </c>
      <c r="B10" s="2" t="s">
        <v>35</v>
      </c>
      <c r="C10" s="2" t="s">
        <v>36</v>
      </c>
      <c r="D10" s="2">
        <v>1</v>
      </c>
      <c r="E10" s="2">
        <v>6429670666</v>
      </c>
      <c r="F10" s="2" t="s">
        <v>13</v>
      </c>
      <c r="G10" s="2" t="s">
        <v>20</v>
      </c>
      <c r="H10" s="2" t="s">
        <v>15</v>
      </c>
      <c r="I10" s="2" t="s">
        <v>27</v>
      </c>
      <c r="J10" s="2" t="s">
        <v>17</v>
      </c>
    </row>
    <row r="11" spans="1:10" x14ac:dyDescent="0.3">
      <c r="A11" s="2" t="s">
        <v>40</v>
      </c>
      <c r="B11" s="2" t="s">
        <v>11</v>
      </c>
      <c r="C11" s="2" t="s">
        <v>33</v>
      </c>
      <c r="D11" s="2">
        <v>3</v>
      </c>
      <c r="E11" s="2">
        <v>8887349101</v>
      </c>
      <c r="F11" s="2" t="s">
        <v>19</v>
      </c>
      <c r="G11" s="2" t="s">
        <v>14</v>
      </c>
      <c r="H11" s="2" t="s">
        <v>15</v>
      </c>
      <c r="I11" s="2" t="s">
        <v>41</v>
      </c>
      <c r="J11" s="2" t="s">
        <v>22</v>
      </c>
    </row>
    <row r="12" spans="1:10" x14ac:dyDescent="0.3">
      <c r="A12" s="2" t="s">
        <v>42</v>
      </c>
      <c r="B12" s="2" t="s">
        <v>32</v>
      </c>
      <c r="C12" s="2" t="s">
        <v>43</v>
      </c>
      <c r="D12" s="2">
        <v>7</v>
      </c>
      <c r="E12" s="2">
        <v>6298823994</v>
      </c>
      <c r="F12" s="2" t="s">
        <v>19</v>
      </c>
      <c r="G12" s="2" t="s">
        <v>20</v>
      </c>
      <c r="H12" s="2" t="s">
        <v>15</v>
      </c>
      <c r="I12" s="2" t="s">
        <v>37</v>
      </c>
      <c r="J12" s="2" t="s">
        <v>22</v>
      </c>
    </row>
    <row r="13" spans="1:10" x14ac:dyDescent="0.3">
      <c r="A13" s="2" t="s">
        <v>44</v>
      </c>
      <c r="B13" s="2" t="s">
        <v>25</v>
      </c>
      <c r="C13" s="2" t="s">
        <v>43</v>
      </c>
      <c r="D13" s="2">
        <v>5</v>
      </c>
      <c r="E13" s="2">
        <v>8691092011</v>
      </c>
      <c r="F13" s="2" t="s">
        <v>19</v>
      </c>
      <c r="G13" s="2" t="s">
        <v>14</v>
      </c>
      <c r="H13" s="2" t="s">
        <v>21</v>
      </c>
      <c r="I13" s="2" t="s">
        <v>16</v>
      </c>
      <c r="J13" s="2" t="s">
        <v>17</v>
      </c>
    </row>
    <row r="14" spans="1:10" x14ac:dyDescent="0.3">
      <c r="A14" s="2" t="s">
        <v>45</v>
      </c>
      <c r="B14" s="2" t="s">
        <v>32</v>
      </c>
      <c r="C14" s="2" t="s">
        <v>12</v>
      </c>
      <c r="D14" s="2">
        <v>7</v>
      </c>
      <c r="E14" s="2">
        <v>9663364571</v>
      </c>
      <c r="F14" s="2" t="s">
        <v>13</v>
      </c>
      <c r="G14" s="2" t="s">
        <v>14</v>
      </c>
      <c r="H14" s="2" t="s">
        <v>21</v>
      </c>
      <c r="I14" s="2" t="s">
        <v>27</v>
      </c>
      <c r="J14" s="2" t="s">
        <v>22</v>
      </c>
    </row>
    <row r="15" spans="1:10" x14ac:dyDescent="0.3">
      <c r="A15" s="2" t="s">
        <v>46</v>
      </c>
      <c r="B15" s="2" t="s">
        <v>11</v>
      </c>
      <c r="C15" s="2" t="s">
        <v>36</v>
      </c>
      <c r="D15" s="2">
        <v>3</v>
      </c>
      <c r="E15" s="2">
        <v>9798746487</v>
      </c>
      <c r="F15" s="2" t="s">
        <v>19</v>
      </c>
      <c r="G15" s="2" t="s">
        <v>20</v>
      </c>
      <c r="H15" s="2" t="s">
        <v>21</v>
      </c>
      <c r="I15" s="2" t="s">
        <v>37</v>
      </c>
      <c r="J15" s="2" t="s">
        <v>22</v>
      </c>
    </row>
    <row r="16" spans="1:10" x14ac:dyDescent="0.3">
      <c r="A16" s="2" t="s">
        <v>47</v>
      </c>
      <c r="B16" s="2" t="s">
        <v>32</v>
      </c>
      <c r="C16" s="2" t="s">
        <v>36</v>
      </c>
      <c r="D16" s="2">
        <v>7</v>
      </c>
      <c r="E16" s="2">
        <v>6799619179</v>
      </c>
      <c r="F16" s="2" t="s">
        <v>13</v>
      </c>
      <c r="G16" s="2" t="s">
        <v>14</v>
      </c>
      <c r="H16" s="2" t="s">
        <v>21</v>
      </c>
      <c r="I16" s="2" t="s">
        <v>16</v>
      </c>
      <c r="J16" s="2" t="s">
        <v>23</v>
      </c>
    </row>
    <row r="17" spans="1:10" x14ac:dyDescent="0.3">
      <c r="A17" s="2" t="s">
        <v>48</v>
      </c>
      <c r="B17" s="2" t="s">
        <v>35</v>
      </c>
      <c r="C17" s="2" t="s">
        <v>12</v>
      </c>
      <c r="D17" s="2">
        <v>1</v>
      </c>
      <c r="E17" s="2">
        <v>7611578541</v>
      </c>
      <c r="F17" s="2" t="s">
        <v>19</v>
      </c>
      <c r="G17" s="2" t="s">
        <v>14</v>
      </c>
      <c r="H17" s="2" t="s">
        <v>15</v>
      </c>
      <c r="I17" s="2" t="s">
        <v>41</v>
      </c>
      <c r="J17" s="2" t="s">
        <v>22</v>
      </c>
    </row>
    <row r="18" spans="1:10" x14ac:dyDescent="0.3">
      <c r="A18" s="2" t="s">
        <v>49</v>
      </c>
      <c r="B18" s="2" t="s">
        <v>32</v>
      </c>
      <c r="C18" s="2" t="s">
        <v>43</v>
      </c>
      <c r="D18" s="2">
        <v>7</v>
      </c>
      <c r="E18" s="2">
        <v>9406157743</v>
      </c>
      <c r="F18" s="2" t="s">
        <v>13</v>
      </c>
      <c r="G18" s="2" t="s">
        <v>14</v>
      </c>
      <c r="H18" s="2" t="s">
        <v>15</v>
      </c>
      <c r="I18" s="2" t="s">
        <v>22</v>
      </c>
      <c r="J18" s="2" t="s">
        <v>22</v>
      </c>
    </row>
    <row r="19" spans="1:10" x14ac:dyDescent="0.3">
      <c r="A19" s="2" t="s">
        <v>50</v>
      </c>
      <c r="B19" s="2" t="s">
        <v>32</v>
      </c>
      <c r="C19" s="2" t="s">
        <v>12</v>
      </c>
      <c r="D19" s="2">
        <v>7</v>
      </c>
      <c r="E19" s="2">
        <v>8427455838</v>
      </c>
      <c r="F19" s="2" t="s">
        <v>19</v>
      </c>
      <c r="G19" s="2" t="s">
        <v>20</v>
      </c>
      <c r="H19" s="2" t="s">
        <v>15</v>
      </c>
      <c r="I19" s="2" t="s">
        <v>41</v>
      </c>
      <c r="J19" s="2" t="s">
        <v>22</v>
      </c>
    </row>
    <row r="20" spans="1:10" x14ac:dyDescent="0.3">
      <c r="A20" s="2" t="s">
        <v>51</v>
      </c>
      <c r="B20" s="2" t="s">
        <v>11</v>
      </c>
      <c r="C20" s="2" t="s">
        <v>36</v>
      </c>
      <c r="D20" s="2">
        <v>3</v>
      </c>
      <c r="E20" s="2">
        <v>7545515893</v>
      </c>
      <c r="F20" s="2" t="s">
        <v>19</v>
      </c>
      <c r="G20" s="2" t="s">
        <v>20</v>
      </c>
      <c r="H20" s="2" t="s">
        <v>21</v>
      </c>
      <c r="I20" s="2" t="s">
        <v>22</v>
      </c>
      <c r="J20" s="2" t="s">
        <v>23</v>
      </c>
    </row>
    <row r="21" spans="1:10" x14ac:dyDescent="0.3">
      <c r="A21" s="2" t="s">
        <v>52</v>
      </c>
      <c r="B21" s="2" t="s">
        <v>35</v>
      </c>
      <c r="C21" s="2" t="s">
        <v>43</v>
      </c>
      <c r="D21" s="2">
        <v>1</v>
      </c>
      <c r="E21" s="2">
        <v>8168011907</v>
      </c>
      <c r="F21" s="2" t="s">
        <v>13</v>
      </c>
      <c r="G21" s="2" t="s">
        <v>14</v>
      </c>
      <c r="H21" s="2" t="s">
        <v>21</v>
      </c>
      <c r="I21" s="2" t="s">
        <v>29</v>
      </c>
      <c r="J21" s="2" t="s">
        <v>17</v>
      </c>
    </row>
    <row r="22" spans="1:10" x14ac:dyDescent="0.3">
      <c r="A22" s="2" t="s">
        <v>53</v>
      </c>
      <c r="B22" s="2" t="s">
        <v>11</v>
      </c>
      <c r="C22" s="2" t="s">
        <v>12</v>
      </c>
      <c r="D22" s="2">
        <v>3</v>
      </c>
      <c r="E22" s="2">
        <v>7831255140</v>
      </c>
      <c r="F22" s="2" t="s">
        <v>19</v>
      </c>
      <c r="G22" s="2" t="s">
        <v>14</v>
      </c>
      <c r="H22" s="2" t="s">
        <v>15</v>
      </c>
      <c r="I22" s="2" t="s">
        <v>22</v>
      </c>
      <c r="J22" s="2" t="s">
        <v>22</v>
      </c>
    </row>
    <row r="23" spans="1:10" x14ac:dyDescent="0.3">
      <c r="A23" s="2" t="s">
        <v>54</v>
      </c>
      <c r="B23" s="2" t="s">
        <v>32</v>
      </c>
      <c r="C23" s="2" t="s">
        <v>36</v>
      </c>
      <c r="D23" s="2">
        <v>7</v>
      </c>
      <c r="E23" s="2">
        <v>8613857136</v>
      </c>
      <c r="F23" s="2" t="s">
        <v>13</v>
      </c>
      <c r="G23" s="2" t="s">
        <v>20</v>
      </c>
      <c r="H23" s="2" t="s">
        <v>15</v>
      </c>
      <c r="I23" s="2" t="s">
        <v>22</v>
      </c>
      <c r="J23" s="2" t="s">
        <v>23</v>
      </c>
    </row>
    <row r="24" spans="1:10" x14ac:dyDescent="0.3">
      <c r="A24" s="2" t="s">
        <v>55</v>
      </c>
      <c r="B24" s="2" t="s">
        <v>35</v>
      </c>
      <c r="C24" s="2" t="s">
        <v>12</v>
      </c>
      <c r="D24" s="2">
        <v>1</v>
      </c>
      <c r="E24" s="2">
        <v>6412964213</v>
      </c>
      <c r="F24" s="2" t="s">
        <v>13</v>
      </c>
      <c r="G24" s="2" t="s">
        <v>20</v>
      </c>
      <c r="H24" s="2" t="s">
        <v>15</v>
      </c>
      <c r="I24" s="2" t="s">
        <v>41</v>
      </c>
      <c r="J24" s="2" t="s">
        <v>22</v>
      </c>
    </row>
    <row r="25" spans="1:10" x14ac:dyDescent="0.3">
      <c r="A25" s="2" t="s">
        <v>56</v>
      </c>
      <c r="B25" s="2" t="s">
        <v>32</v>
      </c>
      <c r="C25" s="2" t="s">
        <v>33</v>
      </c>
      <c r="D25" s="2">
        <v>7</v>
      </c>
      <c r="E25" s="2">
        <v>8066276413</v>
      </c>
      <c r="F25" s="2" t="s">
        <v>13</v>
      </c>
      <c r="G25" s="2" t="s">
        <v>20</v>
      </c>
      <c r="H25" s="2" t="s">
        <v>15</v>
      </c>
      <c r="I25" s="2" t="s">
        <v>37</v>
      </c>
      <c r="J25" s="2" t="s">
        <v>17</v>
      </c>
    </row>
    <row r="26" spans="1:10" x14ac:dyDescent="0.3">
      <c r="A26" s="2" t="s">
        <v>57</v>
      </c>
      <c r="B26" s="2" t="s">
        <v>32</v>
      </c>
      <c r="C26" s="2" t="s">
        <v>33</v>
      </c>
      <c r="D26" s="2">
        <v>7</v>
      </c>
      <c r="E26" s="2">
        <v>6921494613</v>
      </c>
      <c r="F26" s="2" t="s">
        <v>13</v>
      </c>
      <c r="G26" s="2" t="s">
        <v>14</v>
      </c>
      <c r="H26" s="2" t="s">
        <v>15</v>
      </c>
      <c r="I26" s="2" t="s">
        <v>41</v>
      </c>
      <c r="J26" s="2" t="s">
        <v>23</v>
      </c>
    </row>
    <row r="27" spans="1:10" x14ac:dyDescent="0.3">
      <c r="A27" s="2" t="s">
        <v>58</v>
      </c>
      <c r="B27" s="2" t="s">
        <v>25</v>
      </c>
      <c r="C27" s="2" t="s">
        <v>33</v>
      </c>
      <c r="D27" s="2">
        <v>5</v>
      </c>
      <c r="E27" s="2">
        <v>9046695504</v>
      </c>
      <c r="F27" s="2" t="s">
        <v>13</v>
      </c>
      <c r="G27" s="2" t="s">
        <v>20</v>
      </c>
      <c r="H27" s="2" t="s">
        <v>15</v>
      </c>
      <c r="I27" s="2" t="s">
        <v>22</v>
      </c>
      <c r="J27" s="2" t="s">
        <v>17</v>
      </c>
    </row>
    <row r="28" spans="1:10" x14ac:dyDescent="0.3">
      <c r="A28" s="2" t="s">
        <v>59</v>
      </c>
      <c r="B28" s="2" t="s">
        <v>25</v>
      </c>
      <c r="C28" s="2" t="s">
        <v>12</v>
      </c>
      <c r="D28" s="2">
        <v>5</v>
      </c>
      <c r="E28" s="2">
        <v>7695328163</v>
      </c>
      <c r="F28" s="2" t="s">
        <v>19</v>
      </c>
      <c r="G28" s="2" t="s">
        <v>20</v>
      </c>
      <c r="H28" s="2" t="s">
        <v>15</v>
      </c>
      <c r="I28" s="2" t="s">
        <v>37</v>
      </c>
      <c r="J28" s="2" t="s">
        <v>17</v>
      </c>
    </row>
    <row r="29" spans="1:10" x14ac:dyDescent="0.3">
      <c r="A29" s="2" t="s">
        <v>60</v>
      </c>
      <c r="B29" s="2" t="s">
        <v>32</v>
      </c>
      <c r="C29" s="2" t="s">
        <v>33</v>
      </c>
      <c r="D29" s="2">
        <v>7</v>
      </c>
      <c r="E29" s="2">
        <v>7895155500</v>
      </c>
      <c r="F29" s="2" t="s">
        <v>19</v>
      </c>
      <c r="G29" s="2" t="s">
        <v>14</v>
      </c>
      <c r="H29" s="2" t="s">
        <v>15</v>
      </c>
      <c r="I29" s="2" t="s">
        <v>29</v>
      </c>
      <c r="J29" s="2" t="s">
        <v>23</v>
      </c>
    </row>
    <row r="30" spans="1:10" x14ac:dyDescent="0.3">
      <c r="A30" s="2" t="s">
        <v>61</v>
      </c>
      <c r="B30" s="2" t="s">
        <v>35</v>
      </c>
      <c r="C30" s="2" t="s">
        <v>26</v>
      </c>
      <c r="D30" s="2">
        <v>1</v>
      </c>
      <c r="E30" s="2">
        <v>7271880462</v>
      </c>
      <c r="F30" s="2" t="s">
        <v>13</v>
      </c>
      <c r="G30" s="2" t="s">
        <v>14</v>
      </c>
      <c r="H30" s="2" t="s">
        <v>21</v>
      </c>
      <c r="I30" s="2" t="s">
        <v>16</v>
      </c>
      <c r="J30" s="2" t="s">
        <v>23</v>
      </c>
    </row>
    <row r="31" spans="1:10" x14ac:dyDescent="0.3">
      <c r="A31" s="2" t="s">
        <v>62</v>
      </c>
      <c r="B31" s="2" t="s">
        <v>32</v>
      </c>
      <c r="C31" s="2" t="s">
        <v>36</v>
      </c>
      <c r="D31" s="2">
        <v>7</v>
      </c>
      <c r="E31" s="2">
        <v>6680106355</v>
      </c>
      <c r="F31" s="2" t="s">
        <v>13</v>
      </c>
      <c r="G31" s="2" t="s">
        <v>14</v>
      </c>
      <c r="H31" s="2" t="s">
        <v>21</v>
      </c>
      <c r="I31" s="2" t="s">
        <v>16</v>
      </c>
      <c r="J31" s="2" t="s">
        <v>22</v>
      </c>
    </row>
    <row r="32" spans="1:10" x14ac:dyDescent="0.3">
      <c r="A32" s="2" t="s">
        <v>63</v>
      </c>
      <c r="B32" s="2" t="s">
        <v>32</v>
      </c>
      <c r="C32" s="2" t="s">
        <v>36</v>
      </c>
      <c r="D32" s="2">
        <v>7</v>
      </c>
      <c r="E32" s="2">
        <v>7412875404</v>
      </c>
      <c r="F32" s="2" t="s">
        <v>19</v>
      </c>
      <c r="G32" s="2" t="s">
        <v>20</v>
      </c>
      <c r="H32" s="2" t="s">
        <v>21</v>
      </c>
      <c r="I32" s="2" t="s">
        <v>27</v>
      </c>
      <c r="J32" s="2" t="s">
        <v>22</v>
      </c>
    </row>
    <row r="33" spans="1:10" x14ac:dyDescent="0.3">
      <c r="A33" s="2" t="s">
        <v>64</v>
      </c>
      <c r="B33" s="2" t="s">
        <v>11</v>
      </c>
      <c r="C33" s="2" t="s">
        <v>36</v>
      </c>
      <c r="D33" s="2">
        <v>3</v>
      </c>
      <c r="E33" s="2">
        <v>7169453702</v>
      </c>
      <c r="F33" s="2" t="s">
        <v>19</v>
      </c>
      <c r="G33" s="2" t="s">
        <v>20</v>
      </c>
      <c r="H33" s="2" t="s">
        <v>15</v>
      </c>
      <c r="I33" s="2" t="s">
        <v>22</v>
      </c>
      <c r="J33" s="2" t="s">
        <v>17</v>
      </c>
    </row>
    <row r="34" spans="1:10" x14ac:dyDescent="0.3">
      <c r="A34" s="2" t="s">
        <v>56</v>
      </c>
      <c r="B34" s="2" t="s">
        <v>35</v>
      </c>
      <c r="C34" s="2" t="s">
        <v>12</v>
      </c>
      <c r="D34" s="2">
        <v>1</v>
      </c>
      <c r="E34" s="2">
        <v>9089863696</v>
      </c>
      <c r="F34" s="2" t="s">
        <v>13</v>
      </c>
      <c r="G34" s="2" t="s">
        <v>20</v>
      </c>
      <c r="H34" s="2" t="s">
        <v>15</v>
      </c>
      <c r="I34" s="2" t="s">
        <v>29</v>
      </c>
      <c r="J34" s="2" t="s">
        <v>22</v>
      </c>
    </row>
    <row r="35" spans="1:10" x14ac:dyDescent="0.3">
      <c r="A35" s="2" t="s">
        <v>65</v>
      </c>
      <c r="B35" s="2" t="s">
        <v>35</v>
      </c>
      <c r="C35" s="2" t="s">
        <v>36</v>
      </c>
      <c r="D35" s="2">
        <v>1</v>
      </c>
      <c r="E35" s="2">
        <v>7961237762</v>
      </c>
      <c r="F35" s="2" t="s">
        <v>19</v>
      </c>
      <c r="G35" s="2" t="s">
        <v>20</v>
      </c>
      <c r="H35" s="2" t="s">
        <v>21</v>
      </c>
      <c r="I35" s="2" t="s">
        <v>22</v>
      </c>
      <c r="J35" s="2" t="s">
        <v>22</v>
      </c>
    </row>
    <row r="36" spans="1:10" x14ac:dyDescent="0.3">
      <c r="A36" s="2" t="s">
        <v>66</v>
      </c>
      <c r="B36" s="2" t="s">
        <v>11</v>
      </c>
      <c r="C36" s="2" t="s">
        <v>36</v>
      </c>
      <c r="D36" s="2">
        <v>3</v>
      </c>
      <c r="E36" s="2">
        <v>9248280618</v>
      </c>
      <c r="F36" s="2" t="s">
        <v>19</v>
      </c>
      <c r="G36" s="2" t="s">
        <v>14</v>
      </c>
      <c r="H36" s="2" t="s">
        <v>15</v>
      </c>
      <c r="I36" s="2" t="s">
        <v>22</v>
      </c>
      <c r="J36" s="2" t="s">
        <v>23</v>
      </c>
    </row>
    <row r="37" spans="1:10" x14ac:dyDescent="0.3">
      <c r="A37" s="2" t="s">
        <v>67</v>
      </c>
      <c r="B37" s="2" t="s">
        <v>35</v>
      </c>
      <c r="C37" s="2" t="s">
        <v>33</v>
      </c>
      <c r="D37" s="2">
        <v>1</v>
      </c>
      <c r="E37" s="2">
        <v>8834834922</v>
      </c>
      <c r="F37" s="2" t="s">
        <v>19</v>
      </c>
      <c r="G37" s="2" t="s">
        <v>20</v>
      </c>
      <c r="H37" s="2" t="s">
        <v>15</v>
      </c>
      <c r="I37" s="2" t="s">
        <v>22</v>
      </c>
      <c r="J37" s="2" t="s">
        <v>22</v>
      </c>
    </row>
    <row r="38" spans="1:10" x14ac:dyDescent="0.3">
      <c r="A38" s="2" t="s">
        <v>68</v>
      </c>
      <c r="B38" s="2" t="s">
        <v>11</v>
      </c>
      <c r="C38" s="2" t="s">
        <v>33</v>
      </c>
      <c r="D38" s="2">
        <v>3</v>
      </c>
      <c r="E38" s="2">
        <v>7056970334</v>
      </c>
      <c r="F38" s="2" t="s">
        <v>13</v>
      </c>
      <c r="G38" s="2" t="s">
        <v>20</v>
      </c>
      <c r="H38" s="2" t="s">
        <v>21</v>
      </c>
      <c r="I38" s="2" t="s">
        <v>41</v>
      </c>
      <c r="J38" s="2" t="s">
        <v>23</v>
      </c>
    </row>
    <row r="39" spans="1:10" x14ac:dyDescent="0.3">
      <c r="A39" s="2" t="s">
        <v>69</v>
      </c>
      <c r="B39" s="2" t="s">
        <v>11</v>
      </c>
      <c r="C39" s="2" t="s">
        <v>26</v>
      </c>
      <c r="D39" s="2">
        <v>3</v>
      </c>
      <c r="E39" s="2">
        <v>9024007668</v>
      </c>
      <c r="F39" s="2" t="s">
        <v>19</v>
      </c>
      <c r="G39" s="2" t="s">
        <v>20</v>
      </c>
      <c r="H39" s="2" t="s">
        <v>15</v>
      </c>
      <c r="I39" s="2" t="s">
        <v>41</v>
      </c>
      <c r="J39" s="2" t="s">
        <v>17</v>
      </c>
    </row>
    <row r="40" spans="1:10" x14ac:dyDescent="0.3">
      <c r="A40" s="2" t="s">
        <v>68</v>
      </c>
      <c r="B40" s="2" t="s">
        <v>35</v>
      </c>
      <c r="C40" s="2" t="s">
        <v>12</v>
      </c>
      <c r="D40" s="2">
        <v>1</v>
      </c>
      <c r="E40" s="2">
        <v>8716524803</v>
      </c>
      <c r="F40" s="2" t="s">
        <v>13</v>
      </c>
      <c r="G40" s="2" t="s">
        <v>14</v>
      </c>
      <c r="H40" s="2" t="s">
        <v>21</v>
      </c>
      <c r="I40" s="2" t="s">
        <v>22</v>
      </c>
      <c r="J40" s="2" t="s">
        <v>17</v>
      </c>
    </row>
    <row r="41" spans="1:10" x14ac:dyDescent="0.3">
      <c r="A41" s="2" t="s">
        <v>70</v>
      </c>
      <c r="B41" s="2" t="s">
        <v>32</v>
      </c>
      <c r="C41" s="2" t="s">
        <v>33</v>
      </c>
      <c r="D41" s="2">
        <v>7</v>
      </c>
      <c r="E41" s="2">
        <v>9152172923</v>
      </c>
      <c r="F41" s="2" t="s">
        <v>19</v>
      </c>
      <c r="G41" s="2" t="s">
        <v>14</v>
      </c>
      <c r="H41" s="2" t="s">
        <v>15</v>
      </c>
      <c r="I41" s="2" t="s">
        <v>22</v>
      </c>
      <c r="J41" s="2" t="s">
        <v>23</v>
      </c>
    </row>
    <row r="42" spans="1:10" x14ac:dyDescent="0.3">
      <c r="A42" s="2" t="s">
        <v>71</v>
      </c>
      <c r="B42" s="2" t="s">
        <v>32</v>
      </c>
      <c r="C42" s="2" t="s">
        <v>26</v>
      </c>
      <c r="D42" s="2">
        <v>7</v>
      </c>
      <c r="E42" s="2">
        <v>9629974880</v>
      </c>
      <c r="F42" s="2" t="s">
        <v>19</v>
      </c>
      <c r="G42" s="2" t="s">
        <v>20</v>
      </c>
      <c r="H42" s="2" t="s">
        <v>15</v>
      </c>
      <c r="I42" s="2" t="s">
        <v>37</v>
      </c>
      <c r="J42" s="2" t="s">
        <v>23</v>
      </c>
    </row>
    <row r="43" spans="1:10" x14ac:dyDescent="0.3">
      <c r="A43" s="2" t="s">
        <v>72</v>
      </c>
      <c r="B43" s="2" t="s">
        <v>35</v>
      </c>
      <c r="C43" s="2" t="s">
        <v>26</v>
      </c>
      <c r="D43" s="2">
        <v>1</v>
      </c>
      <c r="E43" s="2">
        <v>6510874876</v>
      </c>
      <c r="F43" s="2" t="s">
        <v>13</v>
      </c>
      <c r="G43" s="2" t="s">
        <v>14</v>
      </c>
      <c r="H43" s="2" t="s">
        <v>15</v>
      </c>
      <c r="I43" s="2" t="s">
        <v>41</v>
      </c>
      <c r="J43" s="2" t="s">
        <v>22</v>
      </c>
    </row>
    <row r="44" spans="1:10" x14ac:dyDescent="0.3">
      <c r="A44" s="2" t="s">
        <v>73</v>
      </c>
      <c r="B44" s="2" t="s">
        <v>32</v>
      </c>
      <c r="C44" s="2" t="s">
        <v>36</v>
      </c>
      <c r="D44" s="2">
        <v>7</v>
      </c>
      <c r="E44" s="2">
        <v>7259224000</v>
      </c>
      <c r="F44" s="2" t="s">
        <v>13</v>
      </c>
      <c r="G44" s="2" t="s">
        <v>14</v>
      </c>
      <c r="H44" s="2" t="s">
        <v>15</v>
      </c>
      <c r="I44" s="2" t="s">
        <v>29</v>
      </c>
      <c r="J44" s="2" t="s">
        <v>22</v>
      </c>
    </row>
    <row r="45" spans="1:10" x14ac:dyDescent="0.3">
      <c r="A45" s="2" t="s">
        <v>74</v>
      </c>
      <c r="B45" s="2" t="s">
        <v>11</v>
      </c>
      <c r="C45" s="2" t="s">
        <v>12</v>
      </c>
      <c r="D45" s="2">
        <v>3</v>
      </c>
      <c r="E45" s="2">
        <v>8048856634</v>
      </c>
      <c r="F45" s="2" t="s">
        <v>13</v>
      </c>
      <c r="G45" s="2" t="s">
        <v>14</v>
      </c>
      <c r="H45" s="2" t="s">
        <v>21</v>
      </c>
      <c r="I45" s="2" t="s">
        <v>41</v>
      </c>
      <c r="J45" s="2" t="s">
        <v>17</v>
      </c>
    </row>
    <row r="46" spans="1:10" x14ac:dyDescent="0.3">
      <c r="A46" s="2" t="s">
        <v>75</v>
      </c>
      <c r="B46" s="2" t="s">
        <v>11</v>
      </c>
      <c r="C46" s="2" t="s">
        <v>12</v>
      </c>
      <c r="D46" s="2">
        <v>3</v>
      </c>
      <c r="E46" s="2">
        <v>9121272322</v>
      </c>
      <c r="F46" s="2" t="s">
        <v>19</v>
      </c>
      <c r="G46" s="2" t="s">
        <v>20</v>
      </c>
      <c r="H46" s="2" t="s">
        <v>21</v>
      </c>
      <c r="I46" s="2" t="s">
        <v>37</v>
      </c>
      <c r="J46" s="2" t="s">
        <v>22</v>
      </c>
    </row>
    <row r="47" spans="1:10" x14ac:dyDescent="0.3">
      <c r="A47" s="2" t="s">
        <v>76</v>
      </c>
      <c r="B47" s="2" t="s">
        <v>35</v>
      </c>
      <c r="C47" s="2" t="s">
        <v>12</v>
      </c>
      <c r="D47" s="2">
        <v>1</v>
      </c>
      <c r="E47" s="2">
        <v>6705996210</v>
      </c>
      <c r="F47" s="2" t="s">
        <v>19</v>
      </c>
      <c r="G47" s="2" t="s">
        <v>20</v>
      </c>
      <c r="H47" s="2" t="s">
        <v>21</v>
      </c>
      <c r="I47" s="2" t="s">
        <v>37</v>
      </c>
      <c r="J47" s="2" t="s">
        <v>22</v>
      </c>
    </row>
    <row r="48" spans="1:10" x14ac:dyDescent="0.3">
      <c r="A48" s="2" t="s">
        <v>77</v>
      </c>
      <c r="B48" s="2" t="s">
        <v>32</v>
      </c>
      <c r="C48" s="2" t="s">
        <v>33</v>
      </c>
      <c r="D48" s="2">
        <v>7</v>
      </c>
      <c r="E48" s="2">
        <v>6193128782</v>
      </c>
      <c r="F48" s="2" t="s">
        <v>13</v>
      </c>
      <c r="G48" s="2" t="s">
        <v>20</v>
      </c>
      <c r="H48" s="2" t="s">
        <v>21</v>
      </c>
      <c r="I48" s="2" t="s">
        <v>22</v>
      </c>
      <c r="J48" s="2" t="s">
        <v>22</v>
      </c>
    </row>
    <row r="49" spans="1:10" x14ac:dyDescent="0.3">
      <c r="A49" s="2" t="s">
        <v>78</v>
      </c>
      <c r="B49" s="2" t="s">
        <v>35</v>
      </c>
      <c r="C49" s="2" t="s">
        <v>12</v>
      </c>
      <c r="D49" s="2">
        <v>1</v>
      </c>
      <c r="E49" s="2">
        <v>7416527689</v>
      </c>
      <c r="F49" s="2" t="s">
        <v>13</v>
      </c>
      <c r="G49" s="2" t="s">
        <v>14</v>
      </c>
      <c r="H49" s="2" t="s">
        <v>15</v>
      </c>
      <c r="I49" s="2" t="s">
        <v>37</v>
      </c>
      <c r="J49" s="2" t="s">
        <v>23</v>
      </c>
    </row>
    <row r="50" spans="1:10" x14ac:dyDescent="0.3">
      <c r="A50" s="2" t="s">
        <v>79</v>
      </c>
      <c r="B50" s="2" t="s">
        <v>35</v>
      </c>
      <c r="C50" s="2" t="s">
        <v>43</v>
      </c>
      <c r="D50" s="2">
        <v>1</v>
      </c>
      <c r="E50" s="2">
        <v>9465256008</v>
      </c>
      <c r="F50" s="2" t="s">
        <v>13</v>
      </c>
      <c r="G50" s="2" t="s">
        <v>20</v>
      </c>
      <c r="H50" s="2" t="s">
        <v>15</v>
      </c>
      <c r="I50" s="2" t="s">
        <v>16</v>
      </c>
      <c r="J50" s="2" t="s">
        <v>17</v>
      </c>
    </row>
    <row r="51" spans="1:10" x14ac:dyDescent="0.3">
      <c r="A51" s="2" t="s">
        <v>80</v>
      </c>
      <c r="B51" s="2" t="s">
        <v>32</v>
      </c>
      <c r="C51" s="2" t="s">
        <v>43</v>
      </c>
      <c r="D51" s="2">
        <v>7</v>
      </c>
      <c r="E51" s="2">
        <v>9487563540</v>
      </c>
      <c r="F51" s="2" t="s">
        <v>19</v>
      </c>
      <c r="G51" s="2" t="s">
        <v>14</v>
      </c>
      <c r="H51" s="2" t="s">
        <v>21</v>
      </c>
      <c r="I51" s="2" t="s">
        <v>29</v>
      </c>
      <c r="J51" s="2" t="s">
        <v>17</v>
      </c>
    </row>
    <row r="52" spans="1:10" x14ac:dyDescent="0.3">
      <c r="A52" s="2" t="s">
        <v>24</v>
      </c>
      <c r="B52" s="2" t="s">
        <v>25</v>
      </c>
      <c r="C52" s="2" t="s">
        <v>33</v>
      </c>
      <c r="D52" s="2">
        <v>5</v>
      </c>
      <c r="E52" s="2">
        <v>6378998397</v>
      </c>
      <c r="F52" s="2" t="s">
        <v>13</v>
      </c>
      <c r="G52" s="2" t="s">
        <v>14</v>
      </c>
      <c r="H52" s="2" t="s">
        <v>15</v>
      </c>
      <c r="I52" s="2" t="s">
        <v>37</v>
      </c>
      <c r="J52" s="2" t="s">
        <v>17</v>
      </c>
    </row>
    <row r="53" spans="1:10" x14ac:dyDescent="0.3">
      <c r="A53" s="2" t="s">
        <v>81</v>
      </c>
      <c r="B53" s="2" t="s">
        <v>11</v>
      </c>
      <c r="C53" s="2" t="s">
        <v>12</v>
      </c>
      <c r="D53" s="2">
        <v>3</v>
      </c>
      <c r="E53" s="2">
        <v>8147056642</v>
      </c>
      <c r="F53" s="2" t="s">
        <v>13</v>
      </c>
      <c r="G53" s="2" t="s">
        <v>20</v>
      </c>
      <c r="H53" s="2" t="s">
        <v>15</v>
      </c>
      <c r="I53" s="2" t="s">
        <v>16</v>
      </c>
      <c r="J53" s="2" t="s">
        <v>23</v>
      </c>
    </row>
    <row r="54" spans="1:10" x14ac:dyDescent="0.3">
      <c r="A54" s="2" t="s">
        <v>82</v>
      </c>
      <c r="B54" s="2" t="s">
        <v>32</v>
      </c>
      <c r="C54" s="2" t="s">
        <v>26</v>
      </c>
      <c r="D54" s="2">
        <v>7</v>
      </c>
      <c r="E54" s="2">
        <v>6729820575</v>
      </c>
      <c r="F54" s="2" t="s">
        <v>19</v>
      </c>
      <c r="G54" s="2" t="s">
        <v>14</v>
      </c>
      <c r="H54" s="2" t="s">
        <v>21</v>
      </c>
      <c r="I54" s="2" t="s">
        <v>37</v>
      </c>
      <c r="J54" s="2" t="s">
        <v>23</v>
      </c>
    </row>
    <row r="55" spans="1:10" x14ac:dyDescent="0.3">
      <c r="A55" s="2" t="s">
        <v>83</v>
      </c>
      <c r="B55" s="2" t="s">
        <v>35</v>
      </c>
      <c r="C55" s="2" t="s">
        <v>36</v>
      </c>
      <c r="D55" s="2">
        <v>1</v>
      </c>
      <c r="E55" s="2">
        <v>8114258594</v>
      </c>
      <c r="F55" s="2" t="s">
        <v>13</v>
      </c>
      <c r="G55" s="2" t="s">
        <v>20</v>
      </c>
      <c r="H55" s="2" t="s">
        <v>15</v>
      </c>
      <c r="I55" s="2" t="s">
        <v>37</v>
      </c>
      <c r="J55" s="2" t="s">
        <v>23</v>
      </c>
    </row>
    <row r="56" spans="1:10" x14ac:dyDescent="0.3">
      <c r="A56" s="2" t="s">
        <v>84</v>
      </c>
      <c r="B56" s="2" t="s">
        <v>32</v>
      </c>
      <c r="C56" s="2" t="s">
        <v>43</v>
      </c>
      <c r="D56" s="2">
        <v>7</v>
      </c>
      <c r="E56" s="2">
        <v>7473489931</v>
      </c>
      <c r="F56" s="2" t="s">
        <v>13</v>
      </c>
      <c r="G56" s="2" t="s">
        <v>14</v>
      </c>
      <c r="H56" s="2" t="s">
        <v>15</v>
      </c>
      <c r="I56" s="2" t="s">
        <v>22</v>
      </c>
      <c r="J56" s="2" t="s">
        <v>22</v>
      </c>
    </row>
    <row r="57" spans="1:10" x14ac:dyDescent="0.3">
      <c r="A57" s="2" t="s">
        <v>85</v>
      </c>
      <c r="B57" s="2" t="s">
        <v>11</v>
      </c>
      <c r="C57" s="2" t="s">
        <v>12</v>
      </c>
      <c r="D57" s="2">
        <v>3</v>
      </c>
      <c r="E57" s="2">
        <v>7784045242</v>
      </c>
      <c r="F57" s="2" t="s">
        <v>13</v>
      </c>
      <c r="G57" s="2" t="s">
        <v>20</v>
      </c>
      <c r="H57" s="2" t="s">
        <v>15</v>
      </c>
      <c r="I57" s="2" t="s">
        <v>27</v>
      </c>
      <c r="J57" s="2" t="s">
        <v>17</v>
      </c>
    </row>
    <row r="58" spans="1:10" x14ac:dyDescent="0.3">
      <c r="A58" s="2" t="s">
        <v>86</v>
      </c>
      <c r="B58" s="2" t="s">
        <v>25</v>
      </c>
      <c r="C58" s="2" t="s">
        <v>36</v>
      </c>
      <c r="D58" s="2">
        <v>5</v>
      </c>
      <c r="E58" s="2">
        <v>9896116034</v>
      </c>
      <c r="F58" s="2" t="s">
        <v>13</v>
      </c>
      <c r="G58" s="2" t="s">
        <v>20</v>
      </c>
      <c r="H58" s="2" t="s">
        <v>15</v>
      </c>
      <c r="I58" s="2" t="s">
        <v>27</v>
      </c>
      <c r="J58" s="2" t="s">
        <v>22</v>
      </c>
    </row>
    <row r="59" spans="1:10" x14ac:dyDescent="0.3">
      <c r="A59" s="2" t="s">
        <v>87</v>
      </c>
      <c r="B59" s="2" t="s">
        <v>11</v>
      </c>
      <c r="C59" s="2" t="s">
        <v>33</v>
      </c>
      <c r="D59" s="2">
        <v>3</v>
      </c>
      <c r="E59" s="2">
        <v>8371487617</v>
      </c>
      <c r="F59" s="2" t="s">
        <v>19</v>
      </c>
      <c r="G59" s="2" t="s">
        <v>20</v>
      </c>
      <c r="H59" s="2" t="s">
        <v>21</v>
      </c>
      <c r="I59" s="2" t="s">
        <v>37</v>
      </c>
      <c r="J59" s="2" t="s">
        <v>22</v>
      </c>
    </row>
    <row r="60" spans="1:10" x14ac:dyDescent="0.3">
      <c r="A60" s="2" t="s">
        <v>88</v>
      </c>
      <c r="B60" s="2" t="s">
        <v>35</v>
      </c>
      <c r="C60" s="2" t="s">
        <v>43</v>
      </c>
      <c r="D60" s="2">
        <v>1</v>
      </c>
      <c r="E60" s="2">
        <v>9944199582</v>
      </c>
      <c r="F60" s="2" t="s">
        <v>19</v>
      </c>
      <c r="G60" s="2" t="s">
        <v>20</v>
      </c>
      <c r="H60" s="2" t="s">
        <v>15</v>
      </c>
      <c r="I60" s="2" t="s">
        <v>37</v>
      </c>
      <c r="J60" s="2" t="s">
        <v>23</v>
      </c>
    </row>
    <row r="61" spans="1:10" x14ac:dyDescent="0.3">
      <c r="A61" s="2" t="s">
        <v>89</v>
      </c>
      <c r="B61" s="2" t="s">
        <v>25</v>
      </c>
      <c r="C61" s="2" t="s">
        <v>43</v>
      </c>
      <c r="D61" s="2">
        <v>5</v>
      </c>
      <c r="E61" s="2">
        <v>7198699361</v>
      </c>
      <c r="F61" s="2" t="s">
        <v>13</v>
      </c>
      <c r="G61" s="2" t="s">
        <v>14</v>
      </c>
      <c r="H61" s="2" t="s">
        <v>15</v>
      </c>
      <c r="I61" s="2" t="s">
        <v>22</v>
      </c>
      <c r="J61" s="2" t="s">
        <v>17</v>
      </c>
    </row>
    <row r="62" spans="1:10" x14ac:dyDescent="0.3">
      <c r="A62" s="2" t="s">
        <v>90</v>
      </c>
      <c r="B62" s="2" t="s">
        <v>35</v>
      </c>
      <c r="C62" s="2" t="s">
        <v>43</v>
      </c>
      <c r="D62" s="2">
        <v>1</v>
      </c>
      <c r="E62" s="2">
        <v>9510854464</v>
      </c>
      <c r="F62" s="2" t="s">
        <v>13</v>
      </c>
      <c r="G62" s="2" t="s">
        <v>14</v>
      </c>
      <c r="H62" s="2" t="s">
        <v>21</v>
      </c>
      <c r="I62" s="2" t="s">
        <v>27</v>
      </c>
      <c r="J62" s="2" t="s">
        <v>17</v>
      </c>
    </row>
    <row r="63" spans="1:10" x14ac:dyDescent="0.3">
      <c r="A63" s="2" t="s">
        <v>91</v>
      </c>
      <c r="B63" s="2" t="s">
        <v>35</v>
      </c>
      <c r="C63" s="2" t="s">
        <v>36</v>
      </c>
      <c r="D63" s="2">
        <v>1</v>
      </c>
      <c r="E63" s="2">
        <v>8756328718</v>
      </c>
      <c r="F63" s="2" t="s">
        <v>13</v>
      </c>
      <c r="G63" s="2" t="s">
        <v>20</v>
      </c>
      <c r="H63" s="2" t="s">
        <v>15</v>
      </c>
      <c r="I63" s="2" t="s">
        <v>16</v>
      </c>
      <c r="J63" s="2" t="s">
        <v>17</v>
      </c>
    </row>
    <row r="64" spans="1:10" x14ac:dyDescent="0.3">
      <c r="A64" s="2" t="s">
        <v>92</v>
      </c>
      <c r="B64" s="2" t="s">
        <v>11</v>
      </c>
      <c r="C64" s="2" t="s">
        <v>36</v>
      </c>
      <c r="D64" s="2">
        <v>3</v>
      </c>
      <c r="E64" s="2">
        <v>8111844125</v>
      </c>
      <c r="F64" s="2" t="s">
        <v>13</v>
      </c>
      <c r="G64" s="2" t="s">
        <v>14</v>
      </c>
      <c r="H64" s="2" t="s">
        <v>15</v>
      </c>
      <c r="I64" s="2" t="s">
        <v>41</v>
      </c>
      <c r="J64" s="2" t="s">
        <v>17</v>
      </c>
    </row>
    <row r="65" spans="1:10" x14ac:dyDescent="0.3">
      <c r="A65" s="2" t="s">
        <v>93</v>
      </c>
      <c r="B65" s="2" t="s">
        <v>11</v>
      </c>
      <c r="C65" s="2" t="s">
        <v>26</v>
      </c>
      <c r="D65" s="2">
        <v>3</v>
      </c>
      <c r="E65" s="2">
        <v>9383367846</v>
      </c>
      <c r="F65" s="2" t="s">
        <v>19</v>
      </c>
      <c r="G65" s="2" t="s">
        <v>14</v>
      </c>
      <c r="H65" s="2" t="s">
        <v>15</v>
      </c>
      <c r="I65" s="2" t="s">
        <v>22</v>
      </c>
      <c r="J65" s="2" t="s">
        <v>23</v>
      </c>
    </row>
    <row r="66" spans="1:10" x14ac:dyDescent="0.3">
      <c r="A66" s="2" t="s">
        <v>94</v>
      </c>
      <c r="B66" s="2" t="s">
        <v>11</v>
      </c>
      <c r="C66" s="2" t="s">
        <v>33</v>
      </c>
      <c r="D66" s="2">
        <v>3</v>
      </c>
      <c r="E66" s="2">
        <v>6676790613</v>
      </c>
      <c r="F66" s="2" t="s">
        <v>19</v>
      </c>
      <c r="G66" s="2" t="s">
        <v>20</v>
      </c>
      <c r="H66" s="2" t="s">
        <v>15</v>
      </c>
      <c r="I66" s="2" t="s">
        <v>22</v>
      </c>
      <c r="J66" s="2" t="s">
        <v>22</v>
      </c>
    </row>
    <row r="67" spans="1:10" x14ac:dyDescent="0.3">
      <c r="A67" s="2" t="s">
        <v>95</v>
      </c>
      <c r="B67" s="2" t="s">
        <v>11</v>
      </c>
      <c r="C67" s="2" t="s">
        <v>12</v>
      </c>
      <c r="D67" s="2">
        <v>3</v>
      </c>
      <c r="E67" s="2">
        <v>6503352129</v>
      </c>
      <c r="F67" s="2" t="s">
        <v>13</v>
      </c>
      <c r="G67" s="2" t="s">
        <v>14</v>
      </c>
      <c r="H67" s="2" t="s">
        <v>21</v>
      </c>
      <c r="I67" s="2" t="s">
        <v>27</v>
      </c>
      <c r="J67" s="2" t="s">
        <v>17</v>
      </c>
    </row>
    <row r="68" spans="1:10" x14ac:dyDescent="0.3">
      <c r="A68" s="2" t="s">
        <v>96</v>
      </c>
      <c r="B68" s="2" t="s">
        <v>35</v>
      </c>
      <c r="C68" s="2" t="s">
        <v>26</v>
      </c>
      <c r="D68" s="2">
        <v>1</v>
      </c>
      <c r="E68" s="2">
        <v>6812154144</v>
      </c>
      <c r="F68" s="2" t="s">
        <v>19</v>
      </c>
      <c r="G68" s="2" t="s">
        <v>20</v>
      </c>
      <c r="H68" s="2" t="s">
        <v>15</v>
      </c>
      <c r="I68" s="2" t="s">
        <v>22</v>
      </c>
      <c r="J68" s="2" t="s">
        <v>17</v>
      </c>
    </row>
    <row r="69" spans="1:10" x14ac:dyDescent="0.3">
      <c r="A69" s="2" t="s">
        <v>97</v>
      </c>
      <c r="B69" s="2" t="s">
        <v>11</v>
      </c>
      <c r="C69" s="2" t="s">
        <v>33</v>
      </c>
      <c r="D69" s="2">
        <v>3</v>
      </c>
      <c r="E69" s="2">
        <v>8905105497</v>
      </c>
      <c r="F69" s="2" t="s">
        <v>19</v>
      </c>
      <c r="G69" s="2" t="s">
        <v>14</v>
      </c>
      <c r="H69" s="2" t="s">
        <v>21</v>
      </c>
      <c r="I69" s="2" t="s">
        <v>27</v>
      </c>
      <c r="J69" s="2" t="s">
        <v>17</v>
      </c>
    </row>
    <row r="70" spans="1:10" x14ac:dyDescent="0.3">
      <c r="A70" s="2" t="s">
        <v>98</v>
      </c>
      <c r="B70" s="2" t="s">
        <v>11</v>
      </c>
      <c r="C70" s="2" t="s">
        <v>12</v>
      </c>
      <c r="D70" s="2">
        <v>3</v>
      </c>
      <c r="E70" s="2">
        <v>8799457176</v>
      </c>
      <c r="F70" s="2" t="s">
        <v>13</v>
      </c>
      <c r="G70" s="2" t="s">
        <v>14</v>
      </c>
      <c r="H70" s="2" t="s">
        <v>21</v>
      </c>
      <c r="I70" s="2" t="s">
        <v>22</v>
      </c>
      <c r="J70" s="2" t="s">
        <v>17</v>
      </c>
    </row>
    <row r="71" spans="1:10" x14ac:dyDescent="0.3">
      <c r="A71" s="2" t="s">
        <v>99</v>
      </c>
      <c r="B71" s="2" t="s">
        <v>11</v>
      </c>
      <c r="C71" s="2" t="s">
        <v>43</v>
      </c>
      <c r="D71" s="2">
        <v>3</v>
      </c>
      <c r="E71" s="2">
        <v>6353238458</v>
      </c>
      <c r="F71" s="2" t="s">
        <v>13</v>
      </c>
      <c r="G71" s="2" t="s">
        <v>20</v>
      </c>
      <c r="H71" s="2" t="s">
        <v>15</v>
      </c>
      <c r="I71" s="2" t="s">
        <v>22</v>
      </c>
      <c r="J71" s="2" t="s">
        <v>23</v>
      </c>
    </row>
    <row r="72" spans="1:10" x14ac:dyDescent="0.3">
      <c r="A72" s="2" t="s">
        <v>100</v>
      </c>
      <c r="B72" s="2" t="s">
        <v>25</v>
      </c>
      <c r="C72" s="2" t="s">
        <v>12</v>
      </c>
      <c r="D72" s="2">
        <v>5</v>
      </c>
      <c r="E72" s="2">
        <v>8818744554</v>
      </c>
      <c r="F72" s="2" t="s">
        <v>19</v>
      </c>
      <c r="G72" s="2" t="s">
        <v>14</v>
      </c>
      <c r="H72" s="2" t="s">
        <v>21</v>
      </c>
      <c r="I72" s="2" t="s">
        <v>41</v>
      </c>
      <c r="J72" s="2" t="s">
        <v>23</v>
      </c>
    </row>
    <row r="73" spans="1:10" x14ac:dyDescent="0.3">
      <c r="A73" s="2" t="s">
        <v>101</v>
      </c>
      <c r="B73" s="2" t="s">
        <v>35</v>
      </c>
      <c r="C73" s="2" t="s">
        <v>43</v>
      </c>
      <c r="D73" s="2">
        <v>1</v>
      </c>
      <c r="E73" s="2">
        <v>9424927040</v>
      </c>
      <c r="F73" s="2" t="s">
        <v>19</v>
      </c>
      <c r="G73" s="2" t="s">
        <v>20</v>
      </c>
      <c r="H73" s="2" t="s">
        <v>15</v>
      </c>
      <c r="I73" s="2" t="s">
        <v>22</v>
      </c>
      <c r="J73" s="2" t="s">
        <v>22</v>
      </c>
    </row>
    <row r="74" spans="1:10" x14ac:dyDescent="0.3">
      <c r="A74" s="2" t="s">
        <v>102</v>
      </c>
      <c r="B74" s="2" t="s">
        <v>32</v>
      </c>
      <c r="C74" s="2" t="s">
        <v>43</v>
      </c>
      <c r="D74" s="2">
        <v>7</v>
      </c>
      <c r="E74" s="2">
        <v>7598011615</v>
      </c>
      <c r="F74" s="2" t="s">
        <v>13</v>
      </c>
      <c r="G74" s="2" t="s">
        <v>20</v>
      </c>
      <c r="H74" s="2" t="s">
        <v>15</v>
      </c>
      <c r="I74" s="2" t="s">
        <v>29</v>
      </c>
      <c r="J74" s="2" t="s">
        <v>22</v>
      </c>
    </row>
    <row r="75" spans="1:10" x14ac:dyDescent="0.3">
      <c r="A75" s="2" t="s">
        <v>103</v>
      </c>
      <c r="B75" s="2" t="s">
        <v>11</v>
      </c>
      <c r="C75" s="2" t="s">
        <v>43</v>
      </c>
      <c r="D75" s="2">
        <v>3</v>
      </c>
      <c r="E75" s="2">
        <v>9576782874</v>
      </c>
      <c r="F75" s="2" t="s">
        <v>13</v>
      </c>
      <c r="G75" s="2" t="s">
        <v>14</v>
      </c>
      <c r="H75" s="2" t="s">
        <v>21</v>
      </c>
      <c r="I75" s="2" t="s">
        <v>41</v>
      </c>
      <c r="J75" s="2" t="s">
        <v>23</v>
      </c>
    </row>
    <row r="76" spans="1:10" x14ac:dyDescent="0.3">
      <c r="A76" s="2" t="s">
        <v>104</v>
      </c>
      <c r="B76" s="2" t="s">
        <v>25</v>
      </c>
      <c r="C76" s="2" t="s">
        <v>36</v>
      </c>
      <c r="D76" s="2">
        <v>5</v>
      </c>
      <c r="E76" s="2">
        <v>9355691350</v>
      </c>
      <c r="F76" s="2" t="s">
        <v>13</v>
      </c>
      <c r="G76" s="2" t="s">
        <v>14</v>
      </c>
      <c r="H76" s="2" t="s">
        <v>21</v>
      </c>
      <c r="I76" s="2" t="s">
        <v>29</v>
      </c>
      <c r="J76" s="2" t="s">
        <v>22</v>
      </c>
    </row>
    <row r="77" spans="1:10" x14ac:dyDescent="0.3">
      <c r="A77" s="2" t="s">
        <v>105</v>
      </c>
      <c r="B77" s="2" t="s">
        <v>32</v>
      </c>
      <c r="C77" s="2" t="s">
        <v>36</v>
      </c>
      <c r="D77" s="2">
        <v>7</v>
      </c>
      <c r="E77" s="2">
        <v>6568918318</v>
      </c>
      <c r="F77" s="2" t="s">
        <v>19</v>
      </c>
      <c r="G77" s="2" t="s">
        <v>14</v>
      </c>
      <c r="H77" s="2" t="s">
        <v>15</v>
      </c>
      <c r="I77" s="2" t="s">
        <v>41</v>
      </c>
      <c r="J77" s="2" t="s">
        <v>23</v>
      </c>
    </row>
    <row r="78" spans="1:10" x14ac:dyDescent="0.3">
      <c r="A78" s="2" t="s">
        <v>106</v>
      </c>
      <c r="B78" s="2" t="s">
        <v>32</v>
      </c>
      <c r="C78" s="2" t="s">
        <v>26</v>
      </c>
      <c r="D78" s="2">
        <v>7</v>
      </c>
      <c r="E78" s="2">
        <v>8534088133</v>
      </c>
      <c r="F78" s="2" t="s">
        <v>19</v>
      </c>
      <c r="G78" s="2" t="s">
        <v>20</v>
      </c>
      <c r="H78" s="2" t="s">
        <v>21</v>
      </c>
      <c r="I78" s="2" t="s">
        <v>37</v>
      </c>
      <c r="J78" s="2" t="s">
        <v>22</v>
      </c>
    </row>
    <row r="79" spans="1:10" x14ac:dyDescent="0.3">
      <c r="A79" s="2" t="s">
        <v>107</v>
      </c>
      <c r="B79" s="2" t="s">
        <v>25</v>
      </c>
      <c r="C79" s="2" t="s">
        <v>43</v>
      </c>
      <c r="D79" s="2">
        <v>5</v>
      </c>
      <c r="E79" s="2">
        <v>9488762609</v>
      </c>
      <c r="F79" s="2" t="s">
        <v>19</v>
      </c>
      <c r="G79" s="2" t="s">
        <v>20</v>
      </c>
      <c r="H79" s="2" t="s">
        <v>15</v>
      </c>
      <c r="I79" s="2" t="s">
        <v>29</v>
      </c>
      <c r="J79" s="2" t="s">
        <v>23</v>
      </c>
    </row>
    <row r="80" spans="1:10" x14ac:dyDescent="0.3">
      <c r="A80" s="2" t="s">
        <v>108</v>
      </c>
      <c r="B80" s="2" t="s">
        <v>25</v>
      </c>
      <c r="C80" s="2" t="s">
        <v>26</v>
      </c>
      <c r="D80" s="2">
        <v>5</v>
      </c>
      <c r="E80" s="2">
        <v>6783558278</v>
      </c>
      <c r="F80" s="2" t="s">
        <v>19</v>
      </c>
      <c r="G80" s="2" t="s">
        <v>20</v>
      </c>
      <c r="H80" s="2" t="s">
        <v>21</v>
      </c>
      <c r="I80" s="2" t="s">
        <v>22</v>
      </c>
      <c r="J80" s="2" t="s">
        <v>23</v>
      </c>
    </row>
    <row r="81" spans="1:10" x14ac:dyDescent="0.3">
      <c r="A81" s="2" t="s">
        <v>109</v>
      </c>
      <c r="B81" s="2" t="s">
        <v>32</v>
      </c>
      <c r="C81" s="2" t="s">
        <v>43</v>
      </c>
      <c r="D81" s="2">
        <v>7</v>
      </c>
      <c r="E81" s="2">
        <v>7114639370</v>
      </c>
      <c r="F81" s="2" t="s">
        <v>19</v>
      </c>
      <c r="G81" s="2" t="s">
        <v>20</v>
      </c>
      <c r="H81" s="2" t="s">
        <v>15</v>
      </c>
      <c r="I81" s="2" t="s">
        <v>16</v>
      </c>
      <c r="J81" s="2" t="s">
        <v>22</v>
      </c>
    </row>
    <row r="82" spans="1:10" x14ac:dyDescent="0.3">
      <c r="A82" s="2" t="s">
        <v>110</v>
      </c>
      <c r="B82" s="2" t="s">
        <v>32</v>
      </c>
      <c r="C82" s="2" t="s">
        <v>43</v>
      </c>
      <c r="D82" s="2">
        <v>7</v>
      </c>
      <c r="E82" s="2">
        <v>6590416131</v>
      </c>
      <c r="F82" s="2" t="s">
        <v>19</v>
      </c>
      <c r="G82" s="2" t="s">
        <v>20</v>
      </c>
      <c r="H82" s="2" t="s">
        <v>21</v>
      </c>
      <c r="I82" s="2" t="s">
        <v>22</v>
      </c>
      <c r="J82" s="2" t="s">
        <v>22</v>
      </c>
    </row>
    <row r="83" spans="1:10" x14ac:dyDescent="0.3">
      <c r="A83" s="2" t="s">
        <v>111</v>
      </c>
      <c r="B83" s="2" t="s">
        <v>35</v>
      </c>
      <c r="C83" s="2" t="s">
        <v>26</v>
      </c>
      <c r="D83" s="2">
        <v>1</v>
      </c>
      <c r="E83" s="2">
        <v>8466558590</v>
      </c>
      <c r="F83" s="2" t="s">
        <v>13</v>
      </c>
      <c r="G83" s="2" t="s">
        <v>14</v>
      </c>
      <c r="H83" s="2" t="s">
        <v>15</v>
      </c>
      <c r="I83" s="2" t="s">
        <v>37</v>
      </c>
      <c r="J83" s="2" t="s">
        <v>17</v>
      </c>
    </row>
    <row r="84" spans="1:10" x14ac:dyDescent="0.3">
      <c r="A84" s="2" t="s">
        <v>112</v>
      </c>
      <c r="B84" s="2" t="s">
        <v>35</v>
      </c>
      <c r="C84" s="2" t="s">
        <v>43</v>
      </c>
      <c r="D84" s="2">
        <v>1</v>
      </c>
      <c r="E84" s="2">
        <v>9661950055</v>
      </c>
      <c r="F84" s="2" t="s">
        <v>19</v>
      </c>
      <c r="G84" s="2" t="s">
        <v>20</v>
      </c>
      <c r="H84" s="2" t="s">
        <v>15</v>
      </c>
      <c r="I84" s="2" t="s">
        <v>22</v>
      </c>
      <c r="J84" s="2" t="s">
        <v>22</v>
      </c>
    </row>
    <row r="85" spans="1:10" x14ac:dyDescent="0.3">
      <c r="A85" s="2" t="s">
        <v>113</v>
      </c>
      <c r="B85" s="2" t="s">
        <v>25</v>
      </c>
      <c r="C85" s="2" t="s">
        <v>33</v>
      </c>
      <c r="D85" s="2">
        <v>5</v>
      </c>
      <c r="E85" s="2">
        <v>7224290632</v>
      </c>
      <c r="F85" s="2" t="s">
        <v>13</v>
      </c>
      <c r="G85" s="2" t="s">
        <v>14</v>
      </c>
      <c r="H85" s="2" t="s">
        <v>21</v>
      </c>
      <c r="I85" s="2" t="s">
        <v>22</v>
      </c>
      <c r="J85" s="2" t="s">
        <v>22</v>
      </c>
    </row>
    <row r="86" spans="1:10" x14ac:dyDescent="0.3">
      <c r="A86" s="2" t="s">
        <v>114</v>
      </c>
      <c r="B86" s="2" t="s">
        <v>32</v>
      </c>
      <c r="C86" s="2" t="s">
        <v>43</v>
      </c>
      <c r="D86" s="2">
        <v>7</v>
      </c>
      <c r="E86" s="2">
        <v>9402112728</v>
      </c>
      <c r="F86" s="2" t="s">
        <v>19</v>
      </c>
      <c r="G86" s="2" t="s">
        <v>20</v>
      </c>
      <c r="H86" s="2" t="s">
        <v>21</v>
      </c>
      <c r="I86" s="2" t="s">
        <v>27</v>
      </c>
      <c r="J86" s="2" t="s">
        <v>22</v>
      </c>
    </row>
    <row r="87" spans="1:10" x14ac:dyDescent="0.3">
      <c r="A87" s="2" t="s">
        <v>115</v>
      </c>
      <c r="B87" s="2" t="s">
        <v>25</v>
      </c>
      <c r="C87" s="2" t="s">
        <v>26</v>
      </c>
      <c r="D87" s="2">
        <v>5</v>
      </c>
      <c r="E87" s="2">
        <v>8957856655</v>
      </c>
      <c r="F87" s="2" t="s">
        <v>19</v>
      </c>
      <c r="G87" s="2" t="s">
        <v>14</v>
      </c>
      <c r="H87" s="2" t="s">
        <v>21</v>
      </c>
      <c r="I87" s="2" t="s">
        <v>27</v>
      </c>
      <c r="J87" s="2" t="s">
        <v>23</v>
      </c>
    </row>
    <row r="88" spans="1:10" x14ac:dyDescent="0.3">
      <c r="A88" s="2" t="s">
        <v>116</v>
      </c>
      <c r="B88" s="2" t="s">
        <v>35</v>
      </c>
      <c r="C88" s="2" t="s">
        <v>12</v>
      </c>
      <c r="D88" s="2">
        <v>1</v>
      </c>
      <c r="E88" s="2">
        <v>9703547982</v>
      </c>
      <c r="F88" s="2" t="s">
        <v>19</v>
      </c>
      <c r="G88" s="2" t="s">
        <v>20</v>
      </c>
      <c r="H88" s="2" t="s">
        <v>21</v>
      </c>
      <c r="I88" s="2" t="s">
        <v>29</v>
      </c>
      <c r="J88" s="2" t="s">
        <v>22</v>
      </c>
    </row>
    <row r="89" spans="1:10" x14ac:dyDescent="0.3">
      <c r="A89" s="2" t="s">
        <v>117</v>
      </c>
      <c r="B89" s="2" t="s">
        <v>25</v>
      </c>
      <c r="C89" s="2" t="s">
        <v>12</v>
      </c>
      <c r="D89" s="2">
        <v>5</v>
      </c>
      <c r="E89" s="2">
        <v>6308037387</v>
      </c>
      <c r="F89" s="2" t="s">
        <v>13</v>
      </c>
      <c r="G89" s="2" t="s">
        <v>14</v>
      </c>
      <c r="H89" s="2" t="s">
        <v>15</v>
      </c>
      <c r="I89" s="2" t="s">
        <v>41</v>
      </c>
      <c r="J89" s="2" t="s">
        <v>17</v>
      </c>
    </row>
    <row r="90" spans="1:10" x14ac:dyDescent="0.3">
      <c r="A90" s="2" t="s">
        <v>118</v>
      </c>
      <c r="B90" s="2" t="s">
        <v>35</v>
      </c>
      <c r="C90" s="2" t="s">
        <v>43</v>
      </c>
      <c r="D90" s="2">
        <v>1</v>
      </c>
      <c r="E90" s="2">
        <v>8880845684</v>
      </c>
      <c r="F90" s="2" t="s">
        <v>19</v>
      </c>
      <c r="G90" s="2" t="s">
        <v>14</v>
      </c>
      <c r="H90" s="2" t="s">
        <v>15</v>
      </c>
      <c r="I90" s="2" t="s">
        <v>22</v>
      </c>
      <c r="J90" s="2" t="s">
        <v>17</v>
      </c>
    </row>
    <row r="91" spans="1:10" x14ac:dyDescent="0.3">
      <c r="A91" s="2" t="s">
        <v>101</v>
      </c>
      <c r="B91" s="2" t="s">
        <v>25</v>
      </c>
      <c r="C91" s="2" t="s">
        <v>26</v>
      </c>
      <c r="D91" s="2">
        <v>5</v>
      </c>
      <c r="E91" s="2">
        <v>9623694323</v>
      </c>
      <c r="F91" s="2" t="s">
        <v>13</v>
      </c>
      <c r="G91" s="2" t="s">
        <v>14</v>
      </c>
      <c r="H91" s="2" t="s">
        <v>15</v>
      </c>
      <c r="I91" s="2" t="s">
        <v>22</v>
      </c>
      <c r="J91" s="2" t="s">
        <v>22</v>
      </c>
    </row>
    <row r="92" spans="1:10" x14ac:dyDescent="0.3">
      <c r="A92" s="2" t="s">
        <v>119</v>
      </c>
      <c r="B92" s="2" t="s">
        <v>35</v>
      </c>
      <c r="C92" s="2" t="s">
        <v>36</v>
      </c>
      <c r="D92" s="2">
        <v>1</v>
      </c>
      <c r="E92" s="2">
        <v>7932129220</v>
      </c>
      <c r="F92" s="2" t="s">
        <v>19</v>
      </c>
      <c r="G92" s="2" t="s">
        <v>20</v>
      </c>
      <c r="H92" s="2" t="s">
        <v>15</v>
      </c>
      <c r="I92" s="2" t="s">
        <v>22</v>
      </c>
      <c r="J92" s="2" t="s">
        <v>22</v>
      </c>
    </row>
    <row r="93" spans="1:10" x14ac:dyDescent="0.3">
      <c r="A93" s="2" t="s">
        <v>120</v>
      </c>
      <c r="B93" s="2" t="s">
        <v>35</v>
      </c>
      <c r="C93" s="2" t="s">
        <v>43</v>
      </c>
      <c r="D93" s="2">
        <v>1</v>
      </c>
      <c r="E93" s="2">
        <v>6715218212</v>
      </c>
      <c r="F93" s="2" t="s">
        <v>13</v>
      </c>
      <c r="G93" s="2" t="s">
        <v>14</v>
      </c>
      <c r="H93" s="2" t="s">
        <v>15</v>
      </c>
      <c r="I93" s="2" t="s">
        <v>16</v>
      </c>
      <c r="J93" s="2" t="s">
        <v>17</v>
      </c>
    </row>
    <row r="94" spans="1:10" x14ac:dyDescent="0.3">
      <c r="A94" s="2" t="s">
        <v>121</v>
      </c>
      <c r="B94" s="2" t="s">
        <v>11</v>
      </c>
      <c r="C94" s="2" t="s">
        <v>12</v>
      </c>
      <c r="D94" s="2">
        <v>3</v>
      </c>
      <c r="E94" s="2">
        <v>9212516858</v>
      </c>
      <c r="F94" s="2" t="s">
        <v>19</v>
      </c>
      <c r="G94" s="2" t="s">
        <v>20</v>
      </c>
      <c r="H94" s="2" t="s">
        <v>15</v>
      </c>
      <c r="I94" s="2" t="s">
        <v>27</v>
      </c>
      <c r="J94" s="2" t="s">
        <v>22</v>
      </c>
    </row>
    <row r="95" spans="1:10" x14ac:dyDescent="0.3">
      <c r="A95" s="2" t="s">
        <v>122</v>
      </c>
      <c r="B95" s="2" t="s">
        <v>25</v>
      </c>
      <c r="C95" s="2" t="s">
        <v>36</v>
      </c>
      <c r="D95" s="2">
        <v>5</v>
      </c>
      <c r="E95" s="2">
        <v>6682518690</v>
      </c>
      <c r="F95" s="2" t="s">
        <v>13</v>
      </c>
      <c r="G95" s="2" t="s">
        <v>20</v>
      </c>
      <c r="H95" s="2" t="s">
        <v>15</v>
      </c>
      <c r="I95" s="2" t="s">
        <v>37</v>
      </c>
      <c r="J95" s="2" t="s">
        <v>22</v>
      </c>
    </row>
    <row r="96" spans="1:10" x14ac:dyDescent="0.3">
      <c r="A96" s="2" t="s">
        <v>123</v>
      </c>
      <c r="B96" s="2" t="s">
        <v>35</v>
      </c>
      <c r="C96" s="2" t="s">
        <v>12</v>
      </c>
      <c r="D96" s="2">
        <v>1</v>
      </c>
      <c r="E96" s="2">
        <v>6901412110</v>
      </c>
      <c r="F96" s="2" t="s">
        <v>13</v>
      </c>
      <c r="G96" s="2" t="s">
        <v>20</v>
      </c>
      <c r="H96" s="2" t="s">
        <v>21</v>
      </c>
      <c r="I96" s="2" t="s">
        <v>37</v>
      </c>
      <c r="J96" s="2" t="s">
        <v>22</v>
      </c>
    </row>
    <row r="97" spans="1:10" x14ac:dyDescent="0.3">
      <c r="A97" s="2" t="s">
        <v>124</v>
      </c>
      <c r="B97" s="2" t="s">
        <v>35</v>
      </c>
      <c r="C97" s="2" t="s">
        <v>33</v>
      </c>
      <c r="D97" s="2">
        <v>1</v>
      </c>
      <c r="E97" s="2">
        <v>7687706194</v>
      </c>
      <c r="F97" s="2" t="s">
        <v>19</v>
      </c>
      <c r="G97" s="2" t="s">
        <v>14</v>
      </c>
      <c r="H97" s="2" t="s">
        <v>15</v>
      </c>
      <c r="I97" s="2" t="s">
        <v>29</v>
      </c>
      <c r="J97" s="2" t="s">
        <v>23</v>
      </c>
    </row>
    <row r="98" spans="1:10" x14ac:dyDescent="0.3">
      <c r="A98" s="2" t="s">
        <v>125</v>
      </c>
      <c r="B98" s="2" t="s">
        <v>11</v>
      </c>
      <c r="C98" s="2" t="s">
        <v>43</v>
      </c>
      <c r="D98" s="2">
        <v>3</v>
      </c>
      <c r="E98" s="2">
        <v>8276143334</v>
      </c>
      <c r="F98" s="2" t="s">
        <v>19</v>
      </c>
      <c r="G98" s="2" t="s">
        <v>20</v>
      </c>
      <c r="H98" s="2" t="s">
        <v>21</v>
      </c>
      <c r="I98" s="2" t="s">
        <v>37</v>
      </c>
      <c r="J98" s="2" t="s">
        <v>17</v>
      </c>
    </row>
    <row r="99" spans="1:10" x14ac:dyDescent="0.3">
      <c r="A99" s="2" t="s">
        <v>126</v>
      </c>
      <c r="B99" s="2" t="s">
        <v>25</v>
      </c>
      <c r="C99" s="2" t="s">
        <v>36</v>
      </c>
      <c r="D99" s="2">
        <v>5</v>
      </c>
      <c r="E99" s="2">
        <v>8143011853</v>
      </c>
      <c r="F99" s="2" t="s">
        <v>13</v>
      </c>
      <c r="G99" s="2" t="s">
        <v>20</v>
      </c>
      <c r="H99" s="2" t="s">
        <v>15</v>
      </c>
      <c r="I99" s="2" t="s">
        <v>22</v>
      </c>
      <c r="J99" s="2" t="s">
        <v>22</v>
      </c>
    </row>
    <row r="100" spans="1:10" x14ac:dyDescent="0.3">
      <c r="A100" s="2" t="s">
        <v>127</v>
      </c>
      <c r="B100" s="2" t="s">
        <v>11</v>
      </c>
      <c r="C100" s="2" t="s">
        <v>33</v>
      </c>
      <c r="D100" s="2">
        <v>3</v>
      </c>
      <c r="E100" s="2">
        <v>9532838511</v>
      </c>
      <c r="F100" s="2" t="s">
        <v>13</v>
      </c>
      <c r="G100" s="2" t="s">
        <v>20</v>
      </c>
      <c r="H100" s="2" t="s">
        <v>21</v>
      </c>
      <c r="I100" s="2" t="s">
        <v>41</v>
      </c>
      <c r="J100" s="2" t="s">
        <v>17</v>
      </c>
    </row>
    <row r="101" spans="1:10" x14ac:dyDescent="0.3">
      <c r="A101" s="2" t="s">
        <v>128</v>
      </c>
      <c r="B101" s="2" t="s">
        <v>11</v>
      </c>
      <c r="C101" s="2" t="s">
        <v>43</v>
      </c>
      <c r="D101" s="2">
        <v>3</v>
      </c>
      <c r="E101" s="2">
        <v>6887653316</v>
      </c>
      <c r="F101" s="2" t="s">
        <v>19</v>
      </c>
      <c r="G101" s="2" t="s">
        <v>20</v>
      </c>
      <c r="H101" s="2" t="s">
        <v>15</v>
      </c>
      <c r="I101" s="2" t="s">
        <v>27</v>
      </c>
      <c r="J101" s="2" t="s">
        <v>17</v>
      </c>
    </row>
    <row r="102" spans="1:10" x14ac:dyDescent="0.3">
      <c r="A102" s="2" t="s">
        <v>69</v>
      </c>
      <c r="B102" s="2" t="s">
        <v>11</v>
      </c>
      <c r="C102" s="2" t="s">
        <v>26</v>
      </c>
      <c r="D102" s="2">
        <v>3</v>
      </c>
      <c r="E102" s="2">
        <v>7361517482</v>
      </c>
      <c r="F102" s="2" t="s">
        <v>19</v>
      </c>
      <c r="G102" s="2" t="s">
        <v>14</v>
      </c>
      <c r="H102" s="2" t="s">
        <v>21</v>
      </c>
      <c r="I102" s="2" t="s">
        <v>22</v>
      </c>
      <c r="J102" s="2" t="s">
        <v>17</v>
      </c>
    </row>
    <row r="103" spans="1:10" x14ac:dyDescent="0.3">
      <c r="A103" s="2" t="s">
        <v>129</v>
      </c>
      <c r="B103" s="2" t="s">
        <v>35</v>
      </c>
      <c r="C103" s="2" t="s">
        <v>12</v>
      </c>
      <c r="D103" s="2">
        <v>1</v>
      </c>
      <c r="E103" s="2">
        <v>8498773128</v>
      </c>
      <c r="F103" s="2" t="s">
        <v>19</v>
      </c>
      <c r="G103" s="2" t="s">
        <v>14</v>
      </c>
      <c r="H103" s="2" t="s">
        <v>21</v>
      </c>
      <c r="I103" s="2" t="s">
        <v>22</v>
      </c>
      <c r="J103" s="2" t="s">
        <v>17</v>
      </c>
    </row>
    <row r="104" spans="1:10" x14ac:dyDescent="0.3">
      <c r="A104" s="2" t="s">
        <v>130</v>
      </c>
      <c r="B104" s="2" t="s">
        <v>32</v>
      </c>
      <c r="C104" s="2" t="s">
        <v>43</v>
      </c>
      <c r="D104" s="2">
        <v>7</v>
      </c>
      <c r="E104" s="2">
        <v>6859661098</v>
      </c>
      <c r="F104" s="2" t="s">
        <v>13</v>
      </c>
      <c r="G104" s="2" t="s">
        <v>20</v>
      </c>
      <c r="H104" s="2" t="s">
        <v>21</v>
      </c>
      <c r="I104" s="2" t="s">
        <v>29</v>
      </c>
      <c r="J104" s="2" t="s">
        <v>23</v>
      </c>
    </row>
    <row r="105" spans="1:10" x14ac:dyDescent="0.3">
      <c r="A105" s="2" t="s">
        <v>131</v>
      </c>
      <c r="B105" s="2" t="s">
        <v>25</v>
      </c>
      <c r="C105" s="2" t="s">
        <v>36</v>
      </c>
      <c r="D105" s="2">
        <v>5</v>
      </c>
      <c r="E105" s="2">
        <v>9734558695</v>
      </c>
      <c r="F105" s="2" t="s">
        <v>19</v>
      </c>
      <c r="G105" s="2" t="s">
        <v>14</v>
      </c>
      <c r="H105" s="2" t="s">
        <v>21</v>
      </c>
      <c r="I105" s="2" t="s">
        <v>29</v>
      </c>
      <c r="J105" s="2" t="s">
        <v>22</v>
      </c>
    </row>
    <row r="106" spans="1:10" x14ac:dyDescent="0.3">
      <c r="A106" s="2" t="s">
        <v>132</v>
      </c>
      <c r="B106" s="2" t="s">
        <v>11</v>
      </c>
      <c r="C106" s="2" t="s">
        <v>26</v>
      </c>
      <c r="D106" s="2">
        <v>3</v>
      </c>
      <c r="E106" s="2">
        <v>6157105091</v>
      </c>
      <c r="F106" s="2" t="s">
        <v>19</v>
      </c>
      <c r="G106" s="2" t="s">
        <v>14</v>
      </c>
      <c r="H106" s="2" t="s">
        <v>21</v>
      </c>
      <c r="I106" s="2" t="s">
        <v>22</v>
      </c>
      <c r="J106" s="2" t="s">
        <v>17</v>
      </c>
    </row>
    <row r="107" spans="1:10" x14ac:dyDescent="0.3">
      <c r="A107" s="2" t="s">
        <v>133</v>
      </c>
      <c r="B107" s="2" t="s">
        <v>32</v>
      </c>
      <c r="C107" s="2" t="s">
        <v>43</v>
      </c>
      <c r="D107" s="2">
        <v>7</v>
      </c>
      <c r="E107" s="2">
        <v>9448379542</v>
      </c>
      <c r="F107" s="2" t="s">
        <v>13</v>
      </c>
      <c r="G107" s="2" t="s">
        <v>20</v>
      </c>
      <c r="H107" s="2" t="s">
        <v>15</v>
      </c>
      <c r="I107" s="2" t="s">
        <v>27</v>
      </c>
      <c r="J107" s="2" t="s">
        <v>22</v>
      </c>
    </row>
    <row r="108" spans="1:10" x14ac:dyDescent="0.3">
      <c r="A108" s="2" t="s">
        <v>134</v>
      </c>
      <c r="B108" s="2" t="s">
        <v>32</v>
      </c>
      <c r="C108" s="2" t="s">
        <v>36</v>
      </c>
      <c r="D108" s="2">
        <v>7</v>
      </c>
      <c r="E108" s="2">
        <v>6178349156</v>
      </c>
      <c r="F108" s="2" t="s">
        <v>19</v>
      </c>
      <c r="G108" s="2" t="s">
        <v>14</v>
      </c>
      <c r="H108" s="2" t="s">
        <v>15</v>
      </c>
      <c r="I108" s="2" t="s">
        <v>29</v>
      </c>
      <c r="J108" s="2" t="s">
        <v>17</v>
      </c>
    </row>
    <row r="109" spans="1:10" x14ac:dyDescent="0.3">
      <c r="A109" s="2" t="s">
        <v>135</v>
      </c>
      <c r="B109" s="2" t="s">
        <v>11</v>
      </c>
      <c r="C109" s="2" t="s">
        <v>33</v>
      </c>
      <c r="D109" s="2">
        <v>3</v>
      </c>
      <c r="E109" s="2">
        <v>8850593444</v>
      </c>
      <c r="F109" s="2" t="s">
        <v>13</v>
      </c>
      <c r="G109" s="2" t="s">
        <v>20</v>
      </c>
      <c r="H109" s="2" t="s">
        <v>15</v>
      </c>
      <c r="I109" s="2" t="s">
        <v>22</v>
      </c>
      <c r="J109" s="2" t="s">
        <v>22</v>
      </c>
    </row>
    <row r="110" spans="1:10" x14ac:dyDescent="0.3">
      <c r="A110" s="2" t="s">
        <v>136</v>
      </c>
      <c r="B110" s="2" t="s">
        <v>35</v>
      </c>
      <c r="C110" s="2" t="s">
        <v>43</v>
      </c>
      <c r="D110" s="2">
        <v>1</v>
      </c>
      <c r="E110" s="2">
        <v>7540656138</v>
      </c>
      <c r="F110" s="2" t="s">
        <v>19</v>
      </c>
      <c r="G110" s="2" t="s">
        <v>20</v>
      </c>
      <c r="H110" s="2" t="s">
        <v>21</v>
      </c>
      <c r="I110" s="2" t="s">
        <v>22</v>
      </c>
      <c r="J110" s="2" t="s">
        <v>23</v>
      </c>
    </row>
    <row r="111" spans="1:10" x14ac:dyDescent="0.3">
      <c r="A111" s="2" t="s">
        <v>137</v>
      </c>
      <c r="B111" s="2" t="s">
        <v>35</v>
      </c>
      <c r="C111" s="2" t="s">
        <v>36</v>
      </c>
      <c r="D111" s="2">
        <v>1</v>
      </c>
      <c r="E111" s="2">
        <v>7415594741</v>
      </c>
      <c r="F111" s="2" t="s">
        <v>13</v>
      </c>
      <c r="G111" s="2" t="s">
        <v>20</v>
      </c>
      <c r="H111" s="2" t="s">
        <v>21</v>
      </c>
      <c r="I111" s="2" t="s">
        <v>29</v>
      </c>
      <c r="J111" s="2" t="s">
        <v>22</v>
      </c>
    </row>
    <row r="112" spans="1:10" x14ac:dyDescent="0.3">
      <c r="A112" s="2" t="s">
        <v>138</v>
      </c>
      <c r="B112" s="2" t="s">
        <v>35</v>
      </c>
      <c r="C112" s="2" t="s">
        <v>12</v>
      </c>
      <c r="D112" s="2">
        <v>1</v>
      </c>
      <c r="E112" s="2">
        <v>9145866386</v>
      </c>
      <c r="F112" s="2" t="s">
        <v>19</v>
      </c>
      <c r="G112" s="2" t="s">
        <v>14</v>
      </c>
      <c r="H112" s="2" t="s">
        <v>21</v>
      </c>
      <c r="I112" s="2" t="s">
        <v>29</v>
      </c>
      <c r="J112" s="2" t="s">
        <v>22</v>
      </c>
    </row>
    <row r="113" spans="1:10" x14ac:dyDescent="0.3">
      <c r="A113" s="2" t="s">
        <v>139</v>
      </c>
      <c r="B113" s="2" t="s">
        <v>11</v>
      </c>
      <c r="C113" s="2" t="s">
        <v>36</v>
      </c>
      <c r="D113" s="2">
        <v>3</v>
      </c>
      <c r="E113" s="2">
        <v>7125620888</v>
      </c>
      <c r="F113" s="2" t="s">
        <v>19</v>
      </c>
      <c r="G113" s="2" t="s">
        <v>14</v>
      </c>
      <c r="H113" s="2" t="s">
        <v>21</v>
      </c>
      <c r="I113" s="2" t="s">
        <v>29</v>
      </c>
      <c r="J113" s="2" t="s">
        <v>23</v>
      </c>
    </row>
    <row r="114" spans="1:10" x14ac:dyDescent="0.3">
      <c r="A114" s="2" t="s">
        <v>140</v>
      </c>
      <c r="B114" s="2" t="s">
        <v>32</v>
      </c>
      <c r="C114" s="2" t="s">
        <v>36</v>
      </c>
      <c r="D114" s="2">
        <v>7</v>
      </c>
      <c r="E114" s="2">
        <v>8454879720</v>
      </c>
      <c r="F114" s="2" t="s">
        <v>13</v>
      </c>
      <c r="G114" s="2" t="s">
        <v>14</v>
      </c>
      <c r="H114" s="2" t="s">
        <v>15</v>
      </c>
      <c r="I114" s="2" t="s">
        <v>41</v>
      </c>
      <c r="J114" s="2" t="s">
        <v>23</v>
      </c>
    </row>
    <row r="115" spans="1:10" x14ac:dyDescent="0.3">
      <c r="A115" s="2" t="s">
        <v>140</v>
      </c>
      <c r="B115" s="2" t="s">
        <v>11</v>
      </c>
      <c r="C115" s="2" t="s">
        <v>36</v>
      </c>
      <c r="D115" s="2">
        <v>3</v>
      </c>
      <c r="E115" s="2">
        <v>6223507926</v>
      </c>
      <c r="F115" s="2" t="s">
        <v>19</v>
      </c>
      <c r="G115" s="2" t="s">
        <v>14</v>
      </c>
      <c r="H115" s="2" t="s">
        <v>15</v>
      </c>
      <c r="I115" s="2" t="s">
        <v>41</v>
      </c>
      <c r="J115" s="2" t="s">
        <v>22</v>
      </c>
    </row>
    <row r="116" spans="1:10" x14ac:dyDescent="0.3">
      <c r="A116" s="2" t="s">
        <v>141</v>
      </c>
      <c r="B116" s="2" t="s">
        <v>11</v>
      </c>
      <c r="C116" s="2" t="s">
        <v>33</v>
      </c>
      <c r="D116" s="2">
        <v>3</v>
      </c>
      <c r="E116" s="2">
        <v>7276354356</v>
      </c>
      <c r="F116" s="2" t="s">
        <v>13</v>
      </c>
      <c r="G116" s="2" t="s">
        <v>14</v>
      </c>
      <c r="H116" s="2" t="s">
        <v>15</v>
      </c>
      <c r="I116" s="2" t="s">
        <v>41</v>
      </c>
      <c r="J116" s="2" t="s">
        <v>22</v>
      </c>
    </row>
    <row r="117" spans="1:10" x14ac:dyDescent="0.3">
      <c r="A117" s="2" t="s">
        <v>142</v>
      </c>
      <c r="B117" s="2" t="s">
        <v>11</v>
      </c>
      <c r="C117" s="2" t="s">
        <v>36</v>
      </c>
      <c r="D117" s="2">
        <v>3</v>
      </c>
      <c r="E117" s="2">
        <v>6250787339</v>
      </c>
      <c r="F117" s="2" t="s">
        <v>19</v>
      </c>
      <c r="G117" s="2" t="s">
        <v>14</v>
      </c>
      <c r="H117" s="2" t="s">
        <v>15</v>
      </c>
      <c r="I117" s="2" t="s">
        <v>27</v>
      </c>
      <c r="J117" s="2" t="s">
        <v>23</v>
      </c>
    </row>
    <row r="118" spans="1:10" x14ac:dyDescent="0.3">
      <c r="A118" s="2" t="s">
        <v>143</v>
      </c>
      <c r="B118" s="2" t="s">
        <v>25</v>
      </c>
      <c r="C118" s="2" t="s">
        <v>12</v>
      </c>
      <c r="D118" s="2">
        <v>5</v>
      </c>
      <c r="E118" s="2">
        <v>9353099314</v>
      </c>
      <c r="F118" s="2" t="s">
        <v>19</v>
      </c>
      <c r="G118" s="2" t="s">
        <v>20</v>
      </c>
      <c r="H118" s="2" t="s">
        <v>15</v>
      </c>
      <c r="I118" s="2" t="s">
        <v>27</v>
      </c>
      <c r="J118" s="2" t="s">
        <v>17</v>
      </c>
    </row>
    <row r="119" spans="1:10" x14ac:dyDescent="0.3">
      <c r="A119" s="2" t="s">
        <v>144</v>
      </c>
      <c r="B119" s="2" t="s">
        <v>35</v>
      </c>
      <c r="C119" s="2" t="s">
        <v>33</v>
      </c>
      <c r="D119" s="2">
        <v>1</v>
      </c>
      <c r="E119" s="2">
        <v>9328278943</v>
      </c>
      <c r="F119" s="2" t="s">
        <v>19</v>
      </c>
      <c r="G119" s="2" t="s">
        <v>20</v>
      </c>
      <c r="H119" s="2" t="s">
        <v>21</v>
      </c>
      <c r="I119" s="2" t="s">
        <v>27</v>
      </c>
      <c r="J119" s="2" t="s">
        <v>23</v>
      </c>
    </row>
    <row r="120" spans="1:10" x14ac:dyDescent="0.3">
      <c r="A120" s="2" t="s">
        <v>145</v>
      </c>
      <c r="B120" s="2" t="s">
        <v>25</v>
      </c>
      <c r="C120" s="2" t="s">
        <v>26</v>
      </c>
      <c r="D120" s="2">
        <v>5</v>
      </c>
      <c r="E120" s="2">
        <v>8859283949</v>
      </c>
      <c r="F120" s="2" t="s">
        <v>19</v>
      </c>
      <c r="G120" s="2" t="s">
        <v>20</v>
      </c>
      <c r="H120" s="2" t="s">
        <v>15</v>
      </c>
      <c r="I120" s="2" t="s">
        <v>37</v>
      </c>
      <c r="J120" s="2" t="s">
        <v>22</v>
      </c>
    </row>
    <row r="121" spans="1:10" x14ac:dyDescent="0.3">
      <c r="A121" s="2" t="s">
        <v>146</v>
      </c>
      <c r="B121" s="2" t="s">
        <v>11</v>
      </c>
      <c r="C121" s="2" t="s">
        <v>12</v>
      </c>
      <c r="D121" s="2">
        <v>3</v>
      </c>
      <c r="E121" s="2">
        <v>7025327456</v>
      </c>
      <c r="F121" s="2" t="s">
        <v>13</v>
      </c>
      <c r="G121" s="2" t="s">
        <v>20</v>
      </c>
      <c r="H121" s="2" t="s">
        <v>15</v>
      </c>
      <c r="I121" s="2" t="s">
        <v>16</v>
      </c>
      <c r="J121" s="2" t="s">
        <v>22</v>
      </c>
    </row>
    <row r="122" spans="1:10" x14ac:dyDescent="0.3">
      <c r="A122" s="2" t="s">
        <v>147</v>
      </c>
      <c r="B122" s="2" t="s">
        <v>25</v>
      </c>
      <c r="C122" s="2" t="s">
        <v>26</v>
      </c>
      <c r="D122" s="2">
        <v>5</v>
      </c>
      <c r="E122" s="2">
        <v>8908130483</v>
      </c>
      <c r="F122" s="2" t="s">
        <v>13</v>
      </c>
      <c r="G122" s="2" t="s">
        <v>14</v>
      </c>
      <c r="H122" s="2" t="s">
        <v>15</v>
      </c>
      <c r="I122" s="2" t="s">
        <v>41</v>
      </c>
      <c r="J122" s="2" t="s">
        <v>17</v>
      </c>
    </row>
    <row r="123" spans="1:10" x14ac:dyDescent="0.3">
      <c r="A123" s="2" t="s">
        <v>148</v>
      </c>
      <c r="B123" s="2" t="s">
        <v>11</v>
      </c>
      <c r="C123" s="2" t="s">
        <v>12</v>
      </c>
      <c r="D123" s="2">
        <v>3</v>
      </c>
      <c r="E123" s="2">
        <v>9647080659</v>
      </c>
      <c r="F123" s="2" t="s">
        <v>19</v>
      </c>
      <c r="G123" s="2" t="s">
        <v>14</v>
      </c>
      <c r="H123" s="2" t="s">
        <v>21</v>
      </c>
      <c r="I123" s="2" t="s">
        <v>22</v>
      </c>
      <c r="J123" s="2" t="s">
        <v>23</v>
      </c>
    </row>
    <row r="124" spans="1:10" x14ac:dyDescent="0.3">
      <c r="A124" s="2" t="s">
        <v>149</v>
      </c>
      <c r="B124" s="2" t="s">
        <v>11</v>
      </c>
      <c r="C124" s="2" t="s">
        <v>43</v>
      </c>
      <c r="D124" s="2">
        <v>3</v>
      </c>
      <c r="E124" s="2">
        <v>7637570444</v>
      </c>
      <c r="F124" s="2" t="s">
        <v>19</v>
      </c>
      <c r="G124" s="2" t="s">
        <v>14</v>
      </c>
      <c r="H124" s="2" t="s">
        <v>21</v>
      </c>
      <c r="I124" s="2" t="s">
        <v>41</v>
      </c>
      <c r="J124" s="2" t="s">
        <v>22</v>
      </c>
    </row>
    <row r="125" spans="1:10" x14ac:dyDescent="0.3">
      <c r="A125" s="2" t="s">
        <v>150</v>
      </c>
      <c r="B125" s="2" t="s">
        <v>11</v>
      </c>
      <c r="C125" s="2" t="s">
        <v>43</v>
      </c>
      <c r="D125" s="2">
        <v>3</v>
      </c>
      <c r="E125" s="2">
        <v>8293855360</v>
      </c>
      <c r="F125" s="2" t="s">
        <v>19</v>
      </c>
      <c r="G125" s="2" t="s">
        <v>20</v>
      </c>
      <c r="H125" s="2" t="s">
        <v>15</v>
      </c>
      <c r="I125" s="2" t="s">
        <v>22</v>
      </c>
      <c r="J125" s="2" t="s">
        <v>22</v>
      </c>
    </row>
    <row r="126" spans="1:10" x14ac:dyDescent="0.3">
      <c r="A126" s="2" t="s">
        <v>151</v>
      </c>
      <c r="B126" s="2" t="s">
        <v>11</v>
      </c>
      <c r="C126" s="2" t="s">
        <v>33</v>
      </c>
      <c r="D126" s="2">
        <v>3</v>
      </c>
      <c r="E126" s="2">
        <v>8653670336</v>
      </c>
      <c r="F126" s="2" t="s">
        <v>19</v>
      </c>
      <c r="G126" s="2" t="s">
        <v>20</v>
      </c>
      <c r="H126" s="2" t="s">
        <v>15</v>
      </c>
      <c r="I126" s="2" t="s">
        <v>41</v>
      </c>
      <c r="J126" s="2" t="s">
        <v>17</v>
      </c>
    </row>
    <row r="127" spans="1:10" x14ac:dyDescent="0.3">
      <c r="A127" s="2" t="s">
        <v>152</v>
      </c>
      <c r="B127" s="2" t="s">
        <v>32</v>
      </c>
      <c r="C127" s="2" t="s">
        <v>26</v>
      </c>
      <c r="D127" s="2">
        <v>7</v>
      </c>
      <c r="E127" s="2">
        <v>6384894424</v>
      </c>
      <c r="F127" s="2" t="s">
        <v>13</v>
      </c>
      <c r="G127" s="2" t="s">
        <v>20</v>
      </c>
      <c r="H127" s="2" t="s">
        <v>15</v>
      </c>
      <c r="I127" s="2" t="s">
        <v>37</v>
      </c>
      <c r="J127" s="2" t="s">
        <v>17</v>
      </c>
    </row>
    <row r="128" spans="1:10" x14ac:dyDescent="0.3">
      <c r="A128" s="2" t="s">
        <v>153</v>
      </c>
      <c r="B128" s="2" t="s">
        <v>25</v>
      </c>
      <c r="C128" s="2" t="s">
        <v>12</v>
      </c>
      <c r="D128" s="2">
        <v>5</v>
      </c>
      <c r="E128" s="2">
        <v>8451262589</v>
      </c>
      <c r="F128" s="2" t="s">
        <v>19</v>
      </c>
      <c r="G128" s="2" t="s">
        <v>14</v>
      </c>
      <c r="H128" s="2" t="s">
        <v>15</v>
      </c>
      <c r="I128" s="2" t="s">
        <v>41</v>
      </c>
      <c r="J128" s="2" t="s">
        <v>17</v>
      </c>
    </row>
    <row r="129" spans="1:10" x14ac:dyDescent="0.3">
      <c r="A129" s="2" t="s">
        <v>154</v>
      </c>
      <c r="B129" s="2" t="s">
        <v>32</v>
      </c>
      <c r="C129" s="2" t="s">
        <v>43</v>
      </c>
      <c r="D129" s="2">
        <v>7</v>
      </c>
      <c r="E129" s="2">
        <v>9047283200</v>
      </c>
      <c r="F129" s="2" t="s">
        <v>13</v>
      </c>
      <c r="G129" s="2" t="s">
        <v>20</v>
      </c>
      <c r="H129" s="2" t="s">
        <v>15</v>
      </c>
      <c r="I129" s="2" t="s">
        <v>41</v>
      </c>
      <c r="J129" s="2" t="s">
        <v>17</v>
      </c>
    </row>
    <row r="130" spans="1:10" x14ac:dyDescent="0.3">
      <c r="A130" s="2" t="s">
        <v>155</v>
      </c>
      <c r="B130" s="2" t="s">
        <v>25</v>
      </c>
      <c r="C130" s="2" t="s">
        <v>12</v>
      </c>
      <c r="D130" s="2">
        <v>5</v>
      </c>
      <c r="E130" s="2">
        <v>7496307145</v>
      </c>
      <c r="F130" s="2" t="s">
        <v>13</v>
      </c>
      <c r="G130" s="2" t="s">
        <v>14</v>
      </c>
      <c r="H130" s="2" t="s">
        <v>15</v>
      </c>
      <c r="I130" s="2" t="s">
        <v>37</v>
      </c>
      <c r="J130" s="2" t="s">
        <v>23</v>
      </c>
    </row>
    <row r="131" spans="1:10" x14ac:dyDescent="0.3">
      <c r="A131" s="2" t="s">
        <v>156</v>
      </c>
      <c r="B131" s="2" t="s">
        <v>35</v>
      </c>
      <c r="C131" s="2" t="s">
        <v>33</v>
      </c>
      <c r="D131" s="2">
        <v>1</v>
      </c>
      <c r="E131" s="2">
        <v>6238874101</v>
      </c>
      <c r="F131" s="2" t="s">
        <v>19</v>
      </c>
      <c r="G131" s="2" t="s">
        <v>14</v>
      </c>
      <c r="H131" s="2" t="s">
        <v>15</v>
      </c>
      <c r="I131" s="2" t="s">
        <v>37</v>
      </c>
      <c r="J131" s="2" t="s">
        <v>23</v>
      </c>
    </row>
    <row r="132" spans="1:10" x14ac:dyDescent="0.3">
      <c r="A132" s="2" t="s">
        <v>157</v>
      </c>
      <c r="B132" s="2" t="s">
        <v>35</v>
      </c>
      <c r="C132" s="2" t="s">
        <v>43</v>
      </c>
      <c r="D132" s="2">
        <v>1</v>
      </c>
      <c r="E132" s="2">
        <v>9755659587</v>
      </c>
      <c r="F132" s="2" t="s">
        <v>19</v>
      </c>
      <c r="G132" s="2" t="s">
        <v>14</v>
      </c>
      <c r="H132" s="2" t="s">
        <v>21</v>
      </c>
      <c r="I132" s="2" t="s">
        <v>22</v>
      </c>
      <c r="J132" s="2" t="s">
        <v>17</v>
      </c>
    </row>
    <row r="133" spans="1:10" x14ac:dyDescent="0.3">
      <c r="A133" s="2" t="s">
        <v>158</v>
      </c>
      <c r="B133" s="2" t="s">
        <v>35</v>
      </c>
      <c r="C133" s="2" t="s">
        <v>12</v>
      </c>
      <c r="D133" s="2">
        <v>1</v>
      </c>
      <c r="E133" s="2">
        <v>7600829031</v>
      </c>
      <c r="F133" s="2" t="s">
        <v>19</v>
      </c>
      <c r="G133" s="2" t="s">
        <v>14</v>
      </c>
      <c r="H133" s="2" t="s">
        <v>15</v>
      </c>
      <c r="I133" s="2" t="s">
        <v>37</v>
      </c>
      <c r="J133" s="2" t="s">
        <v>23</v>
      </c>
    </row>
    <row r="134" spans="1:10" x14ac:dyDescent="0.3">
      <c r="A134" s="2" t="s">
        <v>159</v>
      </c>
      <c r="B134" s="2" t="s">
        <v>25</v>
      </c>
      <c r="C134" s="2" t="s">
        <v>12</v>
      </c>
      <c r="D134" s="2">
        <v>5</v>
      </c>
      <c r="E134" s="2">
        <v>7811790353</v>
      </c>
      <c r="F134" s="2" t="s">
        <v>19</v>
      </c>
      <c r="G134" s="2" t="s">
        <v>20</v>
      </c>
      <c r="H134" s="2" t="s">
        <v>21</v>
      </c>
      <c r="I134" s="2" t="s">
        <v>27</v>
      </c>
      <c r="J134" s="2" t="s">
        <v>22</v>
      </c>
    </row>
    <row r="135" spans="1:10" x14ac:dyDescent="0.3">
      <c r="A135" s="2" t="s">
        <v>160</v>
      </c>
      <c r="B135" s="2" t="s">
        <v>25</v>
      </c>
      <c r="C135" s="2" t="s">
        <v>12</v>
      </c>
      <c r="D135" s="2">
        <v>5</v>
      </c>
      <c r="E135" s="2">
        <v>6374361460</v>
      </c>
      <c r="F135" s="2" t="s">
        <v>13</v>
      </c>
      <c r="G135" s="2" t="s">
        <v>20</v>
      </c>
      <c r="H135" s="2" t="s">
        <v>21</v>
      </c>
      <c r="I135" s="2" t="s">
        <v>22</v>
      </c>
      <c r="J135" s="2" t="s">
        <v>22</v>
      </c>
    </row>
    <row r="136" spans="1:10" x14ac:dyDescent="0.3">
      <c r="A136" s="2" t="s">
        <v>161</v>
      </c>
      <c r="B136" s="2" t="s">
        <v>25</v>
      </c>
      <c r="C136" s="2" t="s">
        <v>33</v>
      </c>
      <c r="D136" s="2">
        <v>5</v>
      </c>
      <c r="E136" s="2">
        <v>6446944373</v>
      </c>
      <c r="F136" s="2" t="s">
        <v>19</v>
      </c>
      <c r="G136" s="2" t="s">
        <v>20</v>
      </c>
      <c r="H136" s="2" t="s">
        <v>15</v>
      </c>
      <c r="I136" s="2" t="s">
        <v>37</v>
      </c>
      <c r="J136" s="2" t="s">
        <v>22</v>
      </c>
    </row>
    <row r="137" spans="1:10" x14ac:dyDescent="0.3">
      <c r="A137" s="2" t="s">
        <v>162</v>
      </c>
      <c r="B137" s="2" t="s">
        <v>25</v>
      </c>
      <c r="C137" s="2" t="s">
        <v>12</v>
      </c>
      <c r="D137" s="2">
        <v>5</v>
      </c>
      <c r="E137" s="2">
        <v>6744565986</v>
      </c>
      <c r="F137" s="2" t="s">
        <v>13</v>
      </c>
      <c r="G137" s="2" t="s">
        <v>14</v>
      </c>
      <c r="H137" s="2" t="s">
        <v>21</v>
      </c>
      <c r="I137" s="2" t="s">
        <v>41</v>
      </c>
      <c r="J137" s="2" t="s">
        <v>17</v>
      </c>
    </row>
    <row r="138" spans="1:10" x14ac:dyDescent="0.3">
      <c r="A138" s="2" t="s">
        <v>163</v>
      </c>
      <c r="B138" s="2" t="s">
        <v>35</v>
      </c>
      <c r="C138" s="2" t="s">
        <v>33</v>
      </c>
      <c r="D138" s="2">
        <v>1</v>
      </c>
      <c r="E138" s="2">
        <v>8103405826</v>
      </c>
      <c r="F138" s="2" t="s">
        <v>13</v>
      </c>
      <c r="G138" s="2" t="s">
        <v>20</v>
      </c>
      <c r="H138" s="2" t="s">
        <v>15</v>
      </c>
      <c r="I138" s="2" t="s">
        <v>27</v>
      </c>
      <c r="J138" s="2" t="s">
        <v>22</v>
      </c>
    </row>
    <row r="139" spans="1:10" x14ac:dyDescent="0.3">
      <c r="A139" s="2" t="s">
        <v>164</v>
      </c>
      <c r="B139" s="2" t="s">
        <v>11</v>
      </c>
      <c r="C139" s="2" t="s">
        <v>12</v>
      </c>
      <c r="D139" s="2">
        <v>3</v>
      </c>
      <c r="E139" s="2">
        <v>6960751126</v>
      </c>
      <c r="F139" s="2" t="s">
        <v>13</v>
      </c>
      <c r="G139" s="2" t="s">
        <v>14</v>
      </c>
      <c r="H139" s="2" t="s">
        <v>21</v>
      </c>
      <c r="I139" s="2" t="s">
        <v>29</v>
      </c>
      <c r="J139" s="2" t="s">
        <v>17</v>
      </c>
    </row>
    <row r="140" spans="1:10" x14ac:dyDescent="0.3">
      <c r="A140" s="2" t="s">
        <v>165</v>
      </c>
      <c r="B140" s="2" t="s">
        <v>32</v>
      </c>
      <c r="C140" s="2" t="s">
        <v>26</v>
      </c>
      <c r="D140" s="2">
        <v>7</v>
      </c>
      <c r="E140" s="2">
        <v>7907620877</v>
      </c>
      <c r="F140" s="2" t="s">
        <v>19</v>
      </c>
      <c r="G140" s="2" t="s">
        <v>20</v>
      </c>
      <c r="H140" s="2" t="s">
        <v>15</v>
      </c>
      <c r="I140" s="2" t="s">
        <v>41</v>
      </c>
      <c r="J140" s="2" t="s">
        <v>22</v>
      </c>
    </row>
    <row r="141" spans="1:10" x14ac:dyDescent="0.3">
      <c r="A141" s="2" t="s">
        <v>166</v>
      </c>
      <c r="B141" s="2" t="s">
        <v>35</v>
      </c>
      <c r="C141" s="2" t="s">
        <v>36</v>
      </c>
      <c r="D141" s="2">
        <v>1</v>
      </c>
      <c r="E141" s="2">
        <v>9565776106</v>
      </c>
      <c r="F141" s="2" t="s">
        <v>19</v>
      </c>
      <c r="G141" s="2" t="s">
        <v>20</v>
      </c>
      <c r="H141" s="2" t="s">
        <v>15</v>
      </c>
      <c r="I141" s="2" t="s">
        <v>27</v>
      </c>
      <c r="J141" s="2" t="s">
        <v>17</v>
      </c>
    </row>
    <row r="142" spans="1:10" x14ac:dyDescent="0.3">
      <c r="A142" s="2" t="s">
        <v>167</v>
      </c>
      <c r="B142" s="2" t="s">
        <v>11</v>
      </c>
      <c r="C142" s="2" t="s">
        <v>36</v>
      </c>
      <c r="D142" s="2">
        <v>3</v>
      </c>
      <c r="E142" s="2">
        <v>8764974317</v>
      </c>
      <c r="F142" s="2" t="s">
        <v>19</v>
      </c>
      <c r="G142" s="2" t="s">
        <v>20</v>
      </c>
      <c r="H142" s="2" t="s">
        <v>21</v>
      </c>
      <c r="I142" s="2" t="s">
        <v>27</v>
      </c>
      <c r="J142" s="2" t="s">
        <v>22</v>
      </c>
    </row>
    <row r="143" spans="1:10" x14ac:dyDescent="0.3">
      <c r="A143" s="2" t="s">
        <v>168</v>
      </c>
      <c r="B143" s="2" t="s">
        <v>11</v>
      </c>
      <c r="C143" s="2" t="s">
        <v>36</v>
      </c>
      <c r="D143" s="2">
        <v>3</v>
      </c>
      <c r="E143" s="2">
        <v>8614255190</v>
      </c>
      <c r="F143" s="2" t="s">
        <v>13</v>
      </c>
      <c r="G143" s="2" t="s">
        <v>20</v>
      </c>
      <c r="H143" s="2" t="s">
        <v>15</v>
      </c>
      <c r="I143" s="2" t="s">
        <v>41</v>
      </c>
      <c r="J143" s="2" t="s">
        <v>17</v>
      </c>
    </row>
    <row r="144" spans="1:10" x14ac:dyDescent="0.3">
      <c r="A144" s="2" t="s">
        <v>169</v>
      </c>
      <c r="B144" s="2" t="s">
        <v>11</v>
      </c>
      <c r="C144" s="2" t="s">
        <v>33</v>
      </c>
      <c r="D144" s="2">
        <v>3</v>
      </c>
      <c r="E144" s="2">
        <v>7075735790</v>
      </c>
      <c r="F144" s="2" t="s">
        <v>13</v>
      </c>
      <c r="G144" s="2" t="s">
        <v>20</v>
      </c>
      <c r="H144" s="2" t="s">
        <v>21</v>
      </c>
      <c r="I144" s="2" t="s">
        <v>27</v>
      </c>
      <c r="J144" s="2" t="s">
        <v>23</v>
      </c>
    </row>
    <row r="145" spans="1:10" x14ac:dyDescent="0.3">
      <c r="A145" s="2" t="s">
        <v>170</v>
      </c>
      <c r="B145" s="2" t="s">
        <v>35</v>
      </c>
      <c r="C145" s="2" t="s">
        <v>12</v>
      </c>
      <c r="D145" s="2">
        <v>1</v>
      </c>
      <c r="E145" s="2">
        <v>6841136105</v>
      </c>
      <c r="F145" s="2" t="s">
        <v>13</v>
      </c>
      <c r="G145" s="2" t="s">
        <v>20</v>
      </c>
      <c r="H145" s="2" t="s">
        <v>15</v>
      </c>
      <c r="I145" s="2" t="s">
        <v>22</v>
      </c>
      <c r="J145" s="2" t="s">
        <v>17</v>
      </c>
    </row>
    <row r="146" spans="1:10" x14ac:dyDescent="0.3">
      <c r="A146" s="2" t="s">
        <v>171</v>
      </c>
      <c r="B146" s="2" t="s">
        <v>25</v>
      </c>
      <c r="C146" s="2" t="s">
        <v>12</v>
      </c>
      <c r="D146" s="2">
        <v>5</v>
      </c>
      <c r="E146" s="2">
        <v>9879224090</v>
      </c>
      <c r="F146" s="2" t="s">
        <v>13</v>
      </c>
      <c r="G146" s="2" t="s">
        <v>14</v>
      </c>
      <c r="H146" s="2" t="s">
        <v>15</v>
      </c>
      <c r="I146" s="2" t="s">
        <v>41</v>
      </c>
      <c r="J146" s="2" t="s">
        <v>22</v>
      </c>
    </row>
    <row r="147" spans="1:10" x14ac:dyDescent="0.3">
      <c r="A147" s="2" t="s">
        <v>172</v>
      </c>
      <c r="B147" s="2" t="s">
        <v>32</v>
      </c>
      <c r="C147" s="2" t="s">
        <v>43</v>
      </c>
      <c r="D147" s="2">
        <v>7</v>
      </c>
      <c r="E147" s="2">
        <v>7871019475</v>
      </c>
      <c r="F147" s="2" t="s">
        <v>19</v>
      </c>
      <c r="G147" s="2" t="s">
        <v>20</v>
      </c>
      <c r="H147" s="2" t="s">
        <v>15</v>
      </c>
      <c r="I147" s="2" t="s">
        <v>29</v>
      </c>
      <c r="J147" s="2" t="s">
        <v>22</v>
      </c>
    </row>
    <row r="148" spans="1:10" x14ac:dyDescent="0.3">
      <c r="A148" s="2" t="s">
        <v>173</v>
      </c>
      <c r="B148" s="2" t="s">
        <v>25</v>
      </c>
      <c r="C148" s="2" t="s">
        <v>12</v>
      </c>
      <c r="D148" s="2">
        <v>5</v>
      </c>
      <c r="E148" s="2">
        <v>9668771037</v>
      </c>
      <c r="F148" s="2" t="s">
        <v>13</v>
      </c>
      <c r="G148" s="2" t="s">
        <v>14</v>
      </c>
      <c r="H148" s="2" t="s">
        <v>21</v>
      </c>
      <c r="I148" s="2" t="s">
        <v>41</v>
      </c>
      <c r="J148" s="2" t="s">
        <v>17</v>
      </c>
    </row>
    <row r="149" spans="1:10" x14ac:dyDescent="0.3">
      <c r="A149" s="2" t="s">
        <v>174</v>
      </c>
      <c r="B149" s="2" t="s">
        <v>25</v>
      </c>
      <c r="C149" s="2" t="s">
        <v>12</v>
      </c>
      <c r="D149" s="2">
        <v>5</v>
      </c>
      <c r="E149" s="2">
        <v>7203514151</v>
      </c>
      <c r="F149" s="2" t="s">
        <v>13</v>
      </c>
      <c r="G149" s="2" t="s">
        <v>20</v>
      </c>
      <c r="H149" s="2" t="s">
        <v>15</v>
      </c>
      <c r="I149" s="2" t="s">
        <v>41</v>
      </c>
      <c r="J149" s="2" t="s">
        <v>22</v>
      </c>
    </row>
    <row r="150" spans="1:10" x14ac:dyDescent="0.3">
      <c r="A150" s="2" t="s">
        <v>175</v>
      </c>
      <c r="B150" s="2" t="s">
        <v>11</v>
      </c>
      <c r="C150" s="2" t="s">
        <v>12</v>
      </c>
      <c r="D150" s="2">
        <v>3</v>
      </c>
      <c r="E150" s="2">
        <v>9164811063</v>
      </c>
      <c r="F150" s="2" t="s">
        <v>19</v>
      </c>
      <c r="G150" s="2" t="s">
        <v>20</v>
      </c>
      <c r="H150" s="2" t="s">
        <v>15</v>
      </c>
      <c r="I150" s="2" t="s">
        <v>22</v>
      </c>
      <c r="J150" s="2" t="s">
        <v>22</v>
      </c>
    </row>
    <row r="151" spans="1:10" x14ac:dyDescent="0.3">
      <c r="A151" s="2" t="s">
        <v>176</v>
      </c>
      <c r="B151" s="2" t="s">
        <v>32</v>
      </c>
      <c r="C151" s="2" t="s">
        <v>36</v>
      </c>
      <c r="D151" s="2">
        <v>7</v>
      </c>
      <c r="E151" s="2">
        <v>8671471316</v>
      </c>
      <c r="F151" s="2" t="s">
        <v>13</v>
      </c>
      <c r="G151" s="2" t="s">
        <v>20</v>
      </c>
      <c r="H151" s="2" t="s">
        <v>15</v>
      </c>
      <c r="I151" s="2" t="s">
        <v>22</v>
      </c>
      <c r="J151" s="2" t="s">
        <v>22</v>
      </c>
    </row>
    <row r="152" spans="1:10" x14ac:dyDescent="0.3">
      <c r="A152" s="2" t="s">
        <v>177</v>
      </c>
      <c r="B152" s="2" t="s">
        <v>11</v>
      </c>
      <c r="C152" s="2" t="s">
        <v>26</v>
      </c>
      <c r="D152" s="2">
        <v>3</v>
      </c>
      <c r="E152" s="2">
        <v>7270688568</v>
      </c>
      <c r="F152" s="2" t="s">
        <v>13</v>
      </c>
      <c r="G152" s="2" t="s">
        <v>14</v>
      </c>
      <c r="H152" s="2" t="s">
        <v>21</v>
      </c>
      <c r="I152" s="2" t="s">
        <v>16</v>
      </c>
      <c r="J152" s="2" t="s">
        <v>22</v>
      </c>
    </row>
    <row r="153" spans="1:10" x14ac:dyDescent="0.3">
      <c r="A153" s="2" t="s">
        <v>178</v>
      </c>
      <c r="B153" s="2" t="s">
        <v>35</v>
      </c>
      <c r="C153" s="2" t="s">
        <v>36</v>
      </c>
      <c r="D153" s="2">
        <v>1</v>
      </c>
      <c r="E153" s="2">
        <v>7068670117</v>
      </c>
      <c r="F153" s="2" t="s">
        <v>13</v>
      </c>
      <c r="G153" s="2" t="s">
        <v>20</v>
      </c>
      <c r="H153" s="2" t="s">
        <v>15</v>
      </c>
      <c r="I153" s="2" t="s">
        <v>22</v>
      </c>
      <c r="J153" s="2" t="s">
        <v>17</v>
      </c>
    </row>
    <row r="154" spans="1:10" x14ac:dyDescent="0.3">
      <c r="A154" s="2" t="s">
        <v>179</v>
      </c>
      <c r="B154" s="2" t="s">
        <v>11</v>
      </c>
      <c r="C154" s="2" t="s">
        <v>43</v>
      </c>
      <c r="D154" s="2">
        <v>3</v>
      </c>
      <c r="E154" s="2">
        <v>9700700797</v>
      </c>
      <c r="F154" s="2" t="s">
        <v>13</v>
      </c>
      <c r="G154" s="2" t="s">
        <v>14</v>
      </c>
      <c r="H154" s="2" t="s">
        <v>21</v>
      </c>
      <c r="I154" s="2" t="s">
        <v>41</v>
      </c>
      <c r="J154" s="2" t="s">
        <v>17</v>
      </c>
    </row>
    <row r="155" spans="1:10" x14ac:dyDescent="0.3">
      <c r="A155" s="2" t="s">
        <v>180</v>
      </c>
      <c r="B155" s="2" t="s">
        <v>35</v>
      </c>
      <c r="C155" s="2" t="s">
        <v>12</v>
      </c>
      <c r="D155" s="2">
        <v>1</v>
      </c>
      <c r="E155" s="2">
        <v>7314717194</v>
      </c>
      <c r="F155" s="2" t="s">
        <v>19</v>
      </c>
      <c r="G155" s="2" t="s">
        <v>20</v>
      </c>
      <c r="H155" s="2" t="s">
        <v>21</v>
      </c>
      <c r="I155" s="2" t="s">
        <v>29</v>
      </c>
      <c r="J155" s="2" t="s">
        <v>22</v>
      </c>
    </row>
    <row r="156" spans="1:10" x14ac:dyDescent="0.3">
      <c r="A156" s="2" t="s">
        <v>181</v>
      </c>
      <c r="B156" s="2" t="s">
        <v>11</v>
      </c>
      <c r="C156" s="2" t="s">
        <v>26</v>
      </c>
      <c r="D156" s="2">
        <v>3</v>
      </c>
      <c r="E156" s="2">
        <v>7334286231</v>
      </c>
      <c r="F156" s="2" t="s">
        <v>19</v>
      </c>
      <c r="G156" s="2" t="s">
        <v>20</v>
      </c>
      <c r="H156" s="2" t="s">
        <v>15</v>
      </c>
      <c r="I156" s="2" t="s">
        <v>22</v>
      </c>
      <c r="J156" s="2" t="s">
        <v>22</v>
      </c>
    </row>
    <row r="157" spans="1:10" x14ac:dyDescent="0.3">
      <c r="A157" s="2" t="s">
        <v>182</v>
      </c>
      <c r="B157" s="2" t="s">
        <v>11</v>
      </c>
      <c r="C157" s="2" t="s">
        <v>26</v>
      </c>
      <c r="D157" s="2">
        <v>3</v>
      </c>
      <c r="E157" s="2">
        <v>6591128066</v>
      </c>
      <c r="F157" s="2" t="s">
        <v>13</v>
      </c>
      <c r="G157" s="2" t="s">
        <v>20</v>
      </c>
      <c r="H157" s="2" t="s">
        <v>15</v>
      </c>
      <c r="I157" s="2" t="s">
        <v>27</v>
      </c>
      <c r="J157" s="2" t="s">
        <v>22</v>
      </c>
    </row>
    <row r="158" spans="1:10" x14ac:dyDescent="0.3">
      <c r="A158" s="2" t="s">
        <v>183</v>
      </c>
      <c r="B158" s="2" t="s">
        <v>35</v>
      </c>
      <c r="C158" s="2" t="s">
        <v>43</v>
      </c>
      <c r="D158" s="2">
        <v>1</v>
      </c>
      <c r="E158" s="2">
        <v>6063070983</v>
      </c>
      <c r="F158" s="2" t="s">
        <v>19</v>
      </c>
      <c r="G158" s="2" t="s">
        <v>14</v>
      </c>
      <c r="H158" s="2" t="s">
        <v>15</v>
      </c>
      <c r="I158" s="2" t="s">
        <v>27</v>
      </c>
      <c r="J158" s="2" t="s">
        <v>22</v>
      </c>
    </row>
    <row r="159" spans="1:10" x14ac:dyDescent="0.3">
      <c r="A159" s="2" t="s">
        <v>184</v>
      </c>
      <c r="B159" s="2" t="s">
        <v>11</v>
      </c>
      <c r="C159" s="2" t="s">
        <v>36</v>
      </c>
      <c r="D159" s="2">
        <v>3</v>
      </c>
      <c r="E159" s="2">
        <v>9407431266</v>
      </c>
      <c r="F159" s="2" t="s">
        <v>19</v>
      </c>
      <c r="G159" s="2" t="s">
        <v>20</v>
      </c>
      <c r="H159" s="2" t="s">
        <v>15</v>
      </c>
      <c r="I159" s="2" t="s">
        <v>29</v>
      </c>
      <c r="J159" s="2" t="s">
        <v>23</v>
      </c>
    </row>
    <row r="160" spans="1:10" x14ac:dyDescent="0.3">
      <c r="A160" s="2" t="s">
        <v>185</v>
      </c>
      <c r="B160" s="2" t="s">
        <v>25</v>
      </c>
      <c r="C160" s="2" t="s">
        <v>36</v>
      </c>
      <c r="D160" s="2">
        <v>5</v>
      </c>
      <c r="E160" s="2">
        <v>8273697068</v>
      </c>
      <c r="F160" s="2" t="s">
        <v>13</v>
      </c>
      <c r="G160" s="2" t="s">
        <v>14</v>
      </c>
      <c r="H160" s="2" t="s">
        <v>21</v>
      </c>
      <c r="I160" s="2" t="s">
        <v>29</v>
      </c>
      <c r="J160" s="2" t="s">
        <v>23</v>
      </c>
    </row>
    <row r="161" spans="1:10" x14ac:dyDescent="0.3">
      <c r="A161" s="2" t="s">
        <v>186</v>
      </c>
      <c r="B161" s="2" t="s">
        <v>11</v>
      </c>
      <c r="C161" s="2" t="s">
        <v>36</v>
      </c>
      <c r="D161" s="2">
        <v>3</v>
      </c>
      <c r="E161" s="2">
        <v>9879545883</v>
      </c>
      <c r="F161" s="2" t="s">
        <v>19</v>
      </c>
      <c r="G161" s="2" t="s">
        <v>20</v>
      </c>
      <c r="H161" s="2" t="s">
        <v>21</v>
      </c>
      <c r="I161" s="2" t="s">
        <v>22</v>
      </c>
      <c r="J161" s="2" t="s">
        <v>17</v>
      </c>
    </row>
    <row r="162" spans="1:10" x14ac:dyDescent="0.3">
      <c r="A162" s="2" t="s">
        <v>187</v>
      </c>
      <c r="B162" s="2" t="s">
        <v>35</v>
      </c>
      <c r="C162" s="2" t="s">
        <v>33</v>
      </c>
      <c r="D162" s="2">
        <v>1</v>
      </c>
      <c r="E162" s="2">
        <v>6954326748</v>
      </c>
      <c r="F162" s="2" t="s">
        <v>19</v>
      </c>
      <c r="G162" s="2" t="s">
        <v>20</v>
      </c>
      <c r="H162" s="2" t="s">
        <v>15</v>
      </c>
      <c r="I162" s="2" t="s">
        <v>29</v>
      </c>
      <c r="J162" s="2" t="s">
        <v>23</v>
      </c>
    </row>
    <row r="163" spans="1:10" x14ac:dyDescent="0.3">
      <c r="A163" s="2" t="s">
        <v>188</v>
      </c>
      <c r="B163" s="2" t="s">
        <v>25</v>
      </c>
      <c r="C163" s="2" t="s">
        <v>36</v>
      </c>
      <c r="D163" s="2">
        <v>5</v>
      </c>
      <c r="E163" s="2">
        <v>8606376171</v>
      </c>
      <c r="F163" s="2" t="s">
        <v>19</v>
      </c>
      <c r="G163" s="2" t="s">
        <v>20</v>
      </c>
      <c r="H163" s="2" t="s">
        <v>15</v>
      </c>
      <c r="I163" s="2" t="s">
        <v>29</v>
      </c>
      <c r="J163" s="2" t="s">
        <v>23</v>
      </c>
    </row>
    <row r="164" spans="1:10" x14ac:dyDescent="0.3">
      <c r="A164" s="2" t="s">
        <v>189</v>
      </c>
      <c r="B164" s="2" t="s">
        <v>11</v>
      </c>
      <c r="C164" s="2" t="s">
        <v>33</v>
      </c>
      <c r="D164" s="2">
        <v>3</v>
      </c>
      <c r="E164" s="2">
        <v>6658324986</v>
      </c>
      <c r="F164" s="2" t="s">
        <v>13</v>
      </c>
      <c r="G164" s="2" t="s">
        <v>20</v>
      </c>
      <c r="H164" s="2" t="s">
        <v>21</v>
      </c>
      <c r="I164" s="2" t="s">
        <v>22</v>
      </c>
      <c r="J164" s="2" t="s">
        <v>17</v>
      </c>
    </row>
    <row r="165" spans="1:10" x14ac:dyDescent="0.3">
      <c r="A165" s="2" t="s">
        <v>190</v>
      </c>
      <c r="B165" s="2" t="s">
        <v>11</v>
      </c>
      <c r="C165" s="2" t="s">
        <v>12</v>
      </c>
      <c r="D165" s="2">
        <v>3</v>
      </c>
      <c r="E165" s="2">
        <v>6975936691</v>
      </c>
      <c r="F165" s="2" t="s">
        <v>13</v>
      </c>
      <c r="G165" s="2" t="s">
        <v>14</v>
      </c>
      <c r="H165" s="2" t="s">
        <v>15</v>
      </c>
      <c r="I165" s="2" t="s">
        <v>29</v>
      </c>
      <c r="J165" s="2" t="s">
        <v>17</v>
      </c>
    </row>
    <row r="166" spans="1:10" x14ac:dyDescent="0.3">
      <c r="A166" s="2" t="s">
        <v>191</v>
      </c>
      <c r="B166" s="2" t="s">
        <v>25</v>
      </c>
      <c r="C166" s="2" t="s">
        <v>43</v>
      </c>
      <c r="D166" s="2">
        <v>5</v>
      </c>
      <c r="E166" s="2">
        <v>7292782057</v>
      </c>
      <c r="F166" s="2" t="s">
        <v>19</v>
      </c>
      <c r="G166" s="2" t="s">
        <v>14</v>
      </c>
      <c r="H166" s="2" t="s">
        <v>21</v>
      </c>
      <c r="I166" s="2" t="s">
        <v>27</v>
      </c>
      <c r="J166" s="2" t="s">
        <v>23</v>
      </c>
    </row>
    <row r="167" spans="1:10" x14ac:dyDescent="0.3">
      <c r="A167" s="2" t="s">
        <v>192</v>
      </c>
      <c r="B167" s="2" t="s">
        <v>11</v>
      </c>
      <c r="C167" s="2" t="s">
        <v>12</v>
      </c>
      <c r="D167" s="2">
        <v>3</v>
      </c>
      <c r="E167" s="2">
        <v>9639956501</v>
      </c>
      <c r="F167" s="2" t="s">
        <v>19</v>
      </c>
      <c r="G167" s="2" t="s">
        <v>20</v>
      </c>
      <c r="H167" s="2" t="s">
        <v>15</v>
      </c>
      <c r="I167" s="2" t="s">
        <v>22</v>
      </c>
      <c r="J167" s="2" t="s">
        <v>23</v>
      </c>
    </row>
    <row r="168" spans="1:10" x14ac:dyDescent="0.3">
      <c r="A168" s="2" t="s">
        <v>193</v>
      </c>
      <c r="B168" s="2" t="s">
        <v>35</v>
      </c>
      <c r="C168" s="2" t="s">
        <v>33</v>
      </c>
      <c r="D168" s="2">
        <v>1</v>
      </c>
      <c r="E168" s="2">
        <v>7892758248</v>
      </c>
      <c r="F168" s="2" t="s">
        <v>13</v>
      </c>
      <c r="G168" s="2" t="s">
        <v>14</v>
      </c>
      <c r="H168" s="2" t="s">
        <v>15</v>
      </c>
      <c r="I168" s="2" t="s">
        <v>16</v>
      </c>
      <c r="J168" s="2" t="s">
        <v>22</v>
      </c>
    </row>
    <row r="169" spans="1:10" x14ac:dyDescent="0.3">
      <c r="A169" s="2" t="s">
        <v>194</v>
      </c>
      <c r="B169" s="2" t="s">
        <v>35</v>
      </c>
      <c r="C169" s="2" t="s">
        <v>36</v>
      </c>
      <c r="D169" s="2">
        <v>1</v>
      </c>
      <c r="E169" s="2">
        <v>9161364260</v>
      </c>
      <c r="F169" s="2" t="s">
        <v>13</v>
      </c>
      <c r="G169" s="2" t="s">
        <v>14</v>
      </c>
      <c r="H169" s="2" t="s">
        <v>21</v>
      </c>
      <c r="I169" s="2" t="s">
        <v>22</v>
      </c>
      <c r="J169" s="2" t="s">
        <v>22</v>
      </c>
    </row>
    <row r="170" spans="1:10" x14ac:dyDescent="0.3">
      <c r="A170" s="2" t="s">
        <v>195</v>
      </c>
      <c r="B170" s="2" t="s">
        <v>25</v>
      </c>
      <c r="C170" s="2" t="s">
        <v>26</v>
      </c>
      <c r="D170" s="2">
        <v>5</v>
      </c>
      <c r="E170" s="2">
        <v>8247327953</v>
      </c>
      <c r="F170" s="2" t="s">
        <v>13</v>
      </c>
      <c r="G170" s="2" t="s">
        <v>20</v>
      </c>
      <c r="H170" s="2" t="s">
        <v>15</v>
      </c>
      <c r="I170" s="2" t="s">
        <v>22</v>
      </c>
      <c r="J170" s="2" t="s">
        <v>17</v>
      </c>
    </row>
    <row r="171" spans="1:10" x14ac:dyDescent="0.3">
      <c r="A171" s="2" t="s">
        <v>196</v>
      </c>
      <c r="B171" s="2" t="s">
        <v>11</v>
      </c>
      <c r="C171" s="2" t="s">
        <v>43</v>
      </c>
      <c r="D171" s="2">
        <v>3</v>
      </c>
      <c r="E171" s="2">
        <v>6794903931</v>
      </c>
      <c r="F171" s="2" t="s">
        <v>19</v>
      </c>
      <c r="G171" s="2" t="s">
        <v>14</v>
      </c>
      <c r="H171" s="2" t="s">
        <v>15</v>
      </c>
      <c r="I171" s="2" t="s">
        <v>22</v>
      </c>
      <c r="J171" s="2" t="s">
        <v>22</v>
      </c>
    </row>
    <row r="172" spans="1:10" x14ac:dyDescent="0.3">
      <c r="A172" s="2" t="s">
        <v>197</v>
      </c>
      <c r="B172" s="2" t="s">
        <v>11</v>
      </c>
      <c r="C172" s="2" t="s">
        <v>33</v>
      </c>
      <c r="D172" s="2">
        <v>3</v>
      </c>
      <c r="E172" s="2">
        <v>9822401303</v>
      </c>
      <c r="F172" s="2" t="s">
        <v>13</v>
      </c>
      <c r="G172" s="2" t="s">
        <v>14</v>
      </c>
      <c r="H172" s="2" t="s">
        <v>21</v>
      </c>
      <c r="I172" s="2" t="s">
        <v>37</v>
      </c>
      <c r="J172" s="2" t="s">
        <v>23</v>
      </c>
    </row>
    <row r="173" spans="1:10" x14ac:dyDescent="0.3">
      <c r="A173" s="2" t="s">
        <v>198</v>
      </c>
      <c r="B173" s="2" t="s">
        <v>11</v>
      </c>
      <c r="C173" s="2" t="s">
        <v>33</v>
      </c>
      <c r="D173" s="2">
        <v>3</v>
      </c>
      <c r="E173" s="2">
        <v>9508773883</v>
      </c>
      <c r="F173" s="2" t="s">
        <v>19</v>
      </c>
      <c r="G173" s="2" t="s">
        <v>20</v>
      </c>
      <c r="H173" s="2" t="s">
        <v>15</v>
      </c>
      <c r="I173" s="2" t="s">
        <v>27</v>
      </c>
      <c r="J173" s="2" t="s">
        <v>22</v>
      </c>
    </row>
    <row r="174" spans="1:10" x14ac:dyDescent="0.3">
      <c r="A174" s="2" t="s">
        <v>199</v>
      </c>
      <c r="B174" s="2" t="s">
        <v>32</v>
      </c>
      <c r="C174" s="2" t="s">
        <v>12</v>
      </c>
      <c r="D174" s="2">
        <v>7</v>
      </c>
      <c r="E174" s="2">
        <v>7683981022</v>
      </c>
      <c r="F174" s="2" t="s">
        <v>13</v>
      </c>
      <c r="G174" s="2" t="s">
        <v>20</v>
      </c>
      <c r="H174" s="2" t="s">
        <v>21</v>
      </c>
      <c r="I174" s="2" t="s">
        <v>37</v>
      </c>
      <c r="J174" s="2" t="s">
        <v>23</v>
      </c>
    </row>
    <row r="175" spans="1:10" x14ac:dyDescent="0.3">
      <c r="A175" s="2" t="s">
        <v>200</v>
      </c>
      <c r="B175" s="2" t="s">
        <v>11</v>
      </c>
      <c r="C175" s="2" t="s">
        <v>33</v>
      </c>
      <c r="D175" s="2">
        <v>3</v>
      </c>
      <c r="E175" s="2">
        <v>9998783356</v>
      </c>
      <c r="F175" s="2" t="s">
        <v>19</v>
      </c>
      <c r="G175" s="2" t="s">
        <v>14</v>
      </c>
      <c r="H175" s="2" t="s">
        <v>15</v>
      </c>
      <c r="I175" s="2" t="s">
        <v>22</v>
      </c>
      <c r="J175" s="2" t="s">
        <v>17</v>
      </c>
    </row>
    <row r="176" spans="1:10" x14ac:dyDescent="0.3">
      <c r="A176" s="2" t="s">
        <v>201</v>
      </c>
      <c r="B176" s="2" t="s">
        <v>35</v>
      </c>
      <c r="C176" s="2" t="s">
        <v>26</v>
      </c>
      <c r="D176" s="2">
        <v>1</v>
      </c>
      <c r="E176" s="2">
        <v>8162140057</v>
      </c>
      <c r="F176" s="2" t="s">
        <v>13</v>
      </c>
      <c r="G176" s="2" t="s">
        <v>20</v>
      </c>
      <c r="H176" s="2" t="s">
        <v>21</v>
      </c>
      <c r="I176" s="2" t="s">
        <v>22</v>
      </c>
      <c r="J176" s="2" t="s">
        <v>23</v>
      </c>
    </row>
    <row r="177" spans="1:10" x14ac:dyDescent="0.3">
      <c r="A177" s="2" t="s">
        <v>202</v>
      </c>
      <c r="B177" s="2" t="s">
        <v>32</v>
      </c>
      <c r="C177" s="2" t="s">
        <v>12</v>
      </c>
      <c r="D177" s="2">
        <v>7</v>
      </c>
      <c r="E177" s="2">
        <v>8420516381</v>
      </c>
      <c r="F177" s="2" t="s">
        <v>19</v>
      </c>
      <c r="G177" s="2" t="s">
        <v>20</v>
      </c>
      <c r="H177" s="2" t="s">
        <v>21</v>
      </c>
      <c r="I177" s="2" t="s">
        <v>41</v>
      </c>
      <c r="J177" s="2" t="s">
        <v>23</v>
      </c>
    </row>
    <row r="178" spans="1:10" x14ac:dyDescent="0.3">
      <c r="A178" s="2" t="s">
        <v>203</v>
      </c>
      <c r="B178" s="2" t="s">
        <v>35</v>
      </c>
      <c r="C178" s="2" t="s">
        <v>12</v>
      </c>
      <c r="D178" s="2">
        <v>1</v>
      </c>
      <c r="E178" s="2">
        <v>8396038611</v>
      </c>
      <c r="F178" s="2" t="s">
        <v>19</v>
      </c>
      <c r="G178" s="2" t="s">
        <v>14</v>
      </c>
      <c r="H178" s="2" t="s">
        <v>21</v>
      </c>
      <c r="I178" s="2" t="s">
        <v>22</v>
      </c>
      <c r="J178" s="2" t="s">
        <v>23</v>
      </c>
    </row>
    <row r="179" spans="1:10" x14ac:dyDescent="0.3">
      <c r="A179" s="2" t="s">
        <v>204</v>
      </c>
      <c r="B179" s="2" t="s">
        <v>35</v>
      </c>
      <c r="C179" s="2" t="s">
        <v>33</v>
      </c>
      <c r="D179" s="2">
        <v>1</v>
      </c>
      <c r="E179" s="2">
        <v>7418073673</v>
      </c>
      <c r="F179" s="2" t="s">
        <v>13</v>
      </c>
      <c r="G179" s="2" t="s">
        <v>20</v>
      </c>
      <c r="H179" s="2" t="s">
        <v>15</v>
      </c>
      <c r="I179" s="2" t="s">
        <v>37</v>
      </c>
      <c r="J179" s="2" t="s">
        <v>17</v>
      </c>
    </row>
    <row r="180" spans="1:10" x14ac:dyDescent="0.3">
      <c r="A180" s="2" t="s">
        <v>205</v>
      </c>
      <c r="B180" s="2" t="s">
        <v>11</v>
      </c>
      <c r="C180" s="2" t="s">
        <v>12</v>
      </c>
      <c r="D180" s="2">
        <v>3</v>
      </c>
      <c r="E180" s="2">
        <v>8334003743</v>
      </c>
      <c r="F180" s="2" t="s">
        <v>19</v>
      </c>
      <c r="G180" s="2" t="s">
        <v>20</v>
      </c>
      <c r="H180" s="2" t="s">
        <v>21</v>
      </c>
      <c r="I180" s="2" t="s">
        <v>22</v>
      </c>
      <c r="J180" s="2" t="s">
        <v>23</v>
      </c>
    </row>
    <row r="181" spans="1:10" x14ac:dyDescent="0.3">
      <c r="A181" s="2" t="s">
        <v>206</v>
      </c>
      <c r="B181" s="2" t="s">
        <v>25</v>
      </c>
      <c r="C181" s="2" t="s">
        <v>26</v>
      </c>
      <c r="D181" s="2">
        <v>5</v>
      </c>
      <c r="E181" s="2">
        <v>6549299163</v>
      </c>
      <c r="F181" s="2" t="s">
        <v>19</v>
      </c>
      <c r="G181" s="2" t="s">
        <v>20</v>
      </c>
      <c r="H181" s="2" t="s">
        <v>21</v>
      </c>
      <c r="I181" s="2" t="s">
        <v>16</v>
      </c>
      <c r="J181" s="2" t="s">
        <v>17</v>
      </c>
    </row>
    <row r="182" spans="1:10" x14ac:dyDescent="0.3">
      <c r="A182" s="2" t="s">
        <v>207</v>
      </c>
      <c r="B182" s="2" t="s">
        <v>25</v>
      </c>
      <c r="C182" s="2" t="s">
        <v>33</v>
      </c>
      <c r="D182" s="2">
        <v>5</v>
      </c>
      <c r="E182" s="2">
        <v>9020157913</v>
      </c>
      <c r="F182" s="2" t="s">
        <v>13</v>
      </c>
      <c r="G182" s="2" t="s">
        <v>20</v>
      </c>
      <c r="H182" s="2" t="s">
        <v>21</v>
      </c>
      <c r="I182" s="2" t="s">
        <v>41</v>
      </c>
      <c r="J182" s="2" t="s">
        <v>23</v>
      </c>
    </row>
    <row r="183" spans="1:10" x14ac:dyDescent="0.3">
      <c r="A183" s="2" t="s">
        <v>208</v>
      </c>
      <c r="B183" s="2" t="s">
        <v>11</v>
      </c>
      <c r="C183" s="2" t="s">
        <v>43</v>
      </c>
      <c r="D183" s="2">
        <v>3</v>
      </c>
      <c r="E183" s="2">
        <v>9761958156</v>
      </c>
      <c r="F183" s="2" t="s">
        <v>13</v>
      </c>
      <c r="G183" s="2" t="s">
        <v>14</v>
      </c>
      <c r="H183" s="2" t="s">
        <v>21</v>
      </c>
      <c r="I183" s="2" t="s">
        <v>22</v>
      </c>
      <c r="J183" s="2" t="s">
        <v>22</v>
      </c>
    </row>
    <row r="184" spans="1:10" x14ac:dyDescent="0.3">
      <c r="A184" s="2" t="s">
        <v>209</v>
      </c>
      <c r="B184" s="2" t="s">
        <v>25</v>
      </c>
      <c r="C184" s="2" t="s">
        <v>12</v>
      </c>
      <c r="D184" s="2">
        <v>5</v>
      </c>
      <c r="E184" s="2">
        <v>6350611883</v>
      </c>
      <c r="F184" s="2" t="s">
        <v>19</v>
      </c>
      <c r="G184" s="2" t="s">
        <v>20</v>
      </c>
      <c r="H184" s="2" t="s">
        <v>21</v>
      </c>
      <c r="I184" s="2" t="s">
        <v>37</v>
      </c>
      <c r="J184" s="2" t="s">
        <v>17</v>
      </c>
    </row>
    <row r="185" spans="1:10" x14ac:dyDescent="0.3">
      <c r="A185" s="2" t="s">
        <v>210</v>
      </c>
      <c r="B185" s="2" t="s">
        <v>25</v>
      </c>
      <c r="C185" s="2" t="s">
        <v>33</v>
      </c>
      <c r="D185" s="2">
        <v>5</v>
      </c>
      <c r="E185" s="2">
        <v>9644626288</v>
      </c>
      <c r="F185" s="2" t="s">
        <v>19</v>
      </c>
      <c r="G185" s="2" t="s">
        <v>14</v>
      </c>
      <c r="H185" s="2" t="s">
        <v>15</v>
      </c>
      <c r="I185" s="2" t="s">
        <v>22</v>
      </c>
      <c r="J185" s="2" t="s">
        <v>23</v>
      </c>
    </row>
    <row r="186" spans="1:10" x14ac:dyDescent="0.3">
      <c r="A186" s="2" t="s">
        <v>211</v>
      </c>
      <c r="B186" s="2" t="s">
        <v>32</v>
      </c>
      <c r="C186" s="2" t="s">
        <v>26</v>
      </c>
      <c r="D186" s="2">
        <v>7</v>
      </c>
      <c r="E186" s="2">
        <v>9648394647</v>
      </c>
      <c r="F186" s="2" t="s">
        <v>19</v>
      </c>
      <c r="G186" s="2" t="s">
        <v>20</v>
      </c>
      <c r="H186" s="2" t="s">
        <v>21</v>
      </c>
      <c r="I186" s="2" t="s">
        <v>22</v>
      </c>
      <c r="J186" s="2" t="s">
        <v>23</v>
      </c>
    </row>
    <row r="187" spans="1:10" x14ac:dyDescent="0.3">
      <c r="A187" s="2" t="s">
        <v>212</v>
      </c>
      <c r="B187" s="2" t="s">
        <v>32</v>
      </c>
      <c r="C187" s="2" t="s">
        <v>26</v>
      </c>
      <c r="D187" s="2">
        <v>7</v>
      </c>
      <c r="E187" s="2">
        <v>8823168499</v>
      </c>
      <c r="F187" s="2" t="s">
        <v>19</v>
      </c>
      <c r="G187" s="2" t="s">
        <v>20</v>
      </c>
      <c r="H187" s="2" t="s">
        <v>15</v>
      </c>
      <c r="I187" s="2" t="s">
        <v>22</v>
      </c>
      <c r="J187" s="2" t="s">
        <v>22</v>
      </c>
    </row>
    <row r="188" spans="1:10" x14ac:dyDescent="0.3">
      <c r="A188" s="2" t="s">
        <v>213</v>
      </c>
      <c r="B188" s="2" t="s">
        <v>32</v>
      </c>
      <c r="C188" s="2" t="s">
        <v>33</v>
      </c>
      <c r="D188" s="2">
        <v>7</v>
      </c>
      <c r="E188" s="2">
        <v>8258272626</v>
      </c>
      <c r="F188" s="2" t="s">
        <v>19</v>
      </c>
      <c r="G188" s="2" t="s">
        <v>20</v>
      </c>
      <c r="H188" s="2" t="s">
        <v>15</v>
      </c>
      <c r="I188" s="2" t="s">
        <v>22</v>
      </c>
      <c r="J188" s="2" t="s">
        <v>17</v>
      </c>
    </row>
    <row r="189" spans="1:10" x14ac:dyDescent="0.3">
      <c r="A189" s="2" t="s">
        <v>214</v>
      </c>
      <c r="B189" s="2" t="s">
        <v>25</v>
      </c>
      <c r="C189" s="2" t="s">
        <v>33</v>
      </c>
      <c r="D189" s="2">
        <v>5</v>
      </c>
      <c r="E189" s="2">
        <v>6705599047</v>
      </c>
      <c r="F189" s="2" t="s">
        <v>13</v>
      </c>
      <c r="G189" s="2" t="s">
        <v>20</v>
      </c>
      <c r="H189" s="2" t="s">
        <v>21</v>
      </c>
      <c r="I189" s="2" t="s">
        <v>22</v>
      </c>
      <c r="J189" s="2" t="s">
        <v>23</v>
      </c>
    </row>
    <row r="190" spans="1:10" x14ac:dyDescent="0.3">
      <c r="A190" s="2" t="s">
        <v>215</v>
      </c>
      <c r="B190" s="2" t="s">
        <v>11</v>
      </c>
      <c r="C190" s="2" t="s">
        <v>33</v>
      </c>
      <c r="D190" s="2">
        <v>3</v>
      </c>
      <c r="E190" s="2">
        <v>9897094064</v>
      </c>
      <c r="F190" s="2" t="s">
        <v>13</v>
      </c>
      <c r="G190" s="2" t="s">
        <v>14</v>
      </c>
      <c r="H190" s="2" t="s">
        <v>21</v>
      </c>
      <c r="I190" s="2" t="s">
        <v>29</v>
      </c>
      <c r="J190" s="2" t="s">
        <v>17</v>
      </c>
    </row>
    <row r="191" spans="1:10" x14ac:dyDescent="0.3">
      <c r="A191" s="2" t="s">
        <v>216</v>
      </c>
      <c r="B191" s="2" t="s">
        <v>25</v>
      </c>
      <c r="C191" s="2" t="s">
        <v>12</v>
      </c>
      <c r="D191" s="2">
        <v>5</v>
      </c>
      <c r="E191" s="2">
        <v>6525704052</v>
      </c>
      <c r="F191" s="2" t="s">
        <v>13</v>
      </c>
      <c r="G191" s="2" t="s">
        <v>20</v>
      </c>
      <c r="H191" s="2" t="s">
        <v>21</v>
      </c>
      <c r="I191" s="2" t="s">
        <v>22</v>
      </c>
      <c r="J191" s="2" t="s">
        <v>23</v>
      </c>
    </row>
    <row r="192" spans="1:10" x14ac:dyDescent="0.3">
      <c r="A192" s="2" t="s">
        <v>217</v>
      </c>
      <c r="B192" s="2" t="s">
        <v>25</v>
      </c>
      <c r="C192" s="2" t="s">
        <v>36</v>
      </c>
      <c r="D192" s="2">
        <v>5</v>
      </c>
      <c r="E192" s="2">
        <v>7825327920</v>
      </c>
      <c r="F192" s="2" t="s">
        <v>13</v>
      </c>
      <c r="G192" s="2" t="s">
        <v>20</v>
      </c>
      <c r="H192" s="2" t="s">
        <v>21</v>
      </c>
      <c r="I192" s="2" t="s">
        <v>22</v>
      </c>
      <c r="J192" s="2" t="s">
        <v>22</v>
      </c>
    </row>
    <row r="193" spans="1:10" x14ac:dyDescent="0.3">
      <c r="A193" s="2" t="s">
        <v>218</v>
      </c>
      <c r="B193" s="2" t="s">
        <v>11</v>
      </c>
      <c r="C193" s="2" t="s">
        <v>43</v>
      </c>
      <c r="D193" s="2">
        <v>3</v>
      </c>
      <c r="E193" s="2">
        <v>6041928240</v>
      </c>
      <c r="F193" s="2" t="s">
        <v>19</v>
      </c>
      <c r="G193" s="2" t="s">
        <v>20</v>
      </c>
      <c r="H193" s="2" t="s">
        <v>21</v>
      </c>
      <c r="I193" s="2" t="s">
        <v>22</v>
      </c>
      <c r="J193" s="2" t="s">
        <v>23</v>
      </c>
    </row>
    <row r="194" spans="1:10" x14ac:dyDescent="0.3">
      <c r="A194" s="2" t="s">
        <v>219</v>
      </c>
      <c r="B194" s="2" t="s">
        <v>11</v>
      </c>
      <c r="C194" s="2" t="s">
        <v>33</v>
      </c>
      <c r="D194" s="2">
        <v>3</v>
      </c>
      <c r="E194" s="2">
        <v>9957523367</v>
      </c>
      <c r="F194" s="2" t="s">
        <v>13</v>
      </c>
      <c r="G194" s="2" t="s">
        <v>20</v>
      </c>
      <c r="H194" s="2" t="s">
        <v>21</v>
      </c>
      <c r="I194" s="2" t="s">
        <v>22</v>
      </c>
      <c r="J194" s="2" t="s">
        <v>17</v>
      </c>
    </row>
    <row r="195" spans="1:10" x14ac:dyDescent="0.3">
      <c r="A195" s="2" t="s">
        <v>220</v>
      </c>
      <c r="B195" s="2" t="s">
        <v>25</v>
      </c>
      <c r="C195" s="2" t="s">
        <v>12</v>
      </c>
      <c r="D195" s="2">
        <v>5</v>
      </c>
      <c r="E195" s="2">
        <v>7438690398</v>
      </c>
      <c r="F195" s="2" t="s">
        <v>13</v>
      </c>
      <c r="G195" s="2" t="s">
        <v>20</v>
      </c>
      <c r="H195" s="2" t="s">
        <v>15</v>
      </c>
      <c r="I195" s="2" t="s">
        <v>22</v>
      </c>
      <c r="J195" s="2" t="s">
        <v>17</v>
      </c>
    </row>
    <row r="196" spans="1:10" x14ac:dyDescent="0.3">
      <c r="A196" s="2" t="s">
        <v>221</v>
      </c>
      <c r="B196" s="2" t="s">
        <v>32</v>
      </c>
      <c r="C196" s="2" t="s">
        <v>43</v>
      </c>
      <c r="D196" s="2">
        <v>7</v>
      </c>
      <c r="E196" s="2">
        <v>6167025734</v>
      </c>
      <c r="F196" s="2" t="s">
        <v>19</v>
      </c>
      <c r="G196" s="2" t="s">
        <v>20</v>
      </c>
      <c r="H196" s="2" t="s">
        <v>21</v>
      </c>
      <c r="I196" s="2" t="s">
        <v>29</v>
      </c>
      <c r="J196" s="2" t="s">
        <v>22</v>
      </c>
    </row>
    <row r="197" spans="1:10" x14ac:dyDescent="0.3">
      <c r="A197" s="2" t="s">
        <v>222</v>
      </c>
      <c r="B197" s="2" t="s">
        <v>11</v>
      </c>
      <c r="C197" s="2" t="s">
        <v>43</v>
      </c>
      <c r="D197" s="2">
        <v>3</v>
      </c>
      <c r="E197" s="2">
        <v>6262727617</v>
      </c>
      <c r="F197" s="2" t="s">
        <v>19</v>
      </c>
      <c r="G197" s="2" t="s">
        <v>20</v>
      </c>
      <c r="H197" s="2" t="s">
        <v>21</v>
      </c>
      <c r="I197" s="2" t="s">
        <v>22</v>
      </c>
      <c r="J197" s="2" t="s">
        <v>23</v>
      </c>
    </row>
    <row r="198" spans="1:10" x14ac:dyDescent="0.3">
      <c r="A198" s="2" t="s">
        <v>223</v>
      </c>
      <c r="B198" s="2" t="s">
        <v>25</v>
      </c>
      <c r="C198" s="2" t="s">
        <v>43</v>
      </c>
      <c r="D198" s="2">
        <v>5</v>
      </c>
      <c r="E198" s="2">
        <v>7220972702</v>
      </c>
      <c r="F198" s="2" t="s">
        <v>13</v>
      </c>
      <c r="G198" s="2" t="s">
        <v>20</v>
      </c>
      <c r="H198" s="2" t="s">
        <v>21</v>
      </c>
      <c r="I198" s="2" t="s">
        <v>16</v>
      </c>
      <c r="J198" s="2" t="s">
        <v>22</v>
      </c>
    </row>
    <row r="199" spans="1:10" x14ac:dyDescent="0.3">
      <c r="A199" s="2" t="s">
        <v>224</v>
      </c>
      <c r="B199" s="2" t="s">
        <v>11</v>
      </c>
      <c r="C199" s="2" t="s">
        <v>26</v>
      </c>
      <c r="D199" s="2">
        <v>3</v>
      </c>
      <c r="E199" s="2">
        <v>8429504300</v>
      </c>
      <c r="F199" s="2" t="s">
        <v>19</v>
      </c>
      <c r="G199" s="2" t="s">
        <v>20</v>
      </c>
      <c r="H199" s="2" t="s">
        <v>21</v>
      </c>
      <c r="I199" s="2" t="s">
        <v>37</v>
      </c>
      <c r="J199" s="2" t="s">
        <v>17</v>
      </c>
    </row>
    <row r="200" spans="1:10" x14ac:dyDescent="0.3">
      <c r="A200" s="2" t="s">
        <v>225</v>
      </c>
      <c r="B200" s="2" t="s">
        <v>32</v>
      </c>
      <c r="C200" s="2" t="s">
        <v>26</v>
      </c>
      <c r="D200" s="2">
        <v>7</v>
      </c>
      <c r="E200" s="2">
        <v>7295585678</v>
      </c>
      <c r="F200" s="2" t="s">
        <v>19</v>
      </c>
      <c r="G200" s="2" t="s">
        <v>14</v>
      </c>
      <c r="H200" s="2" t="s">
        <v>15</v>
      </c>
      <c r="I200" s="2" t="s">
        <v>27</v>
      </c>
      <c r="J200" s="2" t="s">
        <v>17</v>
      </c>
    </row>
    <row r="201" spans="1:10" x14ac:dyDescent="0.3">
      <c r="A201" s="2" t="s">
        <v>226</v>
      </c>
      <c r="B201" s="2" t="s">
        <v>35</v>
      </c>
      <c r="C201" s="2" t="s">
        <v>26</v>
      </c>
      <c r="D201" s="2">
        <v>1</v>
      </c>
      <c r="E201" s="2">
        <v>8083959508</v>
      </c>
      <c r="F201" s="2" t="s">
        <v>19</v>
      </c>
      <c r="G201" s="2" t="s">
        <v>20</v>
      </c>
      <c r="H201" s="2" t="s">
        <v>15</v>
      </c>
      <c r="I201" s="2" t="s">
        <v>22</v>
      </c>
      <c r="J201" s="2" t="s">
        <v>22</v>
      </c>
    </row>
    <row r="202" spans="1:10" x14ac:dyDescent="0.3">
      <c r="A202" s="2" t="s">
        <v>227</v>
      </c>
      <c r="B202" s="2" t="s">
        <v>32</v>
      </c>
      <c r="C202" s="2" t="s">
        <v>36</v>
      </c>
      <c r="D202" s="2">
        <v>7</v>
      </c>
      <c r="E202" s="2">
        <v>8407487849</v>
      </c>
      <c r="F202" s="2" t="s">
        <v>19</v>
      </c>
      <c r="G202" s="2" t="s">
        <v>14</v>
      </c>
      <c r="H202" s="2" t="s">
        <v>15</v>
      </c>
      <c r="I202" s="2" t="s">
        <v>22</v>
      </c>
      <c r="J202" s="2" t="s">
        <v>23</v>
      </c>
    </row>
    <row r="203" spans="1:10" x14ac:dyDescent="0.3">
      <c r="A203" s="2" t="s">
        <v>228</v>
      </c>
      <c r="B203" s="2" t="s">
        <v>32</v>
      </c>
      <c r="C203" s="2" t="s">
        <v>43</v>
      </c>
      <c r="D203" s="2">
        <v>7</v>
      </c>
      <c r="E203" s="2">
        <v>8386575048</v>
      </c>
      <c r="F203" s="2" t="s">
        <v>19</v>
      </c>
      <c r="G203" s="2" t="s">
        <v>20</v>
      </c>
      <c r="H203" s="2" t="s">
        <v>21</v>
      </c>
      <c r="I203" s="2" t="s">
        <v>37</v>
      </c>
      <c r="J203" s="2" t="s">
        <v>23</v>
      </c>
    </row>
    <row r="204" spans="1:10" x14ac:dyDescent="0.3">
      <c r="A204" s="2" t="s">
        <v>229</v>
      </c>
      <c r="B204" s="2" t="s">
        <v>11</v>
      </c>
      <c r="C204" s="2" t="s">
        <v>12</v>
      </c>
      <c r="D204" s="2">
        <v>3</v>
      </c>
      <c r="E204" s="2">
        <v>7959427548</v>
      </c>
      <c r="F204" s="2" t="s">
        <v>19</v>
      </c>
      <c r="G204" s="2" t="s">
        <v>20</v>
      </c>
      <c r="H204" s="2" t="s">
        <v>21</v>
      </c>
      <c r="I204" s="2" t="s">
        <v>27</v>
      </c>
      <c r="J204" s="2" t="s">
        <v>17</v>
      </c>
    </row>
    <row r="205" spans="1:10" x14ac:dyDescent="0.3">
      <c r="A205" s="2" t="s">
        <v>230</v>
      </c>
      <c r="B205" s="2" t="s">
        <v>32</v>
      </c>
      <c r="C205" s="2" t="s">
        <v>43</v>
      </c>
      <c r="D205" s="2">
        <v>7</v>
      </c>
      <c r="E205" s="2">
        <v>9650489619</v>
      </c>
      <c r="F205" s="2" t="s">
        <v>13</v>
      </c>
      <c r="G205" s="2" t="s">
        <v>20</v>
      </c>
      <c r="H205" s="2" t="s">
        <v>21</v>
      </c>
      <c r="I205" s="2" t="s">
        <v>37</v>
      </c>
      <c r="J205" s="2" t="s">
        <v>23</v>
      </c>
    </row>
    <row r="206" spans="1:10" x14ac:dyDescent="0.3">
      <c r="A206" s="2" t="s">
        <v>231</v>
      </c>
      <c r="B206" s="2" t="s">
        <v>35</v>
      </c>
      <c r="C206" s="2" t="s">
        <v>26</v>
      </c>
      <c r="D206" s="2">
        <v>1</v>
      </c>
      <c r="E206" s="2">
        <v>7266693099</v>
      </c>
      <c r="F206" s="2" t="s">
        <v>13</v>
      </c>
      <c r="G206" s="2" t="s">
        <v>14</v>
      </c>
      <c r="H206" s="2" t="s">
        <v>15</v>
      </c>
      <c r="I206" s="2" t="s">
        <v>16</v>
      </c>
      <c r="J206" s="2" t="s">
        <v>17</v>
      </c>
    </row>
    <row r="207" spans="1:10" x14ac:dyDescent="0.3">
      <c r="A207" s="2" t="s">
        <v>232</v>
      </c>
      <c r="B207" s="2" t="s">
        <v>32</v>
      </c>
      <c r="C207" s="2" t="s">
        <v>36</v>
      </c>
      <c r="D207" s="2">
        <v>7</v>
      </c>
      <c r="E207" s="2">
        <v>6967100195</v>
      </c>
      <c r="F207" s="2" t="s">
        <v>19</v>
      </c>
      <c r="G207" s="2" t="s">
        <v>20</v>
      </c>
      <c r="H207" s="2" t="s">
        <v>21</v>
      </c>
      <c r="I207" s="2" t="s">
        <v>22</v>
      </c>
      <c r="J207" s="2" t="s">
        <v>22</v>
      </c>
    </row>
    <row r="208" spans="1:10" x14ac:dyDescent="0.3">
      <c r="A208" s="2" t="s">
        <v>233</v>
      </c>
      <c r="B208" s="2" t="s">
        <v>35</v>
      </c>
      <c r="C208" s="2" t="s">
        <v>43</v>
      </c>
      <c r="D208" s="2">
        <v>1</v>
      </c>
      <c r="E208" s="2">
        <v>8363850369</v>
      </c>
      <c r="F208" s="2" t="s">
        <v>13</v>
      </c>
      <c r="G208" s="2" t="s">
        <v>20</v>
      </c>
      <c r="H208" s="2" t="s">
        <v>21</v>
      </c>
      <c r="I208" s="2" t="s">
        <v>37</v>
      </c>
      <c r="J208" s="2" t="s">
        <v>17</v>
      </c>
    </row>
    <row r="209" spans="1:10" x14ac:dyDescent="0.3">
      <c r="A209" s="2" t="s">
        <v>234</v>
      </c>
      <c r="B209" s="2" t="s">
        <v>11</v>
      </c>
      <c r="C209" s="2" t="s">
        <v>33</v>
      </c>
      <c r="D209" s="2">
        <v>3</v>
      </c>
      <c r="E209" s="2">
        <v>6866298228</v>
      </c>
      <c r="F209" s="2" t="s">
        <v>13</v>
      </c>
      <c r="G209" s="2" t="s">
        <v>20</v>
      </c>
      <c r="H209" s="2" t="s">
        <v>15</v>
      </c>
      <c r="I209" s="2" t="s">
        <v>41</v>
      </c>
      <c r="J209" s="2" t="s">
        <v>22</v>
      </c>
    </row>
    <row r="210" spans="1:10" x14ac:dyDescent="0.3">
      <c r="A210" s="2" t="s">
        <v>235</v>
      </c>
      <c r="B210" s="2" t="s">
        <v>32</v>
      </c>
      <c r="C210" s="2" t="s">
        <v>33</v>
      </c>
      <c r="D210" s="2">
        <v>7</v>
      </c>
      <c r="E210" s="2">
        <v>6267426911</v>
      </c>
      <c r="F210" s="2" t="s">
        <v>13</v>
      </c>
      <c r="G210" s="2" t="s">
        <v>20</v>
      </c>
      <c r="H210" s="2" t="s">
        <v>15</v>
      </c>
      <c r="I210" s="2" t="s">
        <v>41</v>
      </c>
      <c r="J210" s="2" t="s">
        <v>22</v>
      </c>
    </row>
    <row r="211" spans="1:10" x14ac:dyDescent="0.3">
      <c r="A211" s="2" t="s">
        <v>236</v>
      </c>
      <c r="B211" s="2" t="s">
        <v>11</v>
      </c>
      <c r="C211" s="2" t="s">
        <v>33</v>
      </c>
      <c r="D211" s="2">
        <v>3</v>
      </c>
      <c r="E211" s="2">
        <v>7222501355</v>
      </c>
      <c r="F211" s="2" t="s">
        <v>19</v>
      </c>
      <c r="G211" s="2" t="s">
        <v>14</v>
      </c>
      <c r="H211" s="2" t="s">
        <v>21</v>
      </c>
      <c r="I211" s="2" t="s">
        <v>27</v>
      </c>
      <c r="J211" s="2" t="s">
        <v>22</v>
      </c>
    </row>
    <row r="212" spans="1:10" x14ac:dyDescent="0.3">
      <c r="A212" s="2" t="s">
        <v>237</v>
      </c>
      <c r="B212" s="2" t="s">
        <v>25</v>
      </c>
      <c r="C212" s="2" t="s">
        <v>43</v>
      </c>
      <c r="D212" s="2">
        <v>5</v>
      </c>
      <c r="E212" s="2">
        <v>9611732855</v>
      </c>
      <c r="F212" s="2" t="s">
        <v>19</v>
      </c>
      <c r="G212" s="2" t="s">
        <v>14</v>
      </c>
      <c r="H212" s="2" t="s">
        <v>15</v>
      </c>
      <c r="I212" s="2" t="s">
        <v>37</v>
      </c>
      <c r="J212" s="2" t="s">
        <v>23</v>
      </c>
    </row>
    <row r="213" spans="1:10" x14ac:dyDescent="0.3">
      <c r="A213" s="2" t="s">
        <v>238</v>
      </c>
      <c r="B213" s="2" t="s">
        <v>25</v>
      </c>
      <c r="C213" s="2" t="s">
        <v>43</v>
      </c>
      <c r="D213" s="2">
        <v>5</v>
      </c>
      <c r="E213" s="2">
        <v>9725796636</v>
      </c>
      <c r="F213" s="2" t="s">
        <v>19</v>
      </c>
      <c r="G213" s="2" t="s">
        <v>14</v>
      </c>
      <c r="H213" s="2" t="s">
        <v>21</v>
      </c>
      <c r="I213" s="2" t="s">
        <v>16</v>
      </c>
      <c r="J213" s="2" t="s">
        <v>23</v>
      </c>
    </row>
    <row r="214" spans="1:10" x14ac:dyDescent="0.3">
      <c r="A214" s="2" t="s">
        <v>239</v>
      </c>
      <c r="B214" s="2" t="s">
        <v>32</v>
      </c>
      <c r="C214" s="2" t="s">
        <v>26</v>
      </c>
      <c r="D214" s="2">
        <v>7</v>
      </c>
      <c r="E214" s="2">
        <v>9502345108</v>
      </c>
      <c r="F214" s="2" t="s">
        <v>19</v>
      </c>
      <c r="G214" s="2" t="s">
        <v>14</v>
      </c>
      <c r="H214" s="2" t="s">
        <v>21</v>
      </c>
      <c r="I214" s="2" t="s">
        <v>27</v>
      </c>
      <c r="J214" s="2" t="s">
        <v>17</v>
      </c>
    </row>
    <row r="215" spans="1:10" x14ac:dyDescent="0.3">
      <c r="A215" s="2" t="s">
        <v>240</v>
      </c>
      <c r="B215" s="2" t="s">
        <v>32</v>
      </c>
      <c r="C215" s="2" t="s">
        <v>43</v>
      </c>
      <c r="D215" s="2">
        <v>7</v>
      </c>
      <c r="E215" s="2">
        <v>6626290114</v>
      </c>
      <c r="F215" s="2" t="s">
        <v>13</v>
      </c>
      <c r="G215" s="2" t="s">
        <v>14</v>
      </c>
      <c r="H215" s="2" t="s">
        <v>15</v>
      </c>
      <c r="I215" s="2" t="s">
        <v>27</v>
      </c>
      <c r="J215" s="2" t="s">
        <v>23</v>
      </c>
    </row>
    <row r="216" spans="1:10" x14ac:dyDescent="0.3">
      <c r="A216" s="2" t="s">
        <v>241</v>
      </c>
      <c r="B216" s="2" t="s">
        <v>11</v>
      </c>
      <c r="C216" s="2" t="s">
        <v>26</v>
      </c>
      <c r="D216" s="2">
        <v>3</v>
      </c>
      <c r="E216" s="2">
        <v>8514209100</v>
      </c>
      <c r="F216" s="2" t="s">
        <v>19</v>
      </c>
      <c r="G216" s="2" t="s">
        <v>20</v>
      </c>
      <c r="H216" s="2" t="s">
        <v>21</v>
      </c>
      <c r="I216" s="2" t="s">
        <v>22</v>
      </c>
      <c r="J216" s="2" t="s">
        <v>22</v>
      </c>
    </row>
    <row r="217" spans="1:10" x14ac:dyDescent="0.3">
      <c r="A217" s="2" t="s">
        <v>242</v>
      </c>
      <c r="B217" s="2" t="s">
        <v>35</v>
      </c>
      <c r="C217" s="2" t="s">
        <v>36</v>
      </c>
      <c r="D217" s="2">
        <v>1</v>
      </c>
      <c r="E217" s="2">
        <v>7997041169</v>
      </c>
      <c r="F217" s="2" t="s">
        <v>13</v>
      </c>
      <c r="G217" s="2" t="s">
        <v>14</v>
      </c>
      <c r="H217" s="2" t="s">
        <v>15</v>
      </c>
      <c r="I217" s="2" t="s">
        <v>16</v>
      </c>
      <c r="J217" s="2" t="s">
        <v>23</v>
      </c>
    </row>
    <row r="218" spans="1:10" x14ac:dyDescent="0.3">
      <c r="A218" s="2" t="s">
        <v>243</v>
      </c>
      <c r="B218" s="2" t="s">
        <v>35</v>
      </c>
      <c r="C218" s="2" t="s">
        <v>26</v>
      </c>
      <c r="D218" s="2">
        <v>1</v>
      </c>
      <c r="E218" s="2">
        <v>8892986939</v>
      </c>
      <c r="F218" s="2" t="s">
        <v>19</v>
      </c>
      <c r="G218" s="2" t="s">
        <v>14</v>
      </c>
      <c r="H218" s="2" t="s">
        <v>21</v>
      </c>
      <c r="I218" s="2" t="s">
        <v>16</v>
      </c>
      <c r="J218" s="2" t="s">
        <v>17</v>
      </c>
    </row>
    <row r="219" spans="1:10" x14ac:dyDescent="0.3">
      <c r="A219" s="2" t="s">
        <v>244</v>
      </c>
      <c r="B219" s="2" t="s">
        <v>32</v>
      </c>
      <c r="C219" s="2" t="s">
        <v>33</v>
      </c>
      <c r="D219" s="2">
        <v>7</v>
      </c>
      <c r="E219" s="2">
        <v>7811731818</v>
      </c>
      <c r="F219" s="2" t="s">
        <v>19</v>
      </c>
      <c r="G219" s="2" t="s">
        <v>20</v>
      </c>
      <c r="H219" s="2" t="s">
        <v>15</v>
      </c>
      <c r="I219" s="2" t="s">
        <v>29</v>
      </c>
      <c r="J219" s="2" t="s">
        <v>22</v>
      </c>
    </row>
    <row r="220" spans="1:10" x14ac:dyDescent="0.3">
      <c r="A220" s="2" t="s">
        <v>245</v>
      </c>
      <c r="B220" s="2" t="s">
        <v>32</v>
      </c>
      <c r="C220" s="2" t="s">
        <v>36</v>
      </c>
      <c r="D220" s="2">
        <v>7</v>
      </c>
      <c r="E220" s="2">
        <v>6442387570</v>
      </c>
      <c r="F220" s="2" t="s">
        <v>19</v>
      </c>
      <c r="G220" s="2" t="s">
        <v>20</v>
      </c>
      <c r="H220" s="2" t="s">
        <v>15</v>
      </c>
      <c r="I220" s="2" t="s">
        <v>22</v>
      </c>
      <c r="J220" s="2" t="s">
        <v>17</v>
      </c>
    </row>
    <row r="221" spans="1:10" x14ac:dyDescent="0.3">
      <c r="A221" s="2" t="s">
        <v>246</v>
      </c>
      <c r="B221" s="2" t="s">
        <v>32</v>
      </c>
      <c r="C221" s="2" t="s">
        <v>33</v>
      </c>
      <c r="D221" s="2">
        <v>7</v>
      </c>
      <c r="E221" s="2">
        <v>7503032656</v>
      </c>
      <c r="F221" s="2" t="s">
        <v>19</v>
      </c>
      <c r="G221" s="2" t="s">
        <v>14</v>
      </c>
      <c r="H221" s="2" t="s">
        <v>15</v>
      </c>
      <c r="I221" s="2" t="s">
        <v>27</v>
      </c>
      <c r="J221" s="2" t="s">
        <v>23</v>
      </c>
    </row>
    <row r="222" spans="1:10" x14ac:dyDescent="0.3">
      <c r="A222" s="2" t="s">
        <v>247</v>
      </c>
      <c r="B222" s="2" t="s">
        <v>11</v>
      </c>
      <c r="C222" s="2" t="s">
        <v>26</v>
      </c>
      <c r="D222" s="2">
        <v>3</v>
      </c>
      <c r="E222" s="2">
        <v>8696706768</v>
      </c>
      <c r="F222" s="2" t="s">
        <v>13</v>
      </c>
      <c r="G222" s="2" t="s">
        <v>14</v>
      </c>
      <c r="H222" s="2" t="s">
        <v>21</v>
      </c>
      <c r="I222" s="2" t="s">
        <v>27</v>
      </c>
      <c r="J222" s="2" t="s">
        <v>22</v>
      </c>
    </row>
    <row r="223" spans="1:10" x14ac:dyDescent="0.3">
      <c r="A223" s="2" t="s">
        <v>248</v>
      </c>
      <c r="B223" s="2" t="s">
        <v>32</v>
      </c>
      <c r="C223" s="2" t="s">
        <v>33</v>
      </c>
      <c r="D223" s="2">
        <v>7</v>
      </c>
      <c r="E223" s="2">
        <v>6760935768</v>
      </c>
      <c r="F223" s="2" t="s">
        <v>19</v>
      </c>
      <c r="G223" s="2" t="s">
        <v>14</v>
      </c>
      <c r="H223" s="2" t="s">
        <v>15</v>
      </c>
      <c r="I223" s="2" t="s">
        <v>22</v>
      </c>
      <c r="J223" s="2" t="s">
        <v>22</v>
      </c>
    </row>
    <row r="224" spans="1:10" x14ac:dyDescent="0.3">
      <c r="A224" s="2" t="s">
        <v>249</v>
      </c>
      <c r="B224" s="2" t="s">
        <v>35</v>
      </c>
      <c r="C224" s="2" t="s">
        <v>33</v>
      </c>
      <c r="D224" s="2">
        <v>1</v>
      </c>
      <c r="E224" s="2">
        <v>9543400801</v>
      </c>
      <c r="F224" s="2" t="s">
        <v>13</v>
      </c>
      <c r="G224" s="2" t="s">
        <v>14</v>
      </c>
      <c r="H224" s="2" t="s">
        <v>15</v>
      </c>
      <c r="I224" s="2" t="s">
        <v>16</v>
      </c>
      <c r="J224" s="2" t="s">
        <v>17</v>
      </c>
    </row>
    <row r="225" spans="1:10" x14ac:dyDescent="0.3">
      <c r="A225" s="2" t="s">
        <v>250</v>
      </c>
      <c r="B225" s="2" t="s">
        <v>32</v>
      </c>
      <c r="C225" s="2" t="s">
        <v>43</v>
      </c>
      <c r="D225" s="2">
        <v>7</v>
      </c>
      <c r="E225" s="2">
        <v>8008795602</v>
      </c>
      <c r="F225" s="2" t="s">
        <v>19</v>
      </c>
      <c r="G225" s="2" t="s">
        <v>14</v>
      </c>
      <c r="H225" s="2" t="s">
        <v>15</v>
      </c>
      <c r="I225" s="2" t="s">
        <v>22</v>
      </c>
      <c r="J225" s="2" t="s">
        <v>17</v>
      </c>
    </row>
    <row r="226" spans="1:10" x14ac:dyDescent="0.3">
      <c r="A226" s="2" t="s">
        <v>251</v>
      </c>
      <c r="B226" s="2" t="s">
        <v>32</v>
      </c>
      <c r="C226" s="2" t="s">
        <v>33</v>
      </c>
      <c r="D226" s="2">
        <v>7</v>
      </c>
      <c r="E226" s="2">
        <v>7354403246</v>
      </c>
      <c r="F226" s="2" t="s">
        <v>19</v>
      </c>
      <c r="G226" s="2" t="s">
        <v>20</v>
      </c>
      <c r="H226" s="2" t="s">
        <v>15</v>
      </c>
      <c r="I226" s="2" t="s">
        <v>22</v>
      </c>
      <c r="J226" s="2" t="s">
        <v>17</v>
      </c>
    </row>
    <row r="227" spans="1:10" x14ac:dyDescent="0.3">
      <c r="A227" s="2" t="s">
        <v>252</v>
      </c>
      <c r="B227" s="2" t="s">
        <v>32</v>
      </c>
      <c r="C227" s="2" t="s">
        <v>12</v>
      </c>
      <c r="D227" s="2">
        <v>7</v>
      </c>
      <c r="E227" s="2">
        <v>6774563101</v>
      </c>
      <c r="F227" s="2" t="s">
        <v>13</v>
      </c>
      <c r="G227" s="2" t="s">
        <v>20</v>
      </c>
      <c r="H227" s="2" t="s">
        <v>15</v>
      </c>
      <c r="I227" s="2" t="s">
        <v>22</v>
      </c>
      <c r="J227" s="2" t="s">
        <v>23</v>
      </c>
    </row>
    <row r="228" spans="1:10" x14ac:dyDescent="0.3">
      <c r="A228" s="2" t="s">
        <v>253</v>
      </c>
      <c r="B228" s="2" t="s">
        <v>32</v>
      </c>
      <c r="C228" s="2" t="s">
        <v>43</v>
      </c>
      <c r="D228" s="2">
        <v>7</v>
      </c>
      <c r="E228" s="2">
        <v>6942766830</v>
      </c>
      <c r="F228" s="2" t="s">
        <v>13</v>
      </c>
      <c r="G228" s="2" t="s">
        <v>14</v>
      </c>
      <c r="H228" s="2" t="s">
        <v>21</v>
      </c>
      <c r="I228" s="2" t="s">
        <v>37</v>
      </c>
      <c r="J228" s="2" t="s">
        <v>22</v>
      </c>
    </row>
    <row r="229" spans="1:10" x14ac:dyDescent="0.3">
      <c r="A229" s="2" t="s">
        <v>254</v>
      </c>
      <c r="B229" s="2" t="s">
        <v>11</v>
      </c>
      <c r="C229" s="2" t="s">
        <v>33</v>
      </c>
      <c r="D229" s="2">
        <v>3</v>
      </c>
      <c r="E229" s="2">
        <v>6119945810</v>
      </c>
      <c r="F229" s="2" t="s">
        <v>19</v>
      </c>
      <c r="G229" s="2" t="s">
        <v>14</v>
      </c>
      <c r="H229" s="2" t="s">
        <v>21</v>
      </c>
      <c r="I229" s="2" t="s">
        <v>22</v>
      </c>
      <c r="J229" s="2" t="s">
        <v>23</v>
      </c>
    </row>
    <row r="230" spans="1:10" x14ac:dyDescent="0.3">
      <c r="A230" s="2" t="s">
        <v>255</v>
      </c>
      <c r="B230" s="2" t="s">
        <v>25</v>
      </c>
      <c r="C230" s="2" t="s">
        <v>12</v>
      </c>
      <c r="D230" s="2">
        <v>5</v>
      </c>
      <c r="E230" s="2">
        <v>6063974507</v>
      </c>
      <c r="F230" s="2" t="s">
        <v>19</v>
      </c>
      <c r="G230" s="2" t="s">
        <v>14</v>
      </c>
      <c r="H230" s="2" t="s">
        <v>15</v>
      </c>
      <c r="I230" s="2" t="s">
        <v>37</v>
      </c>
      <c r="J230" s="2" t="s">
        <v>22</v>
      </c>
    </row>
    <row r="231" spans="1:10" x14ac:dyDescent="0.3">
      <c r="A231" s="2" t="s">
        <v>256</v>
      </c>
      <c r="B231" s="2" t="s">
        <v>35</v>
      </c>
      <c r="C231" s="2" t="s">
        <v>43</v>
      </c>
      <c r="D231" s="2">
        <v>1</v>
      </c>
      <c r="E231" s="2">
        <v>8182528183</v>
      </c>
      <c r="F231" s="2" t="s">
        <v>13</v>
      </c>
      <c r="G231" s="2" t="s">
        <v>14</v>
      </c>
      <c r="H231" s="2" t="s">
        <v>21</v>
      </c>
      <c r="I231" s="2" t="s">
        <v>22</v>
      </c>
      <c r="J231" s="2" t="s">
        <v>23</v>
      </c>
    </row>
    <row r="232" spans="1:10" x14ac:dyDescent="0.3">
      <c r="A232" s="2" t="s">
        <v>257</v>
      </c>
      <c r="B232" s="2" t="s">
        <v>35</v>
      </c>
      <c r="C232" s="2" t="s">
        <v>26</v>
      </c>
      <c r="D232" s="2">
        <v>1</v>
      </c>
      <c r="E232" s="2">
        <v>9082299989</v>
      </c>
      <c r="F232" s="2" t="s">
        <v>13</v>
      </c>
      <c r="G232" s="2" t="s">
        <v>14</v>
      </c>
      <c r="H232" s="2" t="s">
        <v>15</v>
      </c>
      <c r="I232" s="2" t="s">
        <v>22</v>
      </c>
      <c r="J232" s="2" t="s">
        <v>22</v>
      </c>
    </row>
    <row r="233" spans="1:10" x14ac:dyDescent="0.3">
      <c r="A233" s="2" t="s">
        <v>258</v>
      </c>
      <c r="B233" s="2" t="s">
        <v>25</v>
      </c>
      <c r="C233" s="2" t="s">
        <v>12</v>
      </c>
      <c r="D233" s="2">
        <v>5</v>
      </c>
      <c r="E233" s="2">
        <v>7256217471</v>
      </c>
      <c r="F233" s="2" t="s">
        <v>13</v>
      </c>
      <c r="G233" s="2" t="s">
        <v>14</v>
      </c>
      <c r="H233" s="2" t="s">
        <v>21</v>
      </c>
      <c r="I233" s="2" t="s">
        <v>22</v>
      </c>
      <c r="J233" s="2" t="s">
        <v>23</v>
      </c>
    </row>
    <row r="234" spans="1:10" x14ac:dyDescent="0.3">
      <c r="A234" s="2" t="s">
        <v>259</v>
      </c>
      <c r="B234" s="2" t="s">
        <v>11</v>
      </c>
      <c r="C234" s="2" t="s">
        <v>12</v>
      </c>
      <c r="D234" s="2">
        <v>3</v>
      </c>
      <c r="E234" s="2">
        <v>7112911090</v>
      </c>
      <c r="F234" s="2" t="s">
        <v>19</v>
      </c>
      <c r="G234" s="2" t="s">
        <v>20</v>
      </c>
      <c r="H234" s="2" t="s">
        <v>21</v>
      </c>
      <c r="I234" s="2" t="s">
        <v>41</v>
      </c>
      <c r="J234" s="2" t="s">
        <v>23</v>
      </c>
    </row>
    <row r="235" spans="1:10" x14ac:dyDescent="0.3">
      <c r="A235" s="2" t="s">
        <v>260</v>
      </c>
      <c r="B235" s="2" t="s">
        <v>25</v>
      </c>
      <c r="C235" s="2" t="s">
        <v>43</v>
      </c>
      <c r="D235" s="2">
        <v>5</v>
      </c>
      <c r="E235" s="2">
        <v>7615308856</v>
      </c>
      <c r="F235" s="2" t="s">
        <v>19</v>
      </c>
      <c r="G235" s="2" t="s">
        <v>14</v>
      </c>
      <c r="H235" s="2" t="s">
        <v>21</v>
      </c>
      <c r="I235" s="2" t="s">
        <v>41</v>
      </c>
      <c r="J235" s="2" t="s">
        <v>23</v>
      </c>
    </row>
    <row r="236" spans="1:10" x14ac:dyDescent="0.3">
      <c r="A236" s="2" t="s">
        <v>261</v>
      </c>
      <c r="B236" s="2" t="s">
        <v>25</v>
      </c>
      <c r="C236" s="2" t="s">
        <v>33</v>
      </c>
      <c r="D236" s="2">
        <v>5</v>
      </c>
      <c r="E236" s="2">
        <v>9847899395</v>
      </c>
      <c r="F236" s="2" t="s">
        <v>19</v>
      </c>
      <c r="G236" s="2" t="s">
        <v>14</v>
      </c>
      <c r="H236" s="2" t="s">
        <v>15</v>
      </c>
      <c r="I236" s="2" t="s">
        <v>37</v>
      </c>
      <c r="J236" s="2" t="s">
        <v>22</v>
      </c>
    </row>
    <row r="237" spans="1:10" x14ac:dyDescent="0.3">
      <c r="A237" s="2" t="s">
        <v>262</v>
      </c>
      <c r="B237" s="2" t="s">
        <v>11</v>
      </c>
      <c r="C237" s="2" t="s">
        <v>33</v>
      </c>
      <c r="D237" s="2">
        <v>3</v>
      </c>
      <c r="E237" s="2">
        <v>7902422598</v>
      </c>
      <c r="F237" s="2" t="s">
        <v>19</v>
      </c>
      <c r="G237" s="2" t="s">
        <v>14</v>
      </c>
      <c r="H237" s="2" t="s">
        <v>15</v>
      </c>
      <c r="I237" s="2" t="s">
        <v>22</v>
      </c>
      <c r="J237" s="2" t="s">
        <v>23</v>
      </c>
    </row>
    <row r="238" spans="1:10" x14ac:dyDescent="0.3">
      <c r="A238" s="2" t="s">
        <v>263</v>
      </c>
      <c r="B238" s="2" t="s">
        <v>35</v>
      </c>
      <c r="C238" s="2" t="s">
        <v>12</v>
      </c>
      <c r="D238" s="2">
        <v>1</v>
      </c>
      <c r="E238" s="2">
        <v>6570307637</v>
      </c>
      <c r="F238" s="2" t="s">
        <v>13</v>
      </c>
      <c r="G238" s="2" t="s">
        <v>14</v>
      </c>
      <c r="H238" s="2" t="s">
        <v>21</v>
      </c>
      <c r="I238" s="2" t="s">
        <v>37</v>
      </c>
      <c r="J238" s="2" t="s">
        <v>17</v>
      </c>
    </row>
    <row r="239" spans="1:10" x14ac:dyDescent="0.3">
      <c r="A239" s="2" t="s">
        <v>264</v>
      </c>
      <c r="B239" s="2" t="s">
        <v>32</v>
      </c>
      <c r="C239" s="2" t="s">
        <v>12</v>
      </c>
      <c r="D239" s="2">
        <v>7</v>
      </c>
      <c r="E239" s="2">
        <v>6538891921</v>
      </c>
      <c r="F239" s="2" t="s">
        <v>19</v>
      </c>
      <c r="G239" s="2" t="s">
        <v>20</v>
      </c>
      <c r="H239" s="2" t="s">
        <v>21</v>
      </c>
      <c r="I239" s="2" t="s">
        <v>22</v>
      </c>
      <c r="J239" s="2" t="s">
        <v>17</v>
      </c>
    </row>
    <row r="240" spans="1:10" x14ac:dyDescent="0.3">
      <c r="A240" s="2" t="s">
        <v>265</v>
      </c>
      <c r="B240" s="2" t="s">
        <v>11</v>
      </c>
      <c r="C240" s="2" t="s">
        <v>12</v>
      </c>
      <c r="D240" s="2">
        <v>3</v>
      </c>
      <c r="E240" s="2">
        <v>6764981615</v>
      </c>
      <c r="F240" s="2" t="s">
        <v>19</v>
      </c>
      <c r="G240" s="2" t="s">
        <v>14</v>
      </c>
      <c r="H240" s="2" t="s">
        <v>21</v>
      </c>
      <c r="I240" s="2" t="s">
        <v>37</v>
      </c>
      <c r="J240" s="2" t="s">
        <v>22</v>
      </c>
    </row>
    <row r="241" spans="1:10" x14ac:dyDescent="0.3">
      <c r="A241" s="2" t="s">
        <v>127</v>
      </c>
      <c r="B241" s="2" t="s">
        <v>25</v>
      </c>
      <c r="C241" s="2" t="s">
        <v>26</v>
      </c>
      <c r="D241" s="2">
        <v>5</v>
      </c>
      <c r="E241" s="2">
        <v>6897919819</v>
      </c>
      <c r="F241" s="2" t="s">
        <v>19</v>
      </c>
      <c r="G241" s="2" t="s">
        <v>20</v>
      </c>
      <c r="H241" s="2" t="s">
        <v>15</v>
      </c>
      <c r="I241" s="2" t="s">
        <v>41</v>
      </c>
      <c r="J241" s="2" t="s">
        <v>22</v>
      </c>
    </row>
    <row r="242" spans="1:10" x14ac:dyDescent="0.3">
      <c r="A242" s="2" t="s">
        <v>266</v>
      </c>
      <c r="B242" s="2" t="s">
        <v>25</v>
      </c>
      <c r="C242" s="2" t="s">
        <v>12</v>
      </c>
      <c r="D242" s="2">
        <v>5</v>
      </c>
      <c r="E242" s="2">
        <v>7147300176</v>
      </c>
      <c r="F242" s="2" t="s">
        <v>19</v>
      </c>
      <c r="G242" s="2" t="s">
        <v>20</v>
      </c>
      <c r="H242" s="2" t="s">
        <v>15</v>
      </c>
      <c r="I242" s="2" t="s">
        <v>22</v>
      </c>
      <c r="J242" s="2" t="s">
        <v>23</v>
      </c>
    </row>
    <row r="243" spans="1:10" x14ac:dyDescent="0.3">
      <c r="A243" s="2" t="s">
        <v>267</v>
      </c>
      <c r="B243" s="2" t="s">
        <v>25</v>
      </c>
      <c r="C243" s="2" t="s">
        <v>43</v>
      </c>
      <c r="D243" s="2">
        <v>5</v>
      </c>
      <c r="E243" s="2">
        <v>9668041763</v>
      </c>
      <c r="F243" s="2" t="s">
        <v>13</v>
      </c>
      <c r="G243" s="2" t="s">
        <v>14</v>
      </c>
      <c r="H243" s="2" t="s">
        <v>15</v>
      </c>
      <c r="I243" s="2" t="s">
        <v>37</v>
      </c>
      <c r="J243" s="2" t="s">
        <v>22</v>
      </c>
    </row>
    <row r="244" spans="1:10" x14ac:dyDescent="0.3">
      <c r="A244" s="2" t="s">
        <v>268</v>
      </c>
      <c r="B244" s="2" t="s">
        <v>32</v>
      </c>
      <c r="C244" s="2" t="s">
        <v>12</v>
      </c>
      <c r="D244" s="2">
        <v>7</v>
      </c>
      <c r="E244" s="2">
        <v>7826892025</v>
      </c>
      <c r="F244" s="2" t="s">
        <v>13</v>
      </c>
      <c r="G244" s="2" t="s">
        <v>20</v>
      </c>
      <c r="H244" s="2" t="s">
        <v>15</v>
      </c>
      <c r="I244" s="2" t="s">
        <v>16</v>
      </c>
      <c r="J244" s="2" t="s">
        <v>22</v>
      </c>
    </row>
    <row r="245" spans="1:10" x14ac:dyDescent="0.3">
      <c r="A245" s="2" t="s">
        <v>269</v>
      </c>
      <c r="B245" s="2" t="s">
        <v>32</v>
      </c>
      <c r="C245" s="2" t="s">
        <v>26</v>
      </c>
      <c r="D245" s="2">
        <v>7</v>
      </c>
      <c r="E245" s="2">
        <v>8003475837</v>
      </c>
      <c r="F245" s="2" t="s">
        <v>19</v>
      </c>
      <c r="G245" s="2" t="s">
        <v>20</v>
      </c>
      <c r="H245" s="2" t="s">
        <v>15</v>
      </c>
      <c r="I245" s="2" t="s">
        <v>41</v>
      </c>
      <c r="J245" s="2" t="s">
        <v>23</v>
      </c>
    </row>
    <row r="246" spans="1:10" x14ac:dyDescent="0.3">
      <c r="A246" s="2" t="s">
        <v>270</v>
      </c>
      <c r="B246" s="2" t="s">
        <v>32</v>
      </c>
      <c r="C246" s="2" t="s">
        <v>43</v>
      </c>
      <c r="D246" s="2">
        <v>7</v>
      </c>
      <c r="E246" s="2">
        <v>8705613636</v>
      </c>
      <c r="F246" s="2" t="s">
        <v>19</v>
      </c>
      <c r="G246" s="2" t="s">
        <v>20</v>
      </c>
      <c r="H246" s="2" t="s">
        <v>21</v>
      </c>
      <c r="I246" s="2" t="s">
        <v>16</v>
      </c>
      <c r="J246" s="2" t="s">
        <v>22</v>
      </c>
    </row>
    <row r="247" spans="1:10" x14ac:dyDescent="0.3">
      <c r="A247" s="2" t="s">
        <v>271</v>
      </c>
      <c r="B247" s="2" t="s">
        <v>25</v>
      </c>
      <c r="C247" s="2" t="s">
        <v>33</v>
      </c>
      <c r="D247" s="2">
        <v>5</v>
      </c>
      <c r="E247" s="2">
        <v>6118847180</v>
      </c>
      <c r="F247" s="2" t="s">
        <v>13</v>
      </c>
      <c r="G247" s="2" t="s">
        <v>14</v>
      </c>
      <c r="H247" s="2" t="s">
        <v>15</v>
      </c>
      <c r="I247" s="2" t="s">
        <v>37</v>
      </c>
      <c r="J247" s="2" t="s">
        <v>17</v>
      </c>
    </row>
    <row r="248" spans="1:10" x14ac:dyDescent="0.3">
      <c r="A248" s="2" t="s">
        <v>272</v>
      </c>
      <c r="B248" s="2" t="s">
        <v>11</v>
      </c>
      <c r="C248" s="2" t="s">
        <v>12</v>
      </c>
      <c r="D248" s="2">
        <v>3</v>
      </c>
      <c r="E248" s="2">
        <v>9905412979</v>
      </c>
      <c r="F248" s="2" t="s">
        <v>13</v>
      </c>
      <c r="G248" s="2" t="s">
        <v>20</v>
      </c>
      <c r="H248" s="2" t="s">
        <v>15</v>
      </c>
      <c r="I248" s="2" t="s">
        <v>41</v>
      </c>
      <c r="J248" s="2" t="s">
        <v>22</v>
      </c>
    </row>
    <row r="249" spans="1:10" x14ac:dyDescent="0.3">
      <c r="A249" s="2" t="s">
        <v>273</v>
      </c>
      <c r="B249" s="2" t="s">
        <v>25</v>
      </c>
      <c r="C249" s="2" t="s">
        <v>33</v>
      </c>
      <c r="D249" s="2">
        <v>5</v>
      </c>
      <c r="E249" s="2">
        <v>7409594170</v>
      </c>
      <c r="F249" s="2" t="s">
        <v>13</v>
      </c>
      <c r="G249" s="2" t="s">
        <v>14</v>
      </c>
      <c r="H249" s="2" t="s">
        <v>15</v>
      </c>
      <c r="I249" s="2" t="s">
        <v>27</v>
      </c>
      <c r="J249" s="2" t="s">
        <v>22</v>
      </c>
    </row>
    <row r="250" spans="1:10" x14ac:dyDescent="0.3">
      <c r="A250" s="2" t="s">
        <v>274</v>
      </c>
      <c r="B250" s="2" t="s">
        <v>35</v>
      </c>
      <c r="C250" s="2" t="s">
        <v>26</v>
      </c>
      <c r="D250" s="2">
        <v>1</v>
      </c>
      <c r="E250" s="2">
        <v>6536982244</v>
      </c>
      <c r="F250" s="2" t="s">
        <v>13</v>
      </c>
      <c r="G250" s="2" t="s">
        <v>20</v>
      </c>
      <c r="H250" s="2" t="s">
        <v>21</v>
      </c>
      <c r="I250" s="2" t="s">
        <v>41</v>
      </c>
      <c r="J250" s="2" t="s">
        <v>22</v>
      </c>
    </row>
    <row r="251" spans="1:10" x14ac:dyDescent="0.3">
      <c r="A251" s="2" t="s">
        <v>275</v>
      </c>
      <c r="B251" s="2" t="s">
        <v>25</v>
      </c>
      <c r="C251" s="2" t="s">
        <v>33</v>
      </c>
      <c r="D251" s="2">
        <v>5</v>
      </c>
      <c r="E251" s="2">
        <v>7297304435</v>
      </c>
      <c r="F251" s="2" t="s">
        <v>13</v>
      </c>
      <c r="G251" s="2" t="s">
        <v>14</v>
      </c>
      <c r="H251" s="2" t="s">
        <v>21</v>
      </c>
      <c r="I251" s="2" t="s">
        <v>41</v>
      </c>
      <c r="J251" s="2" t="s">
        <v>17</v>
      </c>
    </row>
    <row r="252" spans="1:10" x14ac:dyDescent="0.3">
      <c r="A252" s="2" t="s">
        <v>276</v>
      </c>
      <c r="B252" s="2" t="s">
        <v>35</v>
      </c>
      <c r="C252" s="2" t="s">
        <v>12</v>
      </c>
      <c r="D252" s="2">
        <v>1</v>
      </c>
      <c r="E252" s="2">
        <v>9124302350</v>
      </c>
      <c r="F252" s="2" t="s">
        <v>13</v>
      </c>
      <c r="G252" s="2" t="s">
        <v>20</v>
      </c>
      <c r="H252" s="2" t="s">
        <v>15</v>
      </c>
      <c r="I252" s="2" t="s">
        <v>29</v>
      </c>
      <c r="J252" s="2" t="s">
        <v>17</v>
      </c>
    </row>
    <row r="253" spans="1:10" x14ac:dyDescent="0.3">
      <c r="A253" s="2" t="s">
        <v>277</v>
      </c>
      <c r="B253" s="2" t="s">
        <v>35</v>
      </c>
      <c r="C253" s="2" t="s">
        <v>26</v>
      </c>
      <c r="D253" s="2">
        <v>1</v>
      </c>
      <c r="E253" s="2">
        <v>9523962094</v>
      </c>
      <c r="F253" s="2" t="s">
        <v>13</v>
      </c>
      <c r="G253" s="2" t="s">
        <v>14</v>
      </c>
      <c r="H253" s="2" t="s">
        <v>15</v>
      </c>
      <c r="I253" s="2" t="s">
        <v>22</v>
      </c>
      <c r="J253" s="2" t="s">
        <v>22</v>
      </c>
    </row>
    <row r="254" spans="1:10" x14ac:dyDescent="0.3">
      <c r="A254" s="2" t="s">
        <v>278</v>
      </c>
      <c r="B254" s="2" t="s">
        <v>11</v>
      </c>
      <c r="C254" s="2" t="s">
        <v>12</v>
      </c>
      <c r="D254" s="2">
        <v>3</v>
      </c>
      <c r="E254" s="2">
        <v>7805019973</v>
      </c>
      <c r="F254" s="2" t="s">
        <v>13</v>
      </c>
      <c r="G254" s="2" t="s">
        <v>14</v>
      </c>
      <c r="H254" s="2" t="s">
        <v>21</v>
      </c>
      <c r="I254" s="2" t="s">
        <v>29</v>
      </c>
      <c r="J254" s="2" t="s">
        <v>23</v>
      </c>
    </row>
    <row r="255" spans="1:10" x14ac:dyDescent="0.3">
      <c r="A255" s="2" t="s">
        <v>279</v>
      </c>
      <c r="B255" s="2" t="s">
        <v>25</v>
      </c>
      <c r="C255" s="2" t="s">
        <v>43</v>
      </c>
      <c r="D255" s="2">
        <v>5</v>
      </c>
      <c r="E255" s="2">
        <v>8908711740</v>
      </c>
      <c r="F255" s="2" t="s">
        <v>19</v>
      </c>
      <c r="G255" s="2" t="s">
        <v>14</v>
      </c>
      <c r="H255" s="2" t="s">
        <v>21</v>
      </c>
      <c r="I255" s="2" t="s">
        <v>22</v>
      </c>
      <c r="J255" s="2" t="s">
        <v>23</v>
      </c>
    </row>
    <row r="256" spans="1:10" x14ac:dyDescent="0.3">
      <c r="A256" s="2" t="s">
        <v>280</v>
      </c>
      <c r="B256" s="2" t="s">
        <v>11</v>
      </c>
      <c r="C256" s="2" t="s">
        <v>36</v>
      </c>
      <c r="D256" s="2">
        <v>3</v>
      </c>
      <c r="E256" s="2">
        <v>9994241163</v>
      </c>
      <c r="F256" s="2" t="s">
        <v>19</v>
      </c>
      <c r="G256" s="2" t="s">
        <v>14</v>
      </c>
      <c r="H256" s="2" t="s">
        <v>21</v>
      </c>
      <c r="I256" s="2" t="s">
        <v>29</v>
      </c>
      <c r="J256" s="2" t="s">
        <v>22</v>
      </c>
    </row>
    <row r="257" spans="1:10" x14ac:dyDescent="0.3">
      <c r="A257" s="2" t="s">
        <v>281</v>
      </c>
      <c r="B257" s="2" t="s">
        <v>32</v>
      </c>
      <c r="C257" s="2" t="s">
        <v>12</v>
      </c>
      <c r="D257" s="2">
        <v>7</v>
      </c>
      <c r="E257" s="2">
        <v>7351683503</v>
      </c>
      <c r="F257" s="2" t="s">
        <v>13</v>
      </c>
      <c r="G257" s="2" t="s">
        <v>20</v>
      </c>
      <c r="H257" s="2" t="s">
        <v>21</v>
      </c>
      <c r="I257" s="2" t="s">
        <v>16</v>
      </c>
      <c r="J257" s="2" t="s">
        <v>17</v>
      </c>
    </row>
    <row r="258" spans="1:10" x14ac:dyDescent="0.3">
      <c r="A258" s="2" t="s">
        <v>282</v>
      </c>
      <c r="B258" s="2" t="s">
        <v>11</v>
      </c>
      <c r="C258" s="2" t="s">
        <v>36</v>
      </c>
      <c r="D258" s="2">
        <v>3</v>
      </c>
      <c r="E258" s="2">
        <v>8080619526</v>
      </c>
      <c r="F258" s="2" t="s">
        <v>19</v>
      </c>
      <c r="G258" s="2" t="s">
        <v>20</v>
      </c>
      <c r="H258" s="2" t="s">
        <v>15</v>
      </c>
      <c r="I258" s="2" t="s">
        <v>27</v>
      </c>
      <c r="J258" s="2" t="s">
        <v>23</v>
      </c>
    </row>
    <row r="259" spans="1:10" x14ac:dyDescent="0.3">
      <c r="A259" s="2" t="s">
        <v>283</v>
      </c>
      <c r="B259" s="2" t="s">
        <v>32</v>
      </c>
      <c r="C259" s="2" t="s">
        <v>12</v>
      </c>
      <c r="D259" s="2">
        <v>7</v>
      </c>
      <c r="E259" s="2">
        <v>8523942137</v>
      </c>
      <c r="F259" s="2" t="s">
        <v>19</v>
      </c>
      <c r="G259" s="2" t="s">
        <v>20</v>
      </c>
      <c r="H259" s="2" t="s">
        <v>21</v>
      </c>
      <c r="I259" s="2" t="s">
        <v>22</v>
      </c>
      <c r="J259" s="2" t="s">
        <v>17</v>
      </c>
    </row>
    <row r="260" spans="1:10" x14ac:dyDescent="0.3">
      <c r="A260" s="2" t="s">
        <v>284</v>
      </c>
      <c r="B260" s="2" t="s">
        <v>35</v>
      </c>
      <c r="C260" s="2" t="s">
        <v>43</v>
      </c>
      <c r="D260" s="2">
        <v>1</v>
      </c>
      <c r="E260" s="2">
        <v>6880452593</v>
      </c>
      <c r="F260" s="2" t="s">
        <v>13</v>
      </c>
      <c r="G260" s="2" t="s">
        <v>20</v>
      </c>
      <c r="H260" s="2" t="s">
        <v>21</v>
      </c>
      <c r="I260" s="2" t="s">
        <v>41</v>
      </c>
      <c r="J260" s="2" t="s">
        <v>23</v>
      </c>
    </row>
    <row r="261" spans="1:10" x14ac:dyDescent="0.3">
      <c r="A261" s="2" t="s">
        <v>285</v>
      </c>
      <c r="B261" s="2" t="s">
        <v>25</v>
      </c>
      <c r="C261" s="2" t="s">
        <v>33</v>
      </c>
      <c r="D261" s="2">
        <v>5</v>
      </c>
      <c r="E261" s="2">
        <v>7528675887</v>
      </c>
      <c r="F261" s="2" t="s">
        <v>13</v>
      </c>
      <c r="G261" s="2" t="s">
        <v>14</v>
      </c>
      <c r="H261" s="2" t="s">
        <v>21</v>
      </c>
      <c r="I261" s="2" t="s">
        <v>37</v>
      </c>
      <c r="J261" s="2" t="s">
        <v>22</v>
      </c>
    </row>
    <row r="262" spans="1:10" x14ac:dyDescent="0.3">
      <c r="A262" s="2" t="s">
        <v>286</v>
      </c>
      <c r="B262" s="2" t="s">
        <v>32</v>
      </c>
      <c r="C262" s="2" t="s">
        <v>26</v>
      </c>
      <c r="D262" s="2">
        <v>7</v>
      </c>
      <c r="E262" s="2">
        <v>9975716753</v>
      </c>
      <c r="F262" s="2" t="s">
        <v>19</v>
      </c>
      <c r="G262" s="2" t="s">
        <v>20</v>
      </c>
      <c r="H262" s="2" t="s">
        <v>15</v>
      </c>
      <c r="I262" s="2" t="s">
        <v>37</v>
      </c>
      <c r="J262" s="2" t="s">
        <v>22</v>
      </c>
    </row>
    <row r="263" spans="1:10" x14ac:dyDescent="0.3">
      <c r="A263" s="2" t="s">
        <v>287</v>
      </c>
      <c r="B263" s="2" t="s">
        <v>25</v>
      </c>
      <c r="C263" s="2" t="s">
        <v>12</v>
      </c>
      <c r="D263" s="2">
        <v>5</v>
      </c>
      <c r="E263" s="2">
        <v>7782042637</v>
      </c>
      <c r="F263" s="2" t="s">
        <v>19</v>
      </c>
      <c r="G263" s="2" t="s">
        <v>14</v>
      </c>
      <c r="H263" s="2" t="s">
        <v>21</v>
      </c>
      <c r="I263" s="2" t="s">
        <v>41</v>
      </c>
      <c r="J263" s="2" t="s">
        <v>17</v>
      </c>
    </row>
    <row r="264" spans="1:10" x14ac:dyDescent="0.3">
      <c r="A264" s="2" t="s">
        <v>288</v>
      </c>
      <c r="B264" s="2" t="s">
        <v>11</v>
      </c>
      <c r="C264" s="2" t="s">
        <v>26</v>
      </c>
      <c r="D264" s="2">
        <v>3</v>
      </c>
      <c r="E264" s="2">
        <v>8200682061</v>
      </c>
      <c r="F264" s="2" t="s">
        <v>19</v>
      </c>
      <c r="G264" s="2" t="s">
        <v>20</v>
      </c>
      <c r="H264" s="2" t="s">
        <v>21</v>
      </c>
      <c r="I264" s="2" t="s">
        <v>22</v>
      </c>
      <c r="J264" s="2" t="s">
        <v>23</v>
      </c>
    </row>
    <row r="265" spans="1:10" x14ac:dyDescent="0.3">
      <c r="A265" s="2" t="s">
        <v>289</v>
      </c>
      <c r="B265" s="2" t="s">
        <v>25</v>
      </c>
      <c r="C265" s="2" t="s">
        <v>33</v>
      </c>
      <c r="D265" s="2">
        <v>5</v>
      </c>
      <c r="E265" s="2">
        <v>6951338106</v>
      </c>
      <c r="F265" s="2" t="s">
        <v>13</v>
      </c>
      <c r="G265" s="2" t="s">
        <v>20</v>
      </c>
      <c r="H265" s="2" t="s">
        <v>21</v>
      </c>
      <c r="I265" s="2" t="s">
        <v>22</v>
      </c>
      <c r="J265" s="2" t="s">
        <v>22</v>
      </c>
    </row>
    <row r="266" spans="1:10" x14ac:dyDescent="0.3">
      <c r="A266" s="2" t="s">
        <v>290</v>
      </c>
      <c r="B266" s="2" t="s">
        <v>35</v>
      </c>
      <c r="C266" s="2" t="s">
        <v>12</v>
      </c>
      <c r="D266" s="2">
        <v>1</v>
      </c>
      <c r="E266" s="2">
        <v>6934987009</v>
      </c>
      <c r="F266" s="2" t="s">
        <v>19</v>
      </c>
      <c r="G266" s="2" t="s">
        <v>20</v>
      </c>
      <c r="H266" s="2" t="s">
        <v>15</v>
      </c>
      <c r="I266" s="2" t="s">
        <v>22</v>
      </c>
      <c r="J266" s="2" t="s">
        <v>23</v>
      </c>
    </row>
    <row r="267" spans="1:10" x14ac:dyDescent="0.3">
      <c r="A267" s="2" t="s">
        <v>240</v>
      </c>
      <c r="B267" s="2" t="s">
        <v>35</v>
      </c>
      <c r="C267" s="2" t="s">
        <v>12</v>
      </c>
      <c r="D267" s="2">
        <v>1</v>
      </c>
      <c r="E267" s="2">
        <v>9886073664</v>
      </c>
      <c r="F267" s="2" t="s">
        <v>13</v>
      </c>
      <c r="G267" s="2" t="s">
        <v>20</v>
      </c>
      <c r="H267" s="2" t="s">
        <v>15</v>
      </c>
      <c r="I267" s="2" t="s">
        <v>22</v>
      </c>
      <c r="J267" s="2" t="s">
        <v>22</v>
      </c>
    </row>
    <row r="268" spans="1:10" x14ac:dyDescent="0.3">
      <c r="A268" s="2" t="s">
        <v>291</v>
      </c>
      <c r="B268" s="2" t="s">
        <v>32</v>
      </c>
      <c r="C268" s="2" t="s">
        <v>36</v>
      </c>
      <c r="D268" s="2">
        <v>7</v>
      </c>
      <c r="E268" s="2">
        <v>9013296970</v>
      </c>
      <c r="F268" s="2" t="s">
        <v>19</v>
      </c>
      <c r="G268" s="2" t="s">
        <v>20</v>
      </c>
      <c r="H268" s="2" t="s">
        <v>15</v>
      </c>
      <c r="I268" s="2" t="s">
        <v>16</v>
      </c>
      <c r="J268" s="2" t="s">
        <v>23</v>
      </c>
    </row>
    <row r="269" spans="1:10" x14ac:dyDescent="0.3">
      <c r="A269" s="2" t="s">
        <v>292</v>
      </c>
      <c r="B269" s="2" t="s">
        <v>25</v>
      </c>
      <c r="C269" s="2" t="s">
        <v>43</v>
      </c>
      <c r="D269" s="2">
        <v>5</v>
      </c>
      <c r="E269" s="2">
        <v>9239147624</v>
      </c>
      <c r="F269" s="2" t="s">
        <v>19</v>
      </c>
      <c r="G269" s="2" t="s">
        <v>14</v>
      </c>
      <c r="H269" s="2" t="s">
        <v>21</v>
      </c>
      <c r="I269" s="2" t="s">
        <v>41</v>
      </c>
      <c r="J269" s="2" t="s">
        <v>22</v>
      </c>
    </row>
    <row r="270" spans="1:10" x14ac:dyDescent="0.3">
      <c r="A270" s="2" t="s">
        <v>293</v>
      </c>
      <c r="B270" s="2" t="s">
        <v>32</v>
      </c>
      <c r="C270" s="2" t="s">
        <v>26</v>
      </c>
      <c r="D270" s="2">
        <v>7</v>
      </c>
      <c r="E270" s="2">
        <v>7453021693</v>
      </c>
      <c r="F270" s="2" t="s">
        <v>13</v>
      </c>
      <c r="G270" s="2" t="s">
        <v>20</v>
      </c>
      <c r="H270" s="2" t="s">
        <v>15</v>
      </c>
      <c r="I270" s="2" t="s">
        <v>29</v>
      </c>
      <c r="J270" s="2" t="s">
        <v>22</v>
      </c>
    </row>
    <row r="271" spans="1:10" x14ac:dyDescent="0.3">
      <c r="A271" s="2" t="s">
        <v>294</v>
      </c>
      <c r="B271" s="2" t="s">
        <v>25</v>
      </c>
      <c r="C271" s="2" t="s">
        <v>26</v>
      </c>
      <c r="D271" s="2">
        <v>5</v>
      </c>
      <c r="E271" s="2">
        <v>7315120205</v>
      </c>
      <c r="F271" s="2" t="s">
        <v>19</v>
      </c>
      <c r="G271" s="2" t="s">
        <v>14</v>
      </c>
      <c r="H271" s="2" t="s">
        <v>21</v>
      </c>
      <c r="I271" s="2" t="s">
        <v>22</v>
      </c>
      <c r="J271" s="2" t="s">
        <v>17</v>
      </c>
    </row>
    <row r="272" spans="1:10" x14ac:dyDescent="0.3">
      <c r="A272" s="2" t="s">
        <v>295</v>
      </c>
      <c r="B272" s="2" t="s">
        <v>35</v>
      </c>
      <c r="C272" s="2" t="s">
        <v>43</v>
      </c>
      <c r="D272" s="2">
        <v>1</v>
      </c>
      <c r="E272" s="2">
        <v>6653290332</v>
      </c>
      <c r="F272" s="2" t="s">
        <v>19</v>
      </c>
      <c r="G272" s="2" t="s">
        <v>14</v>
      </c>
      <c r="H272" s="2" t="s">
        <v>15</v>
      </c>
      <c r="I272" s="2" t="s">
        <v>37</v>
      </c>
      <c r="J272" s="2" t="s">
        <v>22</v>
      </c>
    </row>
    <row r="273" spans="1:10" x14ac:dyDescent="0.3">
      <c r="A273" s="2" t="s">
        <v>52</v>
      </c>
      <c r="B273" s="2" t="s">
        <v>32</v>
      </c>
      <c r="C273" s="2" t="s">
        <v>36</v>
      </c>
      <c r="D273" s="2">
        <v>7</v>
      </c>
      <c r="E273" s="2">
        <v>8933456313</v>
      </c>
      <c r="F273" s="2" t="s">
        <v>19</v>
      </c>
      <c r="G273" s="2" t="s">
        <v>14</v>
      </c>
      <c r="H273" s="2" t="s">
        <v>15</v>
      </c>
      <c r="I273" s="2" t="s">
        <v>16</v>
      </c>
      <c r="J273" s="2" t="s">
        <v>22</v>
      </c>
    </row>
    <row r="274" spans="1:10" x14ac:dyDescent="0.3">
      <c r="A274" s="2" t="s">
        <v>296</v>
      </c>
      <c r="B274" s="2" t="s">
        <v>11</v>
      </c>
      <c r="C274" s="2" t="s">
        <v>36</v>
      </c>
      <c r="D274" s="2">
        <v>3</v>
      </c>
      <c r="E274" s="2">
        <v>9012070733</v>
      </c>
      <c r="F274" s="2" t="s">
        <v>13</v>
      </c>
      <c r="G274" s="2" t="s">
        <v>20</v>
      </c>
      <c r="H274" s="2" t="s">
        <v>21</v>
      </c>
      <c r="I274" s="2" t="s">
        <v>22</v>
      </c>
      <c r="J274" s="2" t="s">
        <v>22</v>
      </c>
    </row>
    <row r="275" spans="1:10" x14ac:dyDescent="0.3">
      <c r="A275" s="2" t="s">
        <v>297</v>
      </c>
      <c r="B275" s="2" t="s">
        <v>32</v>
      </c>
      <c r="C275" s="2" t="s">
        <v>33</v>
      </c>
      <c r="D275" s="2">
        <v>7</v>
      </c>
      <c r="E275" s="2">
        <v>8780588741</v>
      </c>
      <c r="F275" s="2" t="s">
        <v>19</v>
      </c>
      <c r="G275" s="2" t="s">
        <v>20</v>
      </c>
      <c r="H275" s="2" t="s">
        <v>15</v>
      </c>
      <c r="I275" s="2" t="s">
        <v>22</v>
      </c>
      <c r="J275" s="2" t="s">
        <v>22</v>
      </c>
    </row>
    <row r="276" spans="1:10" x14ac:dyDescent="0.3">
      <c r="A276" s="2" t="s">
        <v>132</v>
      </c>
      <c r="B276" s="2" t="s">
        <v>35</v>
      </c>
      <c r="C276" s="2" t="s">
        <v>43</v>
      </c>
      <c r="D276" s="2">
        <v>1</v>
      </c>
      <c r="E276" s="2">
        <v>6873896121</v>
      </c>
      <c r="F276" s="2" t="s">
        <v>19</v>
      </c>
      <c r="G276" s="2" t="s">
        <v>20</v>
      </c>
      <c r="H276" s="2" t="s">
        <v>21</v>
      </c>
      <c r="I276" s="2" t="s">
        <v>27</v>
      </c>
      <c r="J276" s="2" t="s">
        <v>23</v>
      </c>
    </row>
    <row r="277" spans="1:10" x14ac:dyDescent="0.3">
      <c r="A277" s="2" t="s">
        <v>298</v>
      </c>
      <c r="B277" s="2" t="s">
        <v>25</v>
      </c>
      <c r="C277" s="2" t="s">
        <v>33</v>
      </c>
      <c r="D277" s="2">
        <v>5</v>
      </c>
      <c r="E277" s="2">
        <v>6175040360</v>
      </c>
      <c r="F277" s="2" t="s">
        <v>13</v>
      </c>
      <c r="G277" s="2" t="s">
        <v>14</v>
      </c>
      <c r="H277" s="2" t="s">
        <v>15</v>
      </c>
      <c r="I277" s="2" t="s">
        <v>22</v>
      </c>
      <c r="J277" s="2" t="s">
        <v>23</v>
      </c>
    </row>
    <row r="278" spans="1:10" x14ac:dyDescent="0.3">
      <c r="A278" s="2" t="s">
        <v>299</v>
      </c>
      <c r="B278" s="2" t="s">
        <v>25</v>
      </c>
      <c r="C278" s="2" t="s">
        <v>33</v>
      </c>
      <c r="D278" s="2">
        <v>5</v>
      </c>
      <c r="E278" s="2">
        <v>7833947819</v>
      </c>
      <c r="F278" s="2" t="s">
        <v>19</v>
      </c>
      <c r="G278" s="2" t="s">
        <v>14</v>
      </c>
      <c r="H278" s="2" t="s">
        <v>15</v>
      </c>
      <c r="I278" s="2" t="s">
        <v>16</v>
      </c>
      <c r="J278" s="2" t="s">
        <v>23</v>
      </c>
    </row>
    <row r="279" spans="1:10" x14ac:dyDescent="0.3">
      <c r="A279" s="2" t="s">
        <v>300</v>
      </c>
      <c r="B279" s="2" t="s">
        <v>25</v>
      </c>
      <c r="C279" s="2" t="s">
        <v>12</v>
      </c>
      <c r="D279" s="2">
        <v>5</v>
      </c>
      <c r="E279" s="2">
        <v>7508540175</v>
      </c>
      <c r="F279" s="2" t="s">
        <v>19</v>
      </c>
      <c r="G279" s="2" t="s">
        <v>20</v>
      </c>
      <c r="H279" s="2" t="s">
        <v>21</v>
      </c>
      <c r="I279" s="2" t="s">
        <v>29</v>
      </c>
      <c r="J279" s="2" t="s">
        <v>22</v>
      </c>
    </row>
    <row r="280" spans="1:10" x14ac:dyDescent="0.3">
      <c r="A280" s="2" t="s">
        <v>301</v>
      </c>
      <c r="B280" s="2" t="s">
        <v>32</v>
      </c>
      <c r="C280" s="2" t="s">
        <v>36</v>
      </c>
      <c r="D280" s="2">
        <v>7</v>
      </c>
      <c r="E280" s="2">
        <v>8022301658</v>
      </c>
      <c r="F280" s="2" t="s">
        <v>19</v>
      </c>
      <c r="G280" s="2" t="s">
        <v>20</v>
      </c>
      <c r="H280" s="2" t="s">
        <v>15</v>
      </c>
      <c r="I280" s="2" t="s">
        <v>22</v>
      </c>
      <c r="J280" s="2" t="s">
        <v>23</v>
      </c>
    </row>
    <row r="281" spans="1:10" x14ac:dyDescent="0.3">
      <c r="A281" s="2" t="s">
        <v>302</v>
      </c>
      <c r="B281" s="2" t="s">
        <v>25</v>
      </c>
      <c r="C281" s="2" t="s">
        <v>26</v>
      </c>
      <c r="D281" s="2">
        <v>5</v>
      </c>
      <c r="E281" s="2">
        <v>8843845156</v>
      </c>
      <c r="F281" s="2" t="s">
        <v>13</v>
      </c>
      <c r="G281" s="2" t="s">
        <v>20</v>
      </c>
      <c r="H281" s="2" t="s">
        <v>15</v>
      </c>
      <c r="I281" s="2" t="s">
        <v>27</v>
      </c>
      <c r="J281" s="2" t="s">
        <v>22</v>
      </c>
    </row>
    <row r="282" spans="1:10" x14ac:dyDescent="0.3">
      <c r="A282" s="2" t="s">
        <v>303</v>
      </c>
      <c r="B282" s="2" t="s">
        <v>25</v>
      </c>
      <c r="C282" s="2" t="s">
        <v>26</v>
      </c>
      <c r="D282" s="2">
        <v>5</v>
      </c>
      <c r="E282" s="2">
        <v>6539639903</v>
      </c>
      <c r="F282" s="2" t="s">
        <v>19</v>
      </c>
      <c r="G282" s="2" t="s">
        <v>14</v>
      </c>
      <c r="H282" s="2" t="s">
        <v>15</v>
      </c>
      <c r="I282" s="2" t="s">
        <v>22</v>
      </c>
      <c r="J282" s="2" t="s">
        <v>22</v>
      </c>
    </row>
    <row r="283" spans="1:10" x14ac:dyDescent="0.3">
      <c r="A283" s="2" t="s">
        <v>304</v>
      </c>
      <c r="B283" s="2" t="s">
        <v>11</v>
      </c>
      <c r="C283" s="2" t="s">
        <v>43</v>
      </c>
      <c r="D283" s="2">
        <v>3</v>
      </c>
      <c r="E283" s="2">
        <v>9219332602</v>
      </c>
      <c r="F283" s="2" t="s">
        <v>19</v>
      </c>
      <c r="G283" s="2" t="s">
        <v>20</v>
      </c>
      <c r="H283" s="2" t="s">
        <v>21</v>
      </c>
      <c r="I283" s="2" t="s">
        <v>29</v>
      </c>
      <c r="J283" s="2" t="s">
        <v>22</v>
      </c>
    </row>
    <row r="284" spans="1:10" x14ac:dyDescent="0.3">
      <c r="A284" s="2" t="s">
        <v>305</v>
      </c>
      <c r="B284" s="2" t="s">
        <v>25</v>
      </c>
      <c r="C284" s="2" t="s">
        <v>36</v>
      </c>
      <c r="D284" s="2">
        <v>5</v>
      </c>
      <c r="E284" s="2">
        <v>9250606038</v>
      </c>
      <c r="F284" s="2" t="s">
        <v>13</v>
      </c>
      <c r="G284" s="2" t="s">
        <v>14</v>
      </c>
      <c r="H284" s="2" t="s">
        <v>15</v>
      </c>
      <c r="I284" s="2" t="s">
        <v>37</v>
      </c>
      <c r="J284" s="2" t="s">
        <v>23</v>
      </c>
    </row>
    <row r="285" spans="1:10" x14ac:dyDescent="0.3">
      <c r="A285" s="2" t="s">
        <v>306</v>
      </c>
      <c r="B285" s="2" t="s">
        <v>32</v>
      </c>
      <c r="C285" s="2" t="s">
        <v>36</v>
      </c>
      <c r="D285" s="2">
        <v>7</v>
      </c>
      <c r="E285" s="2">
        <v>8751623627</v>
      </c>
      <c r="F285" s="2" t="s">
        <v>13</v>
      </c>
      <c r="G285" s="2" t="s">
        <v>14</v>
      </c>
      <c r="H285" s="2" t="s">
        <v>15</v>
      </c>
      <c r="I285" s="2" t="s">
        <v>16</v>
      </c>
      <c r="J285" s="2" t="s">
        <v>23</v>
      </c>
    </row>
    <row r="286" spans="1:10" x14ac:dyDescent="0.3">
      <c r="A286" s="2" t="s">
        <v>307</v>
      </c>
      <c r="B286" s="2" t="s">
        <v>11</v>
      </c>
      <c r="C286" s="2" t="s">
        <v>12</v>
      </c>
      <c r="D286" s="2">
        <v>3</v>
      </c>
      <c r="E286" s="2">
        <v>9581677026</v>
      </c>
      <c r="F286" s="2" t="s">
        <v>13</v>
      </c>
      <c r="G286" s="2" t="s">
        <v>14</v>
      </c>
      <c r="H286" s="2" t="s">
        <v>21</v>
      </c>
      <c r="I286" s="2" t="s">
        <v>22</v>
      </c>
      <c r="J286" s="2" t="s">
        <v>23</v>
      </c>
    </row>
    <row r="287" spans="1:10" x14ac:dyDescent="0.3">
      <c r="A287" s="2" t="s">
        <v>308</v>
      </c>
      <c r="B287" s="2" t="s">
        <v>35</v>
      </c>
      <c r="C287" s="2" t="s">
        <v>33</v>
      </c>
      <c r="D287" s="2">
        <v>1</v>
      </c>
      <c r="E287" s="2">
        <v>7591863235</v>
      </c>
      <c r="F287" s="2" t="s">
        <v>19</v>
      </c>
      <c r="G287" s="2" t="s">
        <v>20</v>
      </c>
      <c r="H287" s="2" t="s">
        <v>21</v>
      </c>
      <c r="I287" s="2" t="s">
        <v>22</v>
      </c>
      <c r="J287" s="2" t="s">
        <v>23</v>
      </c>
    </row>
    <row r="288" spans="1:10" x14ac:dyDescent="0.3">
      <c r="A288" s="2" t="s">
        <v>309</v>
      </c>
      <c r="B288" s="2" t="s">
        <v>11</v>
      </c>
      <c r="C288" s="2" t="s">
        <v>12</v>
      </c>
      <c r="D288" s="2">
        <v>3</v>
      </c>
      <c r="E288" s="2">
        <v>7571815436</v>
      </c>
      <c r="F288" s="2" t="s">
        <v>19</v>
      </c>
      <c r="G288" s="2" t="s">
        <v>14</v>
      </c>
      <c r="H288" s="2" t="s">
        <v>15</v>
      </c>
      <c r="I288" s="2" t="s">
        <v>22</v>
      </c>
      <c r="J288" s="2" t="s">
        <v>23</v>
      </c>
    </row>
    <row r="289" spans="1:10" x14ac:dyDescent="0.3">
      <c r="A289" s="2" t="s">
        <v>310</v>
      </c>
      <c r="B289" s="2" t="s">
        <v>35</v>
      </c>
      <c r="C289" s="2" t="s">
        <v>12</v>
      </c>
      <c r="D289" s="2">
        <v>1</v>
      </c>
      <c r="E289" s="2">
        <v>7820642372</v>
      </c>
      <c r="F289" s="2" t="s">
        <v>19</v>
      </c>
      <c r="G289" s="2" t="s">
        <v>14</v>
      </c>
      <c r="H289" s="2" t="s">
        <v>21</v>
      </c>
      <c r="I289" s="2" t="s">
        <v>37</v>
      </c>
      <c r="J289" s="2" t="s">
        <v>22</v>
      </c>
    </row>
    <row r="290" spans="1:10" x14ac:dyDescent="0.3">
      <c r="A290" s="2" t="s">
        <v>311</v>
      </c>
      <c r="B290" s="2" t="s">
        <v>35</v>
      </c>
      <c r="C290" s="2" t="s">
        <v>12</v>
      </c>
      <c r="D290" s="2">
        <v>1</v>
      </c>
      <c r="E290" s="2">
        <v>6214259466</v>
      </c>
      <c r="F290" s="2" t="s">
        <v>13</v>
      </c>
      <c r="G290" s="2" t="s">
        <v>14</v>
      </c>
      <c r="H290" s="2" t="s">
        <v>15</v>
      </c>
      <c r="I290" s="2" t="s">
        <v>22</v>
      </c>
      <c r="J290" s="2" t="s">
        <v>23</v>
      </c>
    </row>
    <row r="291" spans="1:10" x14ac:dyDescent="0.3">
      <c r="A291" s="2" t="s">
        <v>312</v>
      </c>
      <c r="B291" s="2" t="s">
        <v>32</v>
      </c>
      <c r="C291" s="2" t="s">
        <v>43</v>
      </c>
      <c r="D291" s="2">
        <v>7</v>
      </c>
      <c r="E291" s="2">
        <v>6138272229</v>
      </c>
      <c r="F291" s="2" t="s">
        <v>13</v>
      </c>
      <c r="G291" s="2" t="s">
        <v>20</v>
      </c>
      <c r="H291" s="2" t="s">
        <v>15</v>
      </c>
      <c r="I291" s="2" t="s">
        <v>29</v>
      </c>
      <c r="J291" s="2" t="s">
        <v>22</v>
      </c>
    </row>
    <row r="292" spans="1:10" x14ac:dyDescent="0.3">
      <c r="A292" s="2" t="s">
        <v>313</v>
      </c>
      <c r="B292" s="2" t="s">
        <v>32</v>
      </c>
      <c r="C292" s="2" t="s">
        <v>43</v>
      </c>
      <c r="D292" s="2">
        <v>7</v>
      </c>
      <c r="E292" s="2">
        <v>8808322626</v>
      </c>
      <c r="F292" s="2" t="s">
        <v>19</v>
      </c>
      <c r="G292" s="2" t="s">
        <v>14</v>
      </c>
      <c r="H292" s="2" t="s">
        <v>15</v>
      </c>
      <c r="I292" s="2" t="s">
        <v>16</v>
      </c>
      <c r="J292" s="2" t="s">
        <v>22</v>
      </c>
    </row>
    <row r="293" spans="1:10" x14ac:dyDescent="0.3">
      <c r="A293" s="2" t="s">
        <v>314</v>
      </c>
      <c r="B293" s="2" t="s">
        <v>35</v>
      </c>
      <c r="C293" s="2" t="s">
        <v>12</v>
      </c>
      <c r="D293" s="2">
        <v>1</v>
      </c>
      <c r="E293" s="2">
        <v>7224698432</v>
      </c>
      <c r="F293" s="2" t="s">
        <v>19</v>
      </c>
      <c r="G293" s="2" t="s">
        <v>14</v>
      </c>
      <c r="H293" s="2" t="s">
        <v>21</v>
      </c>
      <c r="I293" s="2" t="s">
        <v>41</v>
      </c>
      <c r="J293" s="2" t="s">
        <v>22</v>
      </c>
    </row>
    <row r="294" spans="1:10" x14ac:dyDescent="0.3">
      <c r="A294" s="2" t="s">
        <v>315</v>
      </c>
      <c r="B294" s="2" t="s">
        <v>32</v>
      </c>
      <c r="C294" s="2" t="s">
        <v>26</v>
      </c>
      <c r="D294" s="2">
        <v>7</v>
      </c>
      <c r="E294" s="2">
        <v>9222471765</v>
      </c>
      <c r="F294" s="2" t="s">
        <v>19</v>
      </c>
      <c r="G294" s="2" t="s">
        <v>20</v>
      </c>
      <c r="H294" s="2" t="s">
        <v>21</v>
      </c>
      <c r="I294" s="2" t="s">
        <v>37</v>
      </c>
      <c r="J294" s="2" t="s">
        <v>22</v>
      </c>
    </row>
    <row r="295" spans="1:10" x14ac:dyDescent="0.3">
      <c r="A295" s="2" t="s">
        <v>316</v>
      </c>
      <c r="B295" s="2" t="s">
        <v>32</v>
      </c>
      <c r="C295" s="2" t="s">
        <v>12</v>
      </c>
      <c r="D295" s="2">
        <v>7</v>
      </c>
      <c r="E295" s="2">
        <v>9631014275</v>
      </c>
      <c r="F295" s="2" t="s">
        <v>13</v>
      </c>
      <c r="G295" s="2" t="s">
        <v>20</v>
      </c>
      <c r="H295" s="2" t="s">
        <v>21</v>
      </c>
      <c r="I295" s="2" t="s">
        <v>29</v>
      </c>
      <c r="J295" s="2" t="s">
        <v>22</v>
      </c>
    </row>
    <row r="296" spans="1:10" x14ac:dyDescent="0.3">
      <c r="A296" s="2" t="s">
        <v>317</v>
      </c>
      <c r="B296" s="2" t="s">
        <v>11</v>
      </c>
      <c r="C296" s="2" t="s">
        <v>33</v>
      </c>
      <c r="D296" s="2">
        <v>3</v>
      </c>
      <c r="E296" s="2">
        <v>9017213082</v>
      </c>
      <c r="F296" s="2" t="s">
        <v>13</v>
      </c>
      <c r="G296" s="2" t="s">
        <v>20</v>
      </c>
      <c r="H296" s="2" t="s">
        <v>21</v>
      </c>
      <c r="I296" s="2" t="s">
        <v>22</v>
      </c>
      <c r="J296" s="2" t="s">
        <v>22</v>
      </c>
    </row>
    <row r="297" spans="1:10" x14ac:dyDescent="0.3">
      <c r="A297" s="2" t="s">
        <v>318</v>
      </c>
      <c r="B297" s="2" t="s">
        <v>32</v>
      </c>
      <c r="C297" s="2" t="s">
        <v>26</v>
      </c>
      <c r="D297" s="2">
        <v>7</v>
      </c>
      <c r="E297" s="2">
        <v>9585524674</v>
      </c>
      <c r="F297" s="2" t="s">
        <v>19</v>
      </c>
      <c r="G297" s="2" t="s">
        <v>20</v>
      </c>
      <c r="H297" s="2" t="s">
        <v>21</v>
      </c>
      <c r="I297" s="2" t="s">
        <v>22</v>
      </c>
      <c r="J297" s="2" t="s">
        <v>22</v>
      </c>
    </row>
    <row r="298" spans="1:10" x14ac:dyDescent="0.3">
      <c r="A298" s="2" t="s">
        <v>319</v>
      </c>
      <c r="B298" s="2" t="s">
        <v>35</v>
      </c>
      <c r="C298" s="2" t="s">
        <v>43</v>
      </c>
      <c r="D298" s="2">
        <v>1</v>
      </c>
      <c r="E298" s="2">
        <v>9319981861</v>
      </c>
      <c r="F298" s="2" t="s">
        <v>19</v>
      </c>
      <c r="G298" s="2" t="s">
        <v>20</v>
      </c>
      <c r="H298" s="2" t="s">
        <v>21</v>
      </c>
      <c r="I298" s="2" t="s">
        <v>41</v>
      </c>
      <c r="J298" s="2" t="s">
        <v>23</v>
      </c>
    </row>
    <row r="299" spans="1:10" x14ac:dyDescent="0.3">
      <c r="A299" s="2" t="s">
        <v>320</v>
      </c>
      <c r="B299" s="2" t="s">
        <v>25</v>
      </c>
      <c r="C299" s="2" t="s">
        <v>33</v>
      </c>
      <c r="D299" s="2">
        <v>5</v>
      </c>
      <c r="E299" s="2">
        <v>9041231436</v>
      </c>
      <c r="F299" s="2" t="s">
        <v>13</v>
      </c>
      <c r="G299" s="2" t="s">
        <v>14</v>
      </c>
      <c r="H299" s="2" t="s">
        <v>21</v>
      </c>
      <c r="I299" s="2" t="s">
        <v>37</v>
      </c>
      <c r="J299" s="2" t="s">
        <v>22</v>
      </c>
    </row>
    <row r="300" spans="1:10" x14ac:dyDescent="0.3">
      <c r="A300" s="2" t="s">
        <v>321</v>
      </c>
      <c r="B300" s="2" t="s">
        <v>35</v>
      </c>
      <c r="C300" s="2" t="s">
        <v>33</v>
      </c>
      <c r="D300" s="2">
        <v>1</v>
      </c>
      <c r="E300" s="2">
        <v>8565900630</v>
      </c>
      <c r="F300" s="2" t="s">
        <v>19</v>
      </c>
      <c r="G300" s="2" t="s">
        <v>14</v>
      </c>
      <c r="H300" s="2" t="s">
        <v>15</v>
      </c>
      <c r="I300" s="2" t="s">
        <v>37</v>
      </c>
      <c r="J300" s="2" t="s">
        <v>22</v>
      </c>
    </row>
    <row r="301" spans="1:10" x14ac:dyDescent="0.3">
      <c r="A301" s="2" t="s">
        <v>322</v>
      </c>
      <c r="B301" s="2" t="s">
        <v>32</v>
      </c>
      <c r="C301" s="2" t="s">
        <v>12</v>
      </c>
      <c r="D301" s="2">
        <v>7</v>
      </c>
      <c r="E301" s="2">
        <v>6909456424</v>
      </c>
      <c r="F301" s="2" t="s">
        <v>19</v>
      </c>
      <c r="G301" s="2" t="s">
        <v>20</v>
      </c>
      <c r="H301" s="2" t="s">
        <v>15</v>
      </c>
      <c r="I301" s="2" t="s">
        <v>16</v>
      </c>
      <c r="J301" s="2" t="s">
        <v>22</v>
      </c>
    </row>
    <row r="302" spans="1:10" x14ac:dyDescent="0.3">
      <c r="A302" s="2" t="s">
        <v>323</v>
      </c>
      <c r="B302" s="2" t="s">
        <v>11</v>
      </c>
      <c r="C302" s="2" t="s">
        <v>36</v>
      </c>
      <c r="D302" s="2">
        <v>3</v>
      </c>
      <c r="E302" s="2">
        <v>9985286187</v>
      </c>
      <c r="F302" s="2" t="s">
        <v>13</v>
      </c>
      <c r="G302" s="2" t="s">
        <v>14</v>
      </c>
      <c r="H302" s="2" t="s">
        <v>21</v>
      </c>
      <c r="I302" s="2" t="s">
        <v>22</v>
      </c>
      <c r="J302" s="2" t="s">
        <v>17</v>
      </c>
    </row>
    <row r="303" spans="1:10" x14ac:dyDescent="0.3">
      <c r="A303" s="2" t="s">
        <v>324</v>
      </c>
      <c r="B303" s="2" t="s">
        <v>32</v>
      </c>
      <c r="C303" s="2" t="s">
        <v>12</v>
      </c>
      <c r="D303" s="2">
        <v>7</v>
      </c>
      <c r="E303" s="2">
        <v>9950282483</v>
      </c>
      <c r="F303" s="2" t="s">
        <v>13</v>
      </c>
      <c r="G303" s="2" t="s">
        <v>20</v>
      </c>
      <c r="H303" s="2" t="s">
        <v>15</v>
      </c>
      <c r="I303" s="2" t="s">
        <v>29</v>
      </c>
      <c r="J303" s="2" t="s">
        <v>22</v>
      </c>
    </row>
    <row r="304" spans="1:10" x14ac:dyDescent="0.3">
      <c r="A304" s="2" t="s">
        <v>325</v>
      </c>
      <c r="B304" s="2" t="s">
        <v>25</v>
      </c>
      <c r="C304" s="2" t="s">
        <v>26</v>
      </c>
      <c r="D304" s="2">
        <v>5</v>
      </c>
      <c r="E304" s="2">
        <v>6501595760</v>
      </c>
      <c r="F304" s="2" t="s">
        <v>19</v>
      </c>
      <c r="G304" s="2" t="s">
        <v>20</v>
      </c>
      <c r="H304" s="2" t="s">
        <v>21</v>
      </c>
      <c r="I304" s="2" t="s">
        <v>37</v>
      </c>
      <c r="J304" s="2" t="s">
        <v>22</v>
      </c>
    </row>
    <row r="305" spans="1:10" x14ac:dyDescent="0.3">
      <c r="A305" s="2" t="s">
        <v>326</v>
      </c>
      <c r="B305" s="2" t="s">
        <v>35</v>
      </c>
      <c r="C305" s="2" t="s">
        <v>36</v>
      </c>
      <c r="D305" s="2">
        <v>1</v>
      </c>
      <c r="E305" s="2">
        <v>6491679736</v>
      </c>
      <c r="F305" s="2" t="s">
        <v>19</v>
      </c>
      <c r="G305" s="2" t="s">
        <v>20</v>
      </c>
      <c r="H305" s="2" t="s">
        <v>15</v>
      </c>
      <c r="I305" s="2" t="s">
        <v>22</v>
      </c>
      <c r="J305" s="2" t="s">
        <v>22</v>
      </c>
    </row>
    <row r="306" spans="1:10" x14ac:dyDescent="0.3">
      <c r="A306" s="2" t="s">
        <v>327</v>
      </c>
      <c r="B306" s="2" t="s">
        <v>11</v>
      </c>
      <c r="C306" s="2" t="s">
        <v>43</v>
      </c>
      <c r="D306" s="2">
        <v>3</v>
      </c>
      <c r="E306" s="2">
        <v>8170221149</v>
      </c>
      <c r="F306" s="2" t="s">
        <v>19</v>
      </c>
      <c r="G306" s="2" t="s">
        <v>20</v>
      </c>
      <c r="H306" s="2" t="s">
        <v>21</v>
      </c>
      <c r="I306" s="2" t="s">
        <v>37</v>
      </c>
      <c r="J306" s="2" t="s">
        <v>23</v>
      </c>
    </row>
    <row r="307" spans="1:10" x14ac:dyDescent="0.3">
      <c r="A307" s="2" t="s">
        <v>328</v>
      </c>
      <c r="B307" s="2" t="s">
        <v>35</v>
      </c>
      <c r="C307" s="2" t="s">
        <v>26</v>
      </c>
      <c r="D307" s="2">
        <v>1</v>
      </c>
      <c r="E307" s="2">
        <v>9419907098</v>
      </c>
      <c r="F307" s="2" t="s">
        <v>13</v>
      </c>
      <c r="G307" s="2" t="s">
        <v>14</v>
      </c>
      <c r="H307" s="2" t="s">
        <v>21</v>
      </c>
      <c r="I307" s="2" t="s">
        <v>41</v>
      </c>
      <c r="J307" s="2" t="s">
        <v>23</v>
      </c>
    </row>
    <row r="308" spans="1:10" x14ac:dyDescent="0.3">
      <c r="A308" s="2" t="s">
        <v>329</v>
      </c>
      <c r="B308" s="2" t="s">
        <v>35</v>
      </c>
      <c r="C308" s="2" t="s">
        <v>26</v>
      </c>
      <c r="D308" s="2">
        <v>1</v>
      </c>
      <c r="E308" s="2">
        <v>8231986838</v>
      </c>
      <c r="F308" s="2" t="s">
        <v>13</v>
      </c>
      <c r="G308" s="2" t="s">
        <v>14</v>
      </c>
      <c r="H308" s="2" t="s">
        <v>15</v>
      </c>
      <c r="I308" s="2" t="s">
        <v>22</v>
      </c>
      <c r="J308" s="2" t="s">
        <v>22</v>
      </c>
    </row>
    <row r="309" spans="1:10" x14ac:dyDescent="0.3">
      <c r="A309" s="2" t="s">
        <v>330</v>
      </c>
      <c r="B309" s="2" t="s">
        <v>11</v>
      </c>
      <c r="C309" s="2" t="s">
        <v>12</v>
      </c>
      <c r="D309" s="2">
        <v>3</v>
      </c>
      <c r="E309" s="2">
        <v>9015229272</v>
      </c>
      <c r="F309" s="2" t="s">
        <v>13</v>
      </c>
      <c r="G309" s="2" t="s">
        <v>14</v>
      </c>
      <c r="H309" s="2" t="s">
        <v>21</v>
      </c>
      <c r="I309" s="2" t="s">
        <v>41</v>
      </c>
      <c r="J309" s="2" t="s">
        <v>22</v>
      </c>
    </row>
    <row r="310" spans="1:10" x14ac:dyDescent="0.3">
      <c r="A310" s="2" t="s">
        <v>331</v>
      </c>
      <c r="B310" s="2" t="s">
        <v>35</v>
      </c>
      <c r="C310" s="2" t="s">
        <v>26</v>
      </c>
      <c r="D310" s="2">
        <v>1</v>
      </c>
      <c r="E310" s="2">
        <v>7589063584</v>
      </c>
      <c r="F310" s="2" t="s">
        <v>13</v>
      </c>
      <c r="G310" s="2" t="s">
        <v>14</v>
      </c>
      <c r="H310" s="2" t="s">
        <v>21</v>
      </c>
      <c r="I310" s="2" t="s">
        <v>22</v>
      </c>
      <c r="J310" s="2" t="s">
        <v>17</v>
      </c>
    </row>
    <row r="311" spans="1:10" x14ac:dyDescent="0.3">
      <c r="A311" s="2" t="s">
        <v>332</v>
      </c>
      <c r="B311" s="2" t="s">
        <v>32</v>
      </c>
      <c r="C311" s="2" t="s">
        <v>36</v>
      </c>
      <c r="D311" s="2">
        <v>7</v>
      </c>
      <c r="E311" s="2">
        <v>8885132052</v>
      </c>
      <c r="F311" s="2" t="s">
        <v>19</v>
      </c>
      <c r="G311" s="2" t="s">
        <v>20</v>
      </c>
      <c r="H311" s="2" t="s">
        <v>15</v>
      </c>
      <c r="I311" s="2" t="s">
        <v>41</v>
      </c>
      <c r="J311" s="2" t="s">
        <v>23</v>
      </c>
    </row>
    <row r="312" spans="1:10" x14ac:dyDescent="0.3">
      <c r="A312" s="2" t="s">
        <v>333</v>
      </c>
      <c r="B312" s="2" t="s">
        <v>32</v>
      </c>
      <c r="C312" s="2" t="s">
        <v>26</v>
      </c>
      <c r="D312" s="2">
        <v>7</v>
      </c>
      <c r="E312" s="2">
        <v>9703709139</v>
      </c>
      <c r="F312" s="2" t="s">
        <v>13</v>
      </c>
      <c r="G312" s="2" t="s">
        <v>20</v>
      </c>
      <c r="H312" s="2" t="s">
        <v>21</v>
      </c>
      <c r="I312" s="2" t="s">
        <v>41</v>
      </c>
      <c r="J312" s="2" t="s">
        <v>23</v>
      </c>
    </row>
    <row r="313" spans="1:10" x14ac:dyDescent="0.3">
      <c r="A313" s="2" t="s">
        <v>334</v>
      </c>
      <c r="B313" s="2" t="s">
        <v>32</v>
      </c>
      <c r="C313" s="2" t="s">
        <v>43</v>
      </c>
      <c r="D313" s="2">
        <v>7</v>
      </c>
      <c r="E313" s="2">
        <v>7901230518</v>
      </c>
      <c r="F313" s="2" t="s">
        <v>13</v>
      </c>
      <c r="G313" s="2" t="s">
        <v>20</v>
      </c>
      <c r="H313" s="2" t="s">
        <v>21</v>
      </c>
      <c r="I313" s="2" t="s">
        <v>29</v>
      </c>
      <c r="J313" s="2" t="s">
        <v>22</v>
      </c>
    </row>
    <row r="314" spans="1:10" x14ac:dyDescent="0.3">
      <c r="A314" s="2" t="s">
        <v>335</v>
      </c>
      <c r="B314" s="2" t="s">
        <v>35</v>
      </c>
      <c r="C314" s="2" t="s">
        <v>12</v>
      </c>
      <c r="D314" s="2">
        <v>1</v>
      </c>
      <c r="E314" s="2">
        <v>6881513688</v>
      </c>
      <c r="F314" s="2" t="s">
        <v>19</v>
      </c>
      <c r="G314" s="2" t="s">
        <v>14</v>
      </c>
      <c r="H314" s="2" t="s">
        <v>21</v>
      </c>
      <c r="I314" s="2" t="s">
        <v>22</v>
      </c>
      <c r="J314" s="2" t="s">
        <v>17</v>
      </c>
    </row>
    <row r="315" spans="1:10" x14ac:dyDescent="0.3">
      <c r="A315" s="2" t="s">
        <v>336</v>
      </c>
      <c r="B315" s="2" t="s">
        <v>25</v>
      </c>
      <c r="C315" s="2" t="s">
        <v>33</v>
      </c>
      <c r="D315" s="2">
        <v>5</v>
      </c>
      <c r="E315" s="2">
        <v>9108905407</v>
      </c>
      <c r="F315" s="2" t="s">
        <v>19</v>
      </c>
      <c r="G315" s="2" t="s">
        <v>14</v>
      </c>
      <c r="H315" s="2" t="s">
        <v>21</v>
      </c>
      <c r="I315" s="2" t="s">
        <v>41</v>
      </c>
      <c r="J315" s="2" t="s">
        <v>22</v>
      </c>
    </row>
    <row r="316" spans="1:10" x14ac:dyDescent="0.3">
      <c r="A316" s="2" t="s">
        <v>337</v>
      </c>
      <c r="B316" s="2" t="s">
        <v>35</v>
      </c>
      <c r="C316" s="2" t="s">
        <v>12</v>
      </c>
      <c r="D316" s="2">
        <v>1</v>
      </c>
      <c r="E316" s="2">
        <v>9382482365</v>
      </c>
      <c r="F316" s="2" t="s">
        <v>19</v>
      </c>
      <c r="G316" s="2" t="s">
        <v>14</v>
      </c>
      <c r="H316" s="2" t="s">
        <v>15</v>
      </c>
      <c r="I316" s="2" t="s">
        <v>22</v>
      </c>
      <c r="J316" s="2" t="s">
        <v>23</v>
      </c>
    </row>
    <row r="317" spans="1:10" x14ac:dyDescent="0.3">
      <c r="A317" s="2" t="s">
        <v>338</v>
      </c>
      <c r="B317" s="2" t="s">
        <v>32</v>
      </c>
      <c r="C317" s="2" t="s">
        <v>12</v>
      </c>
      <c r="D317" s="2">
        <v>7</v>
      </c>
      <c r="E317" s="2">
        <v>9176378136</v>
      </c>
      <c r="F317" s="2" t="s">
        <v>13</v>
      </c>
      <c r="G317" s="2" t="s">
        <v>14</v>
      </c>
      <c r="H317" s="2" t="s">
        <v>15</v>
      </c>
      <c r="I317" s="2" t="s">
        <v>22</v>
      </c>
      <c r="J317" s="2" t="s">
        <v>23</v>
      </c>
    </row>
    <row r="318" spans="1:10" x14ac:dyDescent="0.3">
      <c r="A318" s="2" t="s">
        <v>339</v>
      </c>
      <c r="B318" s="2" t="s">
        <v>11</v>
      </c>
      <c r="C318" s="2" t="s">
        <v>43</v>
      </c>
      <c r="D318" s="2">
        <v>3</v>
      </c>
      <c r="E318" s="2">
        <v>8357282905</v>
      </c>
      <c r="F318" s="2" t="s">
        <v>13</v>
      </c>
      <c r="G318" s="2" t="s">
        <v>20</v>
      </c>
      <c r="H318" s="2" t="s">
        <v>21</v>
      </c>
      <c r="I318" s="2" t="s">
        <v>22</v>
      </c>
      <c r="J318" s="2" t="s">
        <v>22</v>
      </c>
    </row>
    <row r="319" spans="1:10" x14ac:dyDescent="0.3">
      <c r="A319" s="2" t="s">
        <v>340</v>
      </c>
      <c r="B319" s="2" t="s">
        <v>35</v>
      </c>
      <c r="C319" s="2" t="s">
        <v>26</v>
      </c>
      <c r="D319" s="2">
        <v>1</v>
      </c>
      <c r="E319" s="2">
        <v>8487440378</v>
      </c>
      <c r="F319" s="2" t="s">
        <v>19</v>
      </c>
      <c r="G319" s="2" t="s">
        <v>20</v>
      </c>
      <c r="H319" s="2" t="s">
        <v>21</v>
      </c>
      <c r="I319" s="2" t="s">
        <v>22</v>
      </c>
      <c r="J319" s="2" t="s">
        <v>22</v>
      </c>
    </row>
    <row r="320" spans="1:10" x14ac:dyDescent="0.3">
      <c r="A320" s="2" t="s">
        <v>341</v>
      </c>
      <c r="B320" s="2" t="s">
        <v>35</v>
      </c>
      <c r="C320" s="2" t="s">
        <v>26</v>
      </c>
      <c r="D320" s="2">
        <v>1</v>
      </c>
      <c r="E320" s="2">
        <v>7801236636</v>
      </c>
      <c r="F320" s="2" t="s">
        <v>19</v>
      </c>
      <c r="G320" s="2" t="s">
        <v>20</v>
      </c>
      <c r="H320" s="2" t="s">
        <v>21</v>
      </c>
      <c r="I320" s="2" t="s">
        <v>27</v>
      </c>
      <c r="J320" s="2" t="s">
        <v>23</v>
      </c>
    </row>
    <row r="321" spans="1:10" x14ac:dyDescent="0.3">
      <c r="A321" s="2" t="s">
        <v>342</v>
      </c>
      <c r="B321" s="2" t="s">
        <v>11</v>
      </c>
      <c r="C321" s="2" t="s">
        <v>26</v>
      </c>
      <c r="D321" s="2">
        <v>3</v>
      </c>
      <c r="E321" s="2">
        <v>6887661013</v>
      </c>
      <c r="F321" s="2" t="s">
        <v>13</v>
      </c>
      <c r="G321" s="2" t="s">
        <v>20</v>
      </c>
      <c r="H321" s="2" t="s">
        <v>15</v>
      </c>
      <c r="I321" s="2" t="s">
        <v>37</v>
      </c>
      <c r="J321" s="2" t="s">
        <v>22</v>
      </c>
    </row>
    <row r="322" spans="1:10" x14ac:dyDescent="0.3">
      <c r="A322" s="2" t="s">
        <v>343</v>
      </c>
      <c r="B322" s="2" t="s">
        <v>35</v>
      </c>
      <c r="C322" s="2" t="s">
        <v>12</v>
      </c>
      <c r="D322" s="2">
        <v>1</v>
      </c>
      <c r="E322" s="2">
        <v>7819681315</v>
      </c>
      <c r="F322" s="2" t="s">
        <v>19</v>
      </c>
      <c r="G322" s="2" t="s">
        <v>14</v>
      </c>
      <c r="H322" s="2" t="s">
        <v>15</v>
      </c>
      <c r="I322" s="2" t="s">
        <v>41</v>
      </c>
      <c r="J322" s="2" t="s">
        <v>22</v>
      </c>
    </row>
    <row r="323" spans="1:10" x14ac:dyDescent="0.3">
      <c r="A323" s="2" t="s">
        <v>344</v>
      </c>
      <c r="B323" s="2" t="s">
        <v>32</v>
      </c>
      <c r="C323" s="2" t="s">
        <v>12</v>
      </c>
      <c r="D323" s="2">
        <v>7</v>
      </c>
      <c r="E323" s="2">
        <v>8087335119</v>
      </c>
      <c r="F323" s="2" t="s">
        <v>13</v>
      </c>
      <c r="G323" s="2" t="s">
        <v>20</v>
      </c>
      <c r="H323" s="2" t="s">
        <v>21</v>
      </c>
      <c r="I323" s="2" t="s">
        <v>16</v>
      </c>
      <c r="J323" s="2" t="s">
        <v>22</v>
      </c>
    </row>
    <row r="324" spans="1:10" x14ac:dyDescent="0.3">
      <c r="A324" s="2" t="s">
        <v>345</v>
      </c>
      <c r="B324" s="2" t="s">
        <v>25</v>
      </c>
      <c r="C324" s="2" t="s">
        <v>33</v>
      </c>
      <c r="D324" s="2">
        <v>5</v>
      </c>
      <c r="E324" s="2">
        <v>7241865784</v>
      </c>
      <c r="F324" s="2" t="s">
        <v>19</v>
      </c>
      <c r="G324" s="2" t="s">
        <v>14</v>
      </c>
      <c r="H324" s="2" t="s">
        <v>21</v>
      </c>
      <c r="I324" s="2" t="s">
        <v>27</v>
      </c>
      <c r="J324" s="2" t="s">
        <v>22</v>
      </c>
    </row>
    <row r="325" spans="1:10" x14ac:dyDescent="0.3">
      <c r="A325" s="2" t="s">
        <v>346</v>
      </c>
      <c r="B325" s="2" t="s">
        <v>25</v>
      </c>
      <c r="C325" s="2" t="s">
        <v>12</v>
      </c>
      <c r="D325" s="2">
        <v>5</v>
      </c>
      <c r="E325" s="2">
        <v>8607035304</v>
      </c>
      <c r="F325" s="2" t="s">
        <v>19</v>
      </c>
      <c r="G325" s="2" t="s">
        <v>20</v>
      </c>
      <c r="H325" s="2" t="s">
        <v>21</v>
      </c>
      <c r="I325" s="2" t="s">
        <v>27</v>
      </c>
      <c r="J325" s="2" t="s">
        <v>22</v>
      </c>
    </row>
    <row r="326" spans="1:10" x14ac:dyDescent="0.3">
      <c r="A326" s="2" t="s">
        <v>347</v>
      </c>
      <c r="B326" s="2" t="s">
        <v>32</v>
      </c>
      <c r="C326" s="2" t="s">
        <v>43</v>
      </c>
      <c r="D326" s="2">
        <v>7</v>
      </c>
      <c r="E326" s="2">
        <v>9360091103</v>
      </c>
      <c r="F326" s="2" t="s">
        <v>19</v>
      </c>
      <c r="G326" s="2" t="s">
        <v>20</v>
      </c>
      <c r="H326" s="2" t="s">
        <v>21</v>
      </c>
      <c r="I326" s="2" t="s">
        <v>16</v>
      </c>
      <c r="J326" s="2" t="s">
        <v>22</v>
      </c>
    </row>
    <row r="327" spans="1:10" x14ac:dyDescent="0.3">
      <c r="A327" s="2" t="s">
        <v>348</v>
      </c>
      <c r="B327" s="2" t="s">
        <v>32</v>
      </c>
      <c r="C327" s="2" t="s">
        <v>36</v>
      </c>
      <c r="D327" s="2">
        <v>7</v>
      </c>
      <c r="E327" s="2">
        <v>9935742634</v>
      </c>
      <c r="F327" s="2" t="s">
        <v>13</v>
      </c>
      <c r="G327" s="2" t="s">
        <v>14</v>
      </c>
      <c r="H327" s="2" t="s">
        <v>21</v>
      </c>
      <c r="I327" s="2" t="s">
        <v>22</v>
      </c>
      <c r="J327" s="2" t="s">
        <v>22</v>
      </c>
    </row>
    <row r="328" spans="1:10" x14ac:dyDescent="0.3">
      <c r="A328" s="2" t="s">
        <v>349</v>
      </c>
      <c r="B328" s="2" t="s">
        <v>32</v>
      </c>
      <c r="C328" s="2" t="s">
        <v>36</v>
      </c>
      <c r="D328" s="2">
        <v>7</v>
      </c>
      <c r="E328" s="2">
        <v>9330981780</v>
      </c>
      <c r="F328" s="2" t="s">
        <v>19</v>
      </c>
      <c r="G328" s="2" t="s">
        <v>20</v>
      </c>
      <c r="H328" s="2" t="s">
        <v>15</v>
      </c>
      <c r="I328" s="2" t="s">
        <v>22</v>
      </c>
      <c r="J328" s="2" t="s">
        <v>17</v>
      </c>
    </row>
    <row r="329" spans="1:10" x14ac:dyDescent="0.3">
      <c r="A329" s="2" t="s">
        <v>350</v>
      </c>
      <c r="B329" s="2" t="s">
        <v>25</v>
      </c>
      <c r="C329" s="2" t="s">
        <v>33</v>
      </c>
      <c r="D329" s="2">
        <v>5</v>
      </c>
      <c r="E329" s="2">
        <v>9655386925</v>
      </c>
      <c r="F329" s="2" t="s">
        <v>19</v>
      </c>
      <c r="G329" s="2" t="s">
        <v>20</v>
      </c>
      <c r="H329" s="2" t="s">
        <v>15</v>
      </c>
      <c r="I329" s="2" t="s">
        <v>22</v>
      </c>
      <c r="J329" s="2" t="s">
        <v>22</v>
      </c>
    </row>
    <row r="330" spans="1:10" x14ac:dyDescent="0.3">
      <c r="A330" s="2" t="s">
        <v>351</v>
      </c>
      <c r="B330" s="2" t="s">
        <v>11</v>
      </c>
      <c r="C330" s="2" t="s">
        <v>26</v>
      </c>
      <c r="D330" s="2">
        <v>3</v>
      </c>
      <c r="E330" s="2">
        <v>7748109259</v>
      </c>
      <c r="F330" s="2" t="s">
        <v>13</v>
      </c>
      <c r="G330" s="2" t="s">
        <v>20</v>
      </c>
      <c r="H330" s="2" t="s">
        <v>15</v>
      </c>
      <c r="I330" s="2" t="s">
        <v>41</v>
      </c>
      <c r="J330" s="2" t="s">
        <v>22</v>
      </c>
    </row>
    <row r="331" spans="1:10" x14ac:dyDescent="0.3">
      <c r="A331" s="2" t="s">
        <v>352</v>
      </c>
      <c r="B331" s="2" t="s">
        <v>35</v>
      </c>
      <c r="C331" s="2" t="s">
        <v>36</v>
      </c>
      <c r="D331" s="2">
        <v>1</v>
      </c>
      <c r="E331" s="2">
        <v>9957198283</v>
      </c>
      <c r="F331" s="2" t="s">
        <v>13</v>
      </c>
      <c r="G331" s="2" t="s">
        <v>20</v>
      </c>
      <c r="H331" s="2" t="s">
        <v>21</v>
      </c>
      <c r="I331" s="2" t="s">
        <v>22</v>
      </c>
      <c r="J331" s="2" t="s">
        <v>22</v>
      </c>
    </row>
    <row r="332" spans="1:10" x14ac:dyDescent="0.3">
      <c r="A332" s="2" t="s">
        <v>353</v>
      </c>
      <c r="B332" s="2" t="s">
        <v>25</v>
      </c>
      <c r="C332" s="2" t="s">
        <v>36</v>
      </c>
      <c r="D332" s="2">
        <v>5</v>
      </c>
      <c r="E332" s="2">
        <v>8940121225</v>
      </c>
      <c r="F332" s="2" t="s">
        <v>19</v>
      </c>
      <c r="G332" s="2" t="s">
        <v>14</v>
      </c>
      <c r="H332" s="2" t="s">
        <v>21</v>
      </c>
      <c r="I332" s="2" t="s">
        <v>29</v>
      </c>
      <c r="J332" s="2" t="s">
        <v>22</v>
      </c>
    </row>
    <row r="333" spans="1:10" x14ac:dyDescent="0.3">
      <c r="A333" s="2" t="s">
        <v>354</v>
      </c>
      <c r="B333" s="2" t="s">
        <v>25</v>
      </c>
      <c r="C333" s="2" t="s">
        <v>12</v>
      </c>
      <c r="D333" s="2">
        <v>5</v>
      </c>
      <c r="E333" s="2">
        <v>8782081790</v>
      </c>
      <c r="F333" s="2" t="s">
        <v>13</v>
      </c>
      <c r="G333" s="2" t="s">
        <v>20</v>
      </c>
      <c r="H333" s="2" t="s">
        <v>15</v>
      </c>
      <c r="I333" s="2" t="s">
        <v>22</v>
      </c>
      <c r="J333" s="2" t="s">
        <v>23</v>
      </c>
    </row>
    <row r="334" spans="1:10" x14ac:dyDescent="0.3">
      <c r="A334" s="2" t="s">
        <v>355</v>
      </c>
      <c r="B334" s="2" t="s">
        <v>35</v>
      </c>
      <c r="C334" s="2" t="s">
        <v>43</v>
      </c>
      <c r="D334" s="2">
        <v>1</v>
      </c>
      <c r="E334" s="2">
        <v>9576395488</v>
      </c>
      <c r="F334" s="2" t="s">
        <v>13</v>
      </c>
      <c r="G334" s="2" t="s">
        <v>20</v>
      </c>
      <c r="H334" s="2" t="s">
        <v>15</v>
      </c>
      <c r="I334" s="2" t="s">
        <v>22</v>
      </c>
      <c r="J334" s="2" t="s">
        <v>17</v>
      </c>
    </row>
    <row r="335" spans="1:10" x14ac:dyDescent="0.3">
      <c r="A335" s="2" t="s">
        <v>356</v>
      </c>
      <c r="B335" s="2" t="s">
        <v>11</v>
      </c>
      <c r="C335" s="2" t="s">
        <v>33</v>
      </c>
      <c r="D335" s="2">
        <v>3</v>
      </c>
      <c r="E335" s="2">
        <v>6505490679</v>
      </c>
      <c r="F335" s="2" t="s">
        <v>13</v>
      </c>
      <c r="G335" s="2" t="s">
        <v>20</v>
      </c>
      <c r="H335" s="2" t="s">
        <v>21</v>
      </c>
      <c r="I335" s="2" t="s">
        <v>22</v>
      </c>
      <c r="J335" s="2" t="s">
        <v>22</v>
      </c>
    </row>
    <row r="336" spans="1:10" x14ac:dyDescent="0.3">
      <c r="A336" s="2" t="s">
        <v>357</v>
      </c>
      <c r="B336" s="2" t="s">
        <v>35</v>
      </c>
      <c r="C336" s="2" t="s">
        <v>26</v>
      </c>
      <c r="D336" s="2">
        <v>1</v>
      </c>
      <c r="E336" s="2">
        <v>9284636166</v>
      </c>
      <c r="F336" s="2" t="s">
        <v>19</v>
      </c>
      <c r="G336" s="2" t="s">
        <v>20</v>
      </c>
      <c r="H336" s="2" t="s">
        <v>21</v>
      </c>
      <c r="I336" s="2" t="s">
        <v>41</v>
      </c>
      <c r="J336" s="2" t="s">
        <v>22</v>
      </c>
    </row>
    <row r="337" spans="1:10" x14ac:dyDescent="0.3">
      <c r="A337" s="2" t="s">
        <v>358</v>
      </c>
      <c r="B337" s="2" t="s">
        <v>11</v>
      </c>
      <c r="C337" s="2" t="s">
        <v>12</v>
      </c>
      <c r="D337" s="2">
        <v>3</v>
      </c>
      <c r="E337" s="2">
        <v>8762525544</v>
      </c>
      <c r="F337" s="2" t="s">
        <v>19</v>
      </c>
      <c r="G337" s="2" t="s">
        <v>20</v>
      </c>
      <c r="H337" s="2" t="s">
        <v>15</v>
      </c>
      <c r="I337" s="2" t="s">
        <v>41</v>
      </c>
      <c r="J337" s="2" t="s">
        <v>22</v>
      </c>
    </row>
    <row r="338" spans="1:10" x14ac:dyDescent="0.3">
      <c r="A338" s="2" t="s">
        <v>359</v>
      </c>
      <c r="B338" s="2" t="s">
        <v>35</v>
      </c>
      <c r="C338" s="2" t="s">
        <v>26</v>
      </c>
      <c r="D338" s="2">
        <v>1</v>
      </c>
      <c r="E338" s="2">
        <v>6274514568</v>
      </c>
      <c r="F338" s="2" t="s">
        <v>19</v>
      </c>
      <c r="G338" s="2" t="s">
        <v>14</v>
      </c>
      <c r="H338" s="2" t="s">
        <v>21</v>
      </c>
      <c r="I338" s="2" t="s">
        <v>29</v>
      </c>
      <c r="J338" s="2" t="s">
        <v>22</v>
      </c>
    </row>
    <row r="339" spans="1:10" x14ac:dyDescent="0.3">
      <c r="A339" s="2" t="s">
        <v>176</v>
      </c>
      <c r="B339" s="2" t="s">
        <v>32</v>
      </c>
      <c r="C339" s="2" t="s">
        <v>36</v>
      </c>
      <c r="D339" s="2">
        <v>7</v>
      </c>
      <c r="E339" s="2">
        <v>9799634476</v>
      </c>
      <c r="F339" s="2" t="s">
        <v>13</v>
      </c>
      <c r="G339" s="2" t="s">
        <v>20</v>
      </c>
      <c r="H339" s="2" t="s">
        <v>15</v>
      </c>
      <c r="I339" s="2" t="s">
        <v>41</v>
      </c>
      <c r="J339" s="2" t="s">
        <v>22</v>
      </c>
    </row>
    <row r="340" spans="1:10" x14ac:dyDescent="0.3">
      <c r="A340" s="2" t="s">
        <v>360</v>
      </c>
      <c r="B340" s="2" t="s">
        <v>25</v>
      </c>
      <c r="C340" s="2" t="s">
        <v>36</v>
      </c>
      <c r="D340" s="2">
        <v>5</v>
      </c>
      <c r="E340" s="2">
        <v>7310759000</v>
      </c>
      <c r="F340" s="2" t="s">
        <v>19</v>
      </c>
      <c r="G340" s="2" t="s">
        <v>20</v>
      </c>
      <c r="H340" s="2" t="s">
        <v>21</v>
      </c>
      <c r="I340" s="2" t="s">
        <v>22</v>
      </c>
      <c r="J340" s="2" t="s">
        <v>23</v>
      </c>
    </row>
    <row r="341" spans="1:10" x14ac:dyDescent="0.3">
      <c r="A341" s="2" t="s">
        <v>361</v>
      </c>
      <c r="B341" s="2" t="s">
        <v>35</v>
      </c>
      <c r="C341" s="2" t="s">
        <v>26</v>
      </c>
      <c r="D341" s="2">
        <v>1</v>
      </c>
      <c r="E341" s="2">
        <v>8980177303</v>
      </c>
      <c r="F341" s="2" t="s">
        <v>13</v>
      </c>
      <c r="G341" s="2" t="s">
        <v>20</v>
      </c>
      <c r="H341" s="2" t="s">
        <v>15</v>
      </c>
      <c r="I341" s="2" t="s">
        <v>27</v>
      </c>
      <c r="J341" s="2" t="s">
        <v>22</v>
      </c>
    </row>
    <row r="342" spans="1:10" x14ac:dyDescent="0.3">
      <c r="A342" s="2" t="s">
        <v>362</v>
      </c>
      <c r="B342" s="2" t="s">
        <v>35</v>
      </c>
      <c r="C342" s="2" t="s">
        <v>43</v>
      </c>
      <c r="D342" s="2">
        <v>1</v>
      </c>
      <c r="E342" s="2">
        <v>9377927796</v>
      </c>
      <c r="F342" s="2" t="s">
        <v>13</v>
      </c>
      <c r="G342" s="2" t="s">
        <v>20</v>
      </c>
      <c r="H342" s="2" t="s">
        <v>15</v>
      </c>
      <c r="I342" s="2" t="s">
        <v>27</v>
      </c>
      <c r="J342" s="2" t="s">
        <v>22</v>
      </c>
    </row>
    <row r="343" spans="1:10" x14ac:dyDescent="0.3">
      <c r="A343" s="2" t="s">
        <v>363</v>
      </c>
      <c r="B343" s="2" t="s">
        <v>35</v>
      </c>
      <c r="C343" s="2" t="s">
        <v>26</v>
      </c>
      <c r="D343" s="2">
        <v>1</v>
      </c>
      <c r="E343" s="2">
        <v>9292138042</v>
      </c>
      <c r="F343" s="2" t="s">
        <v>13</v>
      </c>
      <c r="G343" s="2" t="s">
        <v>14</v>
      </c>
      <c r="H343" s="2" t="s">
        <v>21</v>
      </c>
      <c r="I343" s="2" t="s">
        <v>29</v>
      </c>
      <c r="J343" s="2" t="s">
        <v>22</v>
      </c>
    </row>
    <row r="344" spans="1:10" x14ac:dyDescent="0.3">
      <c r="A344" s="2" t="s">
        <v>364</v>
      </c>
      <c r="B344" s="2" t="s">
        <v>25</v>
      </c>
      <c r="C344" s="2" t="s">
        <v>33</v>
      </c>
      <c r="D344" s="2">
        <v>5</v>
      </c>
      <c r="E344" s="2">
        <v>9790828308</v>
      </c>
      <c r="F344" s="2" t="s">
        <v>13</v>
      </c>
      <c r="G344" s="2" t="s">
        <v>20</v>
      </c>
      <c r="H344" s="2" t="s">
        <v>21</v>
      </c>
      <c r="I344" s="2" t="s">
        <v>22</v>
      </c>
      <c r="J344" s="2" t="s">
        <v>23</v>
      </c>
    </row>
    <row r="345" spans="1:10" x14ac:dyDescent="0.3">
      <c r="A345" s="2" t="s">
        <v>365</v>
      </c>
      <c r="B345" s="2" t="s">
        <v>32</v>
      </c>
      <c r="C345" s="2" t="s">
        <v>43</v>
      </c>
      <c r="D345" s="2">
        <v>7</v>
      </c>
      <c r="E345" s="2">
        <v>6163066985</v>
      </c>
      <c r="F345" s="2" t="s">
        <v>19</v>
      </c>
      <c r="G345" s="2" t="s">
        <v>14</v>
      </c>
      <c r="H345" s="2" t="s">
        <v>15</v>
      </c>
      <c r="I345" s="2" t="s">
        <v>27</v>
      </c>
      <c r="J345" s="2" t="s">
        <v>22</v>
      </c>
    </row>
    <row r="346" spans="1:10" x14ac:dyDescent="0.3">
      <c r="A346" s="2" t="s">
        <v>366</v>
      </c>
      <c r="B346" s="2" t="s">
        <v>35</v>
      </c>
      <c r="C346" s="2" t="s">
        <v>43</v>
      </c>
      <c r="D346" s="2">
        <v>1</v>
      </c>
      <c r="E346" s="2">
        <v>9133319189</v>
      </c>
      <c r="F346" s="2" t="s">
        <v>13</v>
      </c>
      <c r="G346" s="2" t="s">
        <v>14</v>
      </c>
      <c r="H346" s="2" t="s">
        <v>15</v>
      </c>
      <c r="I346" s="2" t="s">
        <v>22</v>
      </c>
      <c r="J346" s="2" t="s">
        <v>22</v>
      </c>
    </row>
    <row r="347" spans="1:10" x14ac:dyDescent="0.3">
      <c r="A347" s="2" t="s">
        <v>367</v>
      </c>
      <c r="B347" s="2" t="s">
        <v>32</v>
      </c>
      <c r="C347" s="2" t="s">
        <v>43</v>
      </c>
      <c r="D347" s="2">
        <v>7</v>
      </c>
      <c r="E347" s="2">
        <v>6532481726</v>
      </c>
      <c r="F347" s="2" t="s">
        <v>13</v>
      </c>
      <c r="G347" s="2" t="s">
        <v>14</v>
      </c>
      <c r="H347" s="2" t="s">
        <v>15</v>
      </c>
      <c r="I347" s="2" t="s">
        <v>22</v>
      </c>
      <c r="J347" s="2" t="s">
        <v>23</v>
      </c>
    </row>
    <row r="348" spans="1:10" x14ac:dyDescent="0.3">
      <c r="A348" s="2" t="s">
        <v>368</v>
      </c>
      <c r="B348" s="2" t="s">
        <v>32</v>
      </c>
      <c r="C348" s="2" t="s">
        <v>26</v>
      </c>
      <c r="D348" s="2">
        <v>7</v>
      </c>
      <c r="E348" s="2">
        <v>7216116614</v>
      </c>
      <c r="F348" s="2" t="s">
        <v>19</v>
      </c>
      <c r="G348" s="2" t="s">
        <v>14</v>
      </c>
      <c r="H348" s="2" t="s">
        <v>21</v>
      </c>
      <c r="I348" s="2" t="s">
        <v>22</v>
      </c>
      <c r="J348" s="2" t="s">
        <v>17</v>
      </c>
    </row>
    <row r="349" spans="1:10" x14ac:dyDescent="0.3">
      <c r="A349" s="2" t="s">
        <v>369</v>
      </c>
      <c r="B349" s="2" t="s">
        <v>35</v>
      </c>
      <c r="C349" s="2" t="s">
        <v>43</v>
      </c>
      <c r="D349" s="2">
        <v>1</v>
      </c>
      <c r="E349" s="2">
        <v>6222297119</v>
      </c>
      <c r="F349" s="2" t="s">
        <v>19</v>
      </c>
      <c r="G349" s="2" t="s">
        <v>14</v>
      </c>
      <c r="H349" s="2" t="s">
        <v>15</v>
      </c>
      <c r="I349" s="2" t="s">
        <v>27</v>
      </c>
      <c r="J349" s="2" t="s">
        <v>22</v>
      </c>
    </row>
    <row r="350" spans="1:10" x14ac:dyDescent="0.3">
      <c r="A350" s="2" t="s">
        <v>370</v>
      </c>
      <c r="B350" s="2" t="s">
        <v>11</v>
      </c>
      <c r="C350" s="2" t="s">
        <v>43</v>
      </c>
      <c r="D350" s="2">
        <v>3</v>
      </c>
      <c r="E350" s="2">
        <v>8846475206</v>
      </c>
      <c r="F350" s="2" t="s">
        <v>13</v>
      </c>
      <c r="G350" s="2" t="s">
        <v>14</v>
      </c>
      <c r="H350" s="2" t="s">
        <v>15</v>
      </c>
      <c r="I350" s="2" t="s">
        <v>22</v>
      </c>
      <c r="J350" s="2" t="s">
        <v>22</v>
      </c>
    </row>
    <row r="351" spans="1:10" x14ac:dyDescent="0.3">
      <c r="A351" s="2" t="s">
        <v>371</v>
      </c>
      <c r="B351" s="2" t="s">
        <v>35</v>
      </c>
      <c r="C351" s="2" t="s">
        <v>36</v>
      </c>
      <c r="D351" s="2">
        <v>1</v>
      </c>
      <c r="E351" s="2">
        <v>8203381060</v>
      </c>
      <c r="F351" s="2" t="s">
        <v>19</v>
      </c>
      <c r="G351" s="2" t="s">
        <v>20</v>
      </c>
      <c r="H351" s="2" t="s">
        <v>21</v>
      </c>
      <c r="I351" s="2" t="s">
        <v>37</v>
      </c>
      <c r="J351" s="2" t="s">
        <v>23</v>
      </c>
    </row>
    <row r="352" spans="1:10" x14ac:dyDescent="0.3">
      <c r="A352" s="2" t="s">
        <v>372</v>
      </c>
      <c r="B352" s="2" t="s">
        <v>11</v>
      </c>
      <c r="C352" s="2" t="s">
        <v>26</v>
      </c>
      <c r="D352" s="2">
        <v>3</v>
      </c>
      <c r="E352" s="2">
        <v>6564524489</v>
      </c>
      <c r="F352" s="2" t="s">
        <v>13</v>
      </c>
      <c r="G352" s="2" t="s">
        <v>14</v>
      </c>
      <c r="H352" s="2" t="s">
        <v>21</v>
      </c>
      <c r="I352" s="2" t="s">
        <v>22</v>
      </c>
      <c r="J352" s="2" t="s">
        <v>23</v>
      </c>
    </row>
    <row r="353" spans="1:10" x14ac:dyDescent="0.3">
      <c r="A353" s="2" t="s">
        <v>373</v>
      </c>
      <c r="B353" s="2" t="s">
        <v>11</v>
      </c>
      <c r="C353" s="2" t="s">
        <v>26</v>
      </c>
      <c r="D353" s="2">
        <v>3</v>
      </c>
      <c r="E353" s="2">
        <v>9702794458</v>
      </c>
      <c r="F353" s="2" t="s">
        <v>19</v>
      </c>
      <c r="G353" s="2" t="s">
        <v>14</v>
      </c>
      <c r="H353" s="2" t="s">
        <v>15</v>
      </c>
      <c r="I353" s="2" t="s">
        <v>37</v>
      </c>
      <c r="J353" s="2" t="s">
        <v>17</v>
      </c>
    </row>
    <row r="354" spans="1:10" x14ac:dyDescent="0.3">
      <c r="A354" s="2" t="s">
        <v>374</v>
      </c>
      <c r="B354" s="2" t="s">
        <v>35</v>
      </c>
      <c r="C354" s="2" t="s">
        <v>33</v>
      </c>
      <c r="D354" s="2">
        <v>1</v>
      </c>
      <c r="E354" s="2">
        <v>9197694366</v>
      </c>
      <c r="F354" s="2" t="s">
        <v>19</v>
      </c>
      <c r="G354" s="2" t="s">
        <v>14</v>
      </c>
      <c r="H354" s="2" t="s">
        <v>15</v>
      </c>
      <c r="I354" s="2" t="s">
        <v>41</v>
      </c>
      <c r="J354" s="2" t="s">
        <v>23</v>
      </c>
    </row>
    <row r="355" spans="1:10" x14ac:dyDescent="0.3">
      <c r="A355" s="2" t="s">
        <v>375</v>
      </c>
      <c r="B355" s="2" t="s">
        <v>32</v>
      </c>
      <c r="C355" s="2" t="s">
        <v>26</v>
      </c>
      <c r="D355" s="2">
        <v>7</v>
      </c>
      <c r="E355" s="2">
        <v>7882395101</v>
      </c>
      <c r="F355" s="2" t="s">
        <v>19</v>
      </c>
      <c r="G355" s="2" t="s">
        <v>14</v>
      </c>
      <c r="H355" s="2" t="s">
        <v>21</v>
      </c>
      <c r="I355" s="2" t="s">
        <v>16</v>
      </c>
      <c r="J355" s="2" t="s">
        <v>23</v>
      </c>
    </row>
    <row r="356" spans="1:10" x14ac:dyDescent="0.3">
      <c r="A356" s="2" t="s">
        <v>376</v>
      </c>
      <c r="B356" s="2" t="s">
        <v>11</v>
      </c>
      <c r="C356" s="2" t="s">
        <v>26</v>
      </c>
      <c r="D356" s="2">
        <v>3</v>
      </c>
      <c r="E356" s="2">
        <v>9878298998</v>
      </c>
      <c r="F356" s="2" t="s">
        <v>13</v>
      </c>
      <c r="G356" s="2" t="s">
        <v>14</v>
      </c>
      <c r="H356" s="2" t="s">
        <v>15</v>
      </c>
      <c r="I356" s="2" t="s">
        <v>22</v>
      </c>
      <c r="J356" s="2" t="s">
        <v>22</v>
      </c>
    </row>
    <row r="357" spans="1:10" x14ac:dyDescent="0.3">
      <c r="A357" s="2" t="s">
        <v>377</v>
      </c>
      <c r="B357" s="2" t="s">
        <v>35</v>
      </c>
      <c r="C357" s="2" t="s">
        <v>12</v>
      </c>
      <c r="D357" s="2">
        <v>1</v>
      </c>
      <c r="E357" s="2">
        <v>7321579557</v>
      </c>
      <c r="F357" s="2" t="s">
        <v>19</v>
      </c>
      <c r="G357" s="2" t="s">
        <v>20</v>
      </c>
      <c r="H357" s="2" t="s">
        <v>15</v>
      </c>
      <c r="I357" s="2" t="s">
        <v>22</v>
      </c>
      <c r="J357" s="2" t="s">
        <v>17</v>
      </c>
    </row>
    <row r="358" spans="1:10" x14ac:dyDescent="0.3">
      <c r="A358" s="2" t="s">
        <v>378</v>
      </c>
      <c r="B358" s="2" t="s">
        <v>25</v>
      </c>
      <c r="C358" s="2" t="s">
        <v>43</v>
      </c>
      <c r="D358" s="2">
        <v>5</v>
      </c>
      <c r="E358" s="2">
        <v>9319351231</v>
      </c>
      <c r="F358" s="2" t="s">
        <v>13</v>
      </c>
      <c r="G358" s="2" t="s">
        <v>20</v>
      </c>
      <c r="H358" s="2" t="s">
        <v>15</v>
      </c>
      <c r="I358" s="2" t="s">
        <v>29</v>
      </c>
      <c r="J358" s="2" t="s">
        <v>17</v>
      </c>
    </row>
    <row r="359" spans="1:10" x14ac:dyDescent="0.3">
      <c r="A359" s="2" t="s">
        <v>379</v>
      </c>
      <c r="B359" s="2" t="s">
        <v>25</v>
      </c>
      <c r="C359" s="2" t="s">
        <v>26</v>
      </c>
      <c r="D359" s="2">
        <v>5</v>
      </c>
      <c r="E359" s="2">
        <v>8854114255</v>
      </c>
      <c r="F359" s="2" t="s">
        <v>19</v>
      </c>
      <c r="G359" s="2" t="s">
        <v>14</v>
      </c>
      <c r="H359" s="2" t="s">
        <v>21</v>
      </c>
      <c r="I359" s="2" t="s">
        <v>22</v>
      </c>
      <c r="J359" s="2" t="s">
        <v>23</v>
      </c>
    </row>
    <row r="360" spans="1:10" x14ac:dyDescent="0.3">
      <c r="A360" s="2" t="s">
        <v>380</v>
      </c>
      <c r="B360" s="2" t="s">
        <v>25</v>
      </c>
      <c r="C360" s="2" t="s">
        <v>43</v>
      </c>
      <c r="D360" s="2">
        <v>5</v>
      </c>
      <c r="E360" s="2">
        <v>8487251900</v>
      </c>
      <c r="F360" s="2" t="s">
        <v>13</v>
      </c>
      <c r="G360" s="2" t="s">
        <v>20</v>
      </c>
      <c r="H360" s="2" t="s">
        <v>21</v>
      </c>
      <c r="I360" s="2" t="s">
        <v>22</v>
      </c>
      <c r="J360" s="2" t="s">
        <v>17</v>
      </c>
    </row>
    <row r="361" spans="1:10" x14ac:dyDescent="0.3">
      <c r="A361" s="2" t="s">
        <v>381</v>
      </c>
      <c r="B361" s="2" t="s">
        <v>25</v>
      </c>
      <c r="C361" s="2" t="s">
        <v>26</v>
      </c>
      <c r="D361" s="2">
        <v>5</v>
      </c>
      <c r="E361" s="2">
        <v>9557479819</v>
      </c>
      <c r="F361" s="2" t="s">
        <v>13</v>
      </c>
      <c r="G361" s="2" t="s">
        <v>20</v>
      </c>
      <c r="H361" s="2" t="s">
        <v>15</v>
      </c>
      <c r="I361" s="2" t="s">
        <v>41</v>
      </c>
      <c r="J361" s="2" t="s">
        <v>17</v>
      </c>
    </row>
    <row r="362" spans="1:10" x14ac:dyDescent="0.3">
      <c r="A362" s="2" t="s">
        <v>382</v>
      </c>
      <c r="B362" s="2" t="s">
        <v>25</v>
      </c>
      <c r="C362" s="2" t="s">
        <v>36</v>
      </c>
      <c r="D362" s="2">
        <v>5</v>
      </c>
      <c r="E362" s="2">
        <v>6041006304</v>
      </c>
      <c r="F362" s="2" t="s">
        <v>13</v>
      </c>
      <c r="G362" s="2" t="s">
        <v>14</v>
      </c>
      <c r="H362" s="2" t="s">
        <v>21</v>
      </c>
      <c r="I362" s="2" t="s">
        <v>22</v>
      </c>
      <c r="J362" s="2" t="s">
        <v>22</v>
      </c>
    </row>
    <row r="363" spans="1:10" x14ac:dyDescent="0.3">
      <c r="A363" s="2" t="s">
        <v>383</v>
      </c>
      <c r="B363" s="2" t="s">
        <v>11</v>
      </c>
      <c r="C363" s="2" t="s">
        <v>33</v>
      </c>
      <c r="D363" s="2">
        <v>3</v>
      </c>
      <c r="E363" s="2">
        <v>9691792161</v>
      </c>
      <c r="F363" s="2" t="s">
        <v>19</v>
      </c>
      <c r="G363" s="2" t="s">
        <v>14</v>
      </c>
      <c r="H363" s="2" t="s">
        <v>21</v>
      </c>
      <c r="I363" s="2" t="s">
        <v>27</v>
      </c>
      <c r="J363" s="2" t="s">
        <v>22</v>
      </c>
    </row>
    <row r="364" spans="1:10" x14ac:dyDescent="0.3">
      <c r="A364" s="2" t="s">
        <v>384</v>
      </c>
      <c r="B364" s="2" t="s">
        <v>35</v>
      </c>
      <c r="C364" s="2" t="s">
        <v>26</v>
      </c>
      <c r="D364" s="2">
        <v>1</v>
      </c>
      <c r="E364" s="2">
        <v>9755508431</v>
      </c>
      <c r="F364" s="2" t="s">
        <v>19</v>
      </c>
      <c r="G364" s="2" t="s">
        <v>20</v>
      </c>
      <c r="H364" s="2" t="s">
        <v>21</v>
      </c>
      <c r="I364" s="2" t="s">
        <v>37</v>
      </c>
      <c r="J364" s="2" t="s">
        <v>23</v>
      </c>
    </row>
    <row r="365" spans="1:10" x14ac:dyDescent="0.3">
      <c r="A365" s="2" t="s">
        <v>385</v>
      </c>
      <c r="B365" s="2" t="s">
        <v>11</v>
      </c>
      <c r="C365" s="2" t="s">
        <v>36</v>
      </c>
      <c r="D365" s="2">
        <v>3</v>
      </c>
      <c r="E365" s="2">
        <v>9537716519</v>
      </c>
      <c r="F365" s="2" t="s">
        <v>13</v>
      </c>
      <c r="G365" s="2" t="s">
        <v>20</v>
      </c>
      <c r="H365" s="2" t="s">
        <v>21</v>
      </c>
      <c r="I365" s="2" t="s">
        <v>29</v>
      </c>
      <c r="J365" s="2" t="s">
        <v>17</v>
      </c>
    </row>
    <row r="366" spans="1:10" x14ac:dyDescent="0.3">
      <c r="A366" s="2" t="s">
        <v>386</v>
      </c>
      <c r="B366" s="2" t="s">
        <v>32</v>
      </c>
      <c r="C366" s="2" t="s">
        <v>36</v>
      </c>
      <c r="D366" s="2">
        <v>7</v>
      </c>
      <c r="E366" s="2">
        <v>9720218003</v>
      </c>
      <c r="F366" s="2" t="s">
        <v>13</v>
      </c>
      <c r="G366" s="2" t="s">
        <v>20</v>
      </c>
      <c r="H366" s="2" t="s">
        <v>21</v>
      </c>
      <c r="I366" s="2" t="s">
        <v>37</v>
      </c>
      <c r="J366" s="2" t="s">
        <v>22</v>
      </c>
    </row>
    <row r="367" spans="1:10" x14ac:dyDescent="0.3">
      <c r="A367" s="2" t="s">
        <v>387</v>
      </c>
      <c r="B367" s="2" t="s">
        <v>32</v>
      </c>
      <c r="C367" s="2" t="s">
        <v>26</v>
      </c>
      <c r="D367" s="2">
        <v>7</v>
      </c>
      <c r="E367" s="2">
        <v>8780053545</v>
      </c>
      <c r="F367" s="2" t="s">
        <v>13</v>
      </c>
      <c r="G367" s="2" t="s">
        <v>20</v>
      </c>
      <c r="H367" s="2" t="s">
        <v>21</v>
      </c>
      <c r="I367" s="2" t="s">
        <v>16</v>
      </c>
      <c r="J367" s="2" t="s">
        <v>23</v>
      </c>
    </row>
    <row r="368" spans="1:10" x14ac:dyDescent="0.3">
      <c r="A368" s="2" t="s">
        <v>388</v>
      </c>
      <c r="B368" s="2" t="s">
        <v>25</v>
      </c>
      <c r="C368" s="2" t="s">
        <v>43</v>
      </c>
      <c r="D368" s="2">
        <v>5</v>
      </c>
      <c r="E368" s="2">
        <v>6978398514</v>
      </c>
      <c r="F368" s="2" t="s">
        <v>13</v>
      </c>
      <c r="G368" s="2" t="s">
        <v>20</v>
      </c>
      <c r="H368" s="2" t="s">
        <v>15</v>
      </c>
      <c r="I368" s="2" t="s">
        <v>29</v>
      </c>
      <c r="J368" s="2" t="s">
        <v>17</v>
      </c>
    </row>
    <row r="369" spans="1:10" x14ac:dyDescent="0.3">
      <c r="A369" s="2" t="s">
        <v>389</v>
      </c>
      <c r="B369" s="2" t="s">
        <v>11</v>
      </c>
      <c r="C369" s="2" t="s">
        <v>26</v>
      </c>
      <c r="D369" s="2">
        <v>3</v>
      </c>
      <c r="E369" s="2">
        <v>8261889901</v>
      </c>
      <c r="F369" s="2" t="s">
        <v>19</v>
      </c>
      <c r="G369" s="2" t="s">
        <v>20</v>
      </c>
      <c r="H369" s="2" t="s">
        <v>15</v>
      </c>
      <c r="I369" s="2" t="s">
        <v>29</v>
      </c>
      <c r="J369" s="2" t="s">
        <v>23</v>
      </c>
    </row>
    <row r="370" spans="1:10" x14ac:dyDescent="0.3">
      <c r="A370" s="2" t="s">
        <v>390</v>
      </c>
      <c r="B370" s="2" t="s">
        <v>11</v>
      </c>
      <c r="C370" s="2" t="s">
        <v>36</v>
      </c>
      <c r="D370" s="2">
        <v>3</v>
      </c>
      <c r="E370" s="2">
        <v>9759899733</v>
      </c>
      <c r="F370" s="2" t="s">
        <v>13</v>
      </c>
      <c r="G370" s="2" t="s">
        <v>14</v>
      </c>
      <c r="H370" s="2" t="s">
        <v>21</v>
      </c>
      <c r="I370" s="2" t="s">
        <v>22</v>
      </c>
      <c r="J370" s="2" t="s">
        <v>22</v>
      </c>
    </row>
    <row r="371" spans="1:10" x14ac:dyDescent="0.3">
      <c r="A371" s="2" t="s">
        <v>391</v>
      </c>
      <c r="B371" s="2" t="s">
        <v>25</v>
      </c>
      <c r="C371" s="2" t="s">
        <v>12</v>
      </c>
      <c r="D371" s="2">
        <v>5</v>
      </c>
      <c r="E371" s="2">
        <v>6357350529</v>
      </c>
      <c r="F371" s="2" t="s">
        <v>13</v>
      </c>
      <c r="G371" s="2" t="s">
        <v>14</v>
      </c>
      <c r="H371" s="2" t="s">
        <v>21</v>
      </c>
      <c r="I371" s="2" t="s">
        <v>27</v>
      </c>
      <c r="J371" s="2" t="s">
        <v>23</v>
      </c>
    </row>
    <row r="372" spans="1:10" x14ac:dyDescent="0.3">
      <c r="A372" s="2" t="s">
        <v>392</v>
      </c>
      <c r="B372" s="2" t="s">
        <v>32</v>
      </c>
      <c r="C372" s="2" t="s">
        <v>43</v>
      </c>
      <c r="D372" s="2">
        <v>7</v>
      </c>
      <c r="E372" s="2">
        <v>7774394963</v>
      </c>
      <c r="F372" s="2" t="s">
        <v>13</v>
      </c>
      <c r="G372" s="2" t="s">
        <v>14</v>
      </c>
      <c r="H372" s="2" t="s">
        <v>15</v>
      </c>
      <c r="I372" s="2" t="s">
        <v>22</v>
      </c>
      <c r="J372" s="2" t="s">
        <v>23</v>
      </c>
    </row>
    <row r="373" spans="1:10" x14ac:dyDescent="0.3">
      <c r="A373" s="2" t="s">
        <v>393</v>
      </c>
      <c r="B373" s="2" t="s">
        <v>11</v>
      </c>
      <c r="C373" s="2" t="s">
        <v>26</v>
      </c>
      <c r="D373" s="2">
        <v>3</v>
      </c>
      <c r="E373" s="2">
        <v>6410931184</v>
      </c>
      <c r="F373" s="2" t="s">
        <v>13</v>
      </c>
      <c r="G373" s="2" t="s">
        <v>20</v>
      </c>
      <c r="H373" s="2" t="s">
        <v>15</v>
      </c>
      <c r="I373" s="2" t="s">
        <v>27</v>
      </c>
      <c r="J373" s="2" t="s">
        <v>23</v>
      </c>
    </row>
    <row r="374" spans="1:10" x14ac:dyDescent="0.3">
      <c r="A374" s="2" t="s">
        <v>272</v>
      </c>
      <c r="B374" s="2" t="s">
        <v>11</v>
      </c>
      <c r="C374" s="2" t="s">
        <v>36</v>
      </c>
      <c r="D374" s="2">
        <v>3</v>
      </c>
      <c r="E374" s="2">
        <v>8777180060</v>
      </c>
      <c r="F374" s="2" t="s">
        <v>13</v>
      </c>
      <c r="G374" s="2" t="s">
        <v>14</v>
      </c>
      <c r="H374" s="2" t="s">
        <v>21</v>
      </c>
      <c r="I374" s="2" t="s">
        <v>41</v>
      </c>
      <c r="J374" s="2" t="s">
        <v>23</v>
      </c>
    </row>
    <row r="375" spans="1:10" x14ac:dyDescent="0.3">
      <c r="A375" s="2" t="s">
        <v>394</v>
      </c>
      <c r="B375" s="2" t="s">
        <v>11</v>
      </c>
      <c r="C375" s="2" t="s">
        <v>33</v>
      </c>
      <c r="D375" s="2">
        <v>3</v>
      </c>
      <c r="E375" s="2">
        <v>9416409051</v>
      </c>
      <c r="F375" s="2" t="s">
        <v>13</v>
      </c>
      <c r="G375" s="2" t="s">
        <v>20</v>
      </c>
      <c r="H375" s="2" t="s">
        <v>21</v>
      </c>
      <c r="I375" s="2" t="s">
        <v>22</v>
      </c>
      <c r="J375" s="2" t="s">
        <v>22</v>
      </c>
    </row>
    <row r="376" spans="1:10" x14ac:dyDescent="0.3">
      <c r="A376" s="2" t="s">
        <v>395</v>
      </c>
      <c r="B376" s="2" t="s">
        <v>32</v>
      </c>
      <c r="C376" s="2" t="s">
        <v>26</v>
      </c>
      <c r="D376" s="2">
        <v>7</v>
      </c>
      <c r="E376" s="2">
        <v>6798462618</v>
      </c>
      <c r="F376" s="2" t="s">
        <v>19</v>
      </c>
      <c r="G376" s="2" t="s">
        <v>20</v>
      </c>
      <c r="H376" s="2" t="s">
        <v>21</v>
      </c>
      <c r="I376" s="2" t="s">
        <v>22</v>
      </c>
      <c r="J376" s="2" t="s">
        <v>17</v>
      </c>
    </row>
    <row r="377" spans="1:10" x14ac:dyDescent="0.3">
      <c r="A377" s="2" t="s">
        <v>396</v>
      </c>
      <c r="B377" s="2" t="s">
        <v>11</v>
      </c>
      <c r="C377" s="2" t="s">
        <v>43</v>
      </c>
      <c r="D377" s="2">
        <v>3</v>
      </c>
      <c r="E377" s="2">
        <v>9629823068</v>
      </c>
      <c r="F377" s="2" t="s">
        <v>19</v>
      </c>
      <c r="G377" s="2" t="s">
        <v>20</v>
      </c>
      <c r="H377" s="2" t="s">
        <v>21</v>
      </c>
      <c r="I377" s="2" t="s">
        <v>41</v>
      </c>
      <c r="J377" s="2" t="s">
        <v>22</v>
      </c>
    </row>
    <row r="378" spans="1:10" x14ac:dyDescent="0.3">
      <c r="A378" s="2" t="s">
        <v>397</v>
      </c>
      <c r="B378" s="2" t="s">
        <v>25</v>
      </c>
      <c r="C378" s="2" t="s">
        <v>26</v>
      </c>
      <c r="D378" s="2">
        <v>5</v>
      </c>
      <c r="E378" s="2">
        <v>7228048436</v>
      </c>
      <c r="F378" s="2" t="s">
        <v>19</v>
      </c>
      <c r="G378" s="2" t="s">
        <v>20</v>
      </c>
      <c r="H378" s="2" t="s">
        <v>21</v>
      </c>
      <c r="I378" s="2" t="s">
        <v>22</v>
      </c>
      <c r="J378" s="2" t="s">
        <v>23</v>
      </c>
    </row>
    <row r="379" spans="1:10" x14ac:dyDescent="0.3">
      <c r="A379" s="2" t="s">
        <v>398</v>
      </c>
      <c r="B379" s="2" t="s">
        <v>25</v>
      </c>
      <c r="C379" s="2" t="s">
        <v>26</v>
      </c>
      <c r="D379" s="2">
        <v>5</v>
      </c>
      <c r="E379" s="2">
        <v>8130968865</v>
      </c>
      <c r="F379" s="2" t="s">
        <v>19</v>
      </c>
      <c r="G379" s="2" t="s">
        <v>14</v>
      </c>
      <c r="H379" s="2" t="s">
        <v>15</v>
      </c>
      <c r="I379" s="2" t="s">
        <v>37</v>
      </c>
      <c r="J379" s="2" t="s">
        <v>23</v>
      </c>
    </row>
    <row r="380" spans="1:10" x14ac:dyDescent="0.3">
      <c r="A380" s="2" t="s">
        <v>399</v>
      </c>
      <c r="B380" s="2" t="s">
        <v>25</v>
      </c>
      <c r="C380" s="2" t="s">
        <v>36</v>
      </c>
      <c r="D380" s="2">
        <v>5</v>
      </c>
      <c r="E380" s="2">
        <v>9760540447</v>
      </c>
      <c r="F380" s="2" t="s">
        <v>19</v>
      </c>
      <c r="G380" s="2" t="s">
        <v>20</v>
      </c>
      <c r="H380" s="2" t="s">
        <v>21</v>
      </c>
      <c r="I380" s="2" t="s">
        <v>16</v>
      </c>
      <c r="J380" s="2" t="s">
        <v>17</v>
      </c>
    </row>
    <row r="381" spans="1:10" x14ac:dyDescent="0.3">
      <c r="A381" s="2" t="s">
        <v>400</v>
      </c>
      <c r="B381" s="2" t="s">
        <v>11</v>
      </c>
      <c r="C381" s="2" t="s">
        <v>26</v>
      </c>
      <c r="D381" s="2">
        <v>3</v>
      </c>
      <c r="E381" s="2">
        <v>6065208701</v>
      </c>
      <c r="F381" s="2" t="s">
        <v>19</v>
      </c>
      <c r="G381" s="2" t="s">
        <v>20</v>
      </c>
      <c r="H381" s="2" t="s">
        <v>15</v>
      </c>
      <c r="I381" s="2" t="s">
        <v>27</v>
      </c>
      <c r="J381" s="2" t="s">
        <v>22</v>
      </c>
    </row>
    <row r="382" spans="1:10" x14ac:dyDescent="0.3">
      <c r="A382" s="2" t="s">
        <v>401</v>
      </c>
      <c r="B382" s="2" t="s">
        <v>25</v>
      </c>
      <c r="C382" s="2" t="s">
        <v>26</v>
      </c>
      <c r="D382" s="2">
        <v>5</v>
      </c>
      <c r="E382" s="2">
        <v>9220126639</v>
      </c>
      <c r="F382" s="2" t="s">
        <v>19</v>
      </c>
      <c r="G382" s="2" t="s">
        <v>20</v>
      </c>
      <c r="H382" s="2" t="s">
        <v>21</v>
      </c>
      <c r="I382" s="2" t="s">
        <v>29</v>
      </c>
      <c r="J382" s="2" t="s">
        <v>22</v>
      </c>
    </row>
    <row r="383" spans="1:10" x14ac:dyDescent="0.3">
      <c r="A383" s="2" t="s">
        <v>172</v>
      </c>
      <c r="B383" s="2" t="s">
        <v>25</v>
      </c>
      <c r="C383" s="2" t="s">
        <v>33</v>
      </c>
      <c r="D383" s="2">
        <v>5</v>
      </c>
      <c r="E383" s="2">
        <v>6802897985</v>
      </c>
      <c r="F383" s="2" t="s">
        <v>13</v>
      </c>
      <c r="G383" s="2" t="s">
        <v>20</v>
      </c>
      <c r="H383" s="2" t="s">
        <v>15</v>
      </c>
      <c r="I383" s="2" t="s">
        <v>41</v>
      </c>
      <c r="J383" s="2" t="s">
        <v>22</v>
      </c>
    </row>
    <row r="384" spans="1:10" x14ac:dyDescent="0.3">
      <c r="A384" s="2" t="s">
        <v>402</v>
      </c>
      <c r="B384" s="2" t="s">
        <v>32</v>
      </c>
      <c r="C384" s="2" t="s">
        <v>12</v>
      </c>
      <c r="D384" s="2">
        <v>7</v>
      </c>
      <c r="E384" s="2">
        <v>6001798181</v>
      </c>
      <c r="F384" s="2" t="s">
        <v>13</v>
      </c>
      <c r="G384" s="2" t="s">
        <v>20</v>
      </c>
      <c r="H384" s="2" t="s">
        <v>15</v>
      </c>
      <c r="I384" s="2" t="s">
        <v>27</v>
      </c>
      <c r="J384" s="2" t="s">
        <v>23</v>
      </c>
    </row>
    <row r="385" spans="1:10" x14ac:dyDescent="0.3">
      <c r="A385" s="2" t="s">
        <v>403</v>
      </c>
      <c r="B385" s="2" t="s">
        <v>35</v>
      </c>
      <c r="C385" s="2" t="s">
        <v>43</v>
      </c>
      <c r="D385" s="2">
        <v>1</v>
      </c>
      <c r="E385" s="2">
        <v>6829011064</v>
      </c>
      <c r="F385" s="2" t="s">
        <v>13</v>
      </c>
      <c r="G385" s="2" t="s">
        <v>20</v>
      </c>
      <c r="H385" s="2" t="s">
        <v>21</v>
      </c>
      <c r="I385" s="2" t="s">
        <v>29</v>
      </c>
      <c r="J385" s="2" t="s">
        <v>22</v>
      </c>
    </row>
    <row r="386" spans="1:10" x14ac:dyDescent="0.3">
      <c r="A386" s="2" t="s">
        <v>404</v>
      </c>
      <c r="B386" s="2" t="s">
        <v>32</v>
      </c>
      <c r="C386" s="2" t="s">
        <v>33</v>
      </c>
      <c r="D386" s="2">
        <v>7</v>
      </c>
      <c r="E386" s="2">
        <v>7600235040</v>
      </c>
      <c r="F386" s="2" t="s">
        <v>19</v>
      </c>
      <c r="G386" s="2" t="s">
        <v>20</v>
      </c>
      <c r="H386" s="2" t="s">
        <v>15</v>
      </c>
      <c r="I386" s="2" t="s">
        <v>29</v>
      </c>
      <c r="J386" s="2" t="s">
        <v>22</v>
      </c>
    </row>
    <row r="387" spans="1:10" x14ac:dyDescent="0.3">
      <c r="A387" s="2" t="s">
        <v>405</v>
      </c>
      <c r="B387" s="2" t="s">
        <v>32</v>
      </c>
      <c r="C387" s="2" t="s">
        <v>43</v>
      </c>
      <c r="D387" s="2">
        <v>7</v>
      </c>
      <c r="E387" s="2">
        <v>8201362507</v>
      </c>
      <c r="F387" s="2" t="s">
        <v>19</v>
      </c>
      <c r="G387" s="2" t="s">
        <v>14</v>
      </c>
      <c r="H387" s="2" t="s">
        <v>21</v>
      </c>
      <c r="I387" s="2" t="s">
        <v>22</v>
      </c>
      <c r="J387" s="2" t="s">
        <v>17</v>
      </c>
    </row>
    <row r="388" spans="1:10" x14ac:dyDescent="0.3">
      <c r="A388" s="2" t="s">
        <v>245</v>
      </c>
      <c r="B388" s="2" t="s">
        <v>32</v>
      </c>
      <c r="C388" s="2" t="s">
        <v>12</v>
      </c>
      <c r="D388" s="2">
        <v>7</v>
      </c>
      <c r="E388" s="2">
        <v>9010963256</v>
      </c>
      <c r="F388" s="2" t="s">
        <v>19</v>
      </c>
      <c r="G388" s="2" t="s">
        <v>20</v>
      </c>
      <c r="H388" s="2" t="s">
        <v>21</v>
      </c>
      <c r="I388" s="2" t="s">
        <v>41</v>
      </c>
      <c r="J388" s="2" t="s">
        <v>23</v>
      </c>
    </row>
    <row r="389" spans="1:10" x14ac:dyDescent="0.3">
      <c r="A389" s="2" t="s">
        <v>406</v>
      </c>
      <c r="B389" s="2" t="s">
        <v>25</v>
      </c>
      <c r="C389" s="2" t="s">
        <v>12</v>
      </c>
      <c r="D389" s="2">
        <v>5</v>
      </c>
      <c r="E389" s="2">
        <v>7611044753</v>
      </c>
      <c r="F389" s="2" t="s">
        <v>19</v>
      </c>
      <c r="G389" s="2" t="s">
        <v>14</v>
      </c>
      <c r="H389" s="2" t="s">
        <v>15</v>
      </c>
      <c r="I389" s="2" t="s">
        <v>22</v>
      </c>
      <c r="J389" s="2" t="s">
        <v>17</v>
      </c>
    </row>
    <row r="390" spans="1:10" x14ac:dyDescent="0.3">
      <c r="A390" s="2" t="s">
        <v>407</v>
      </c>
      <c r="B390" s="2" t="s">
        <v>25</v>
      </c>
      <c r="C390" s="2" t="s">
        <v>12</v>
      </c>
      <c r="D390" s="2">
        <v>5</v>
      </c>
      <c r="E390" s="2">
        <v>7670512345</v>
      </c>
      <c r="F390" s="2" t="s">
        <v>13</v>
      </c>
      <c r="G390" s="2" t="s">
        <v>14</v>
      </c>
      <c r="H390" s="2" t="s">
        <v>15</v>
      </c>
      <c r="I390" s="2" t="s">
        <v>16</v>
      </c>
      <c r="J390" s="2" t="s">
        <v>22</v>
      </c>
    </row>
    <row r="391" spans="1:10" x14ac:dyDescent="0.3">
      <c r="A391" s="2" t="s">
        <v>386</v>
      </c>
      <c r="B391" s="2" t="s">
        <v>25</v>
      </c>
      <c r="C391" s="2" t="s">
        <v>12</v>
      </c>
      <c r="D391" s="2">
        <v>5</v>
      </c>
      <c r="E391" s="2">
        <v>7153814034</v>
      </c>
      <c r="F391" s="2" t="s">
        <v>13</v>
      </c>
      <c r="G391" s="2" t="s">
        <v>20</v>
      </c>
      <c r="H391" s="2" t="s">
        <v>21</v>
      </c>
      <c r="I391" s="2" t="s">
        <v>22</v>
      </c>
      <c r="J391" s="2" t="s">
        <v>17</v>
      </c>
    </row>
    <row r="392" spans="1:10" x14ac:dyDescent="0.3">
      <c r="A392" s="2" t="s">
        <v>408</v>
      </c>
      <c r="B392" s="2" t="s">
        <v>35</v>
      </c>
      <c r="C392" s="2" t="s">
        <v>43</v>
      </c>
      <c r="D392" s="2">
        <v>1</v>
      </c>
      <c r="E392" s="2">
        <v>8190064554</v>
      </c>
      <c r="F392" s="2" t="s">
        <v>19</v>
      </c>
      <c r="G392" s="2" t="s">
        <v>14</v>
      </c>
      <c r="H392" s="2" t="s">
        <v>21</v>
      </c>
      <c r="I392" s="2" t="s">
        <v>27</v>
      </c>
      <c r="J392" s="2" t="s">
        <v>23</v>
      </c>
    </row>
    <row r="393" spans="1:10" x14ac:dyDescent="0.3">
      <c r="A393" s="2" t="s">
        <v>409</v>
      </c>
      <c r="B393" s="2" t="s">
        <v>32</v>
      </c>
      <c r="C393" s="2" t="s">
        <v>33</v>
      </c>
      <c r="D393" s="2">
        <v>7</v>
      </c>
      <c r="E393" s="2">
        <v>7038530231</v>
      </c>
      <c r="F393" s="2" t="s">
        <v>19</v>
      </c>
      <c r="G393" s="2" t="s">
        <v>14</v>
      </c>
      <c r="H393" s="2" t="s">
        <v>15</v>
      </c>
      <c r="I393" s="2" t="s">
        <v>22</v>
      </c>
      <c r="J393" s="2" t="s">
        <v>22</v>
      </c>
    </row>
    <row r="394" spans="1:10" x14ac:dyDescent="0.3">
      <c r="A394" s="2" t="s">
        <v>410</v>
      </c>
      <c r="B394" s="2" t="s">
        <v>25</v>
      </c>
      <c r="C394" s="2" t="s">
        <v>12</v>
      </c>
      <c r="D394" s="2">
        <v>5</v>
      </c>
      <c r="E394" s="2">
        <v>6262370299</v>
      </c>
      <c r="F394" s="2" t="s">
        <v>19</v>
      </c>
      <c r="G394" s="2" t="s">
        <v>20</v>
      </c>
      <c r="H394" s="2" t="s">
        <v>15</v>
      </c>
      <c r="I394" s="2" t="s">
        <v>29</v>
      </c>
      <c r="J394" s="2" t="s">
        <v>17</v>
      </c>
    </row>
    <row r="395" spans="1:10" x14ac:dyDescent="0.3">
      <c r="A395" s="2" t="s">
        <v>411</v>
      </c>
      <c r="B395" s="2" t="s">
        <v>25</v>
      </c>
      <c r="C395" s="2" t="s">
        <v>26</v>
      </c>
      <c r="D395" s="2">
        <v>5</v>
      </c>
      <c r="E395" s="2">
        <v>9622874622</v>
      </c>
      <c r="F395" s="2" t="s">
        <v>13</v>
      </c>
      <c r="G395" s="2" t="s">
        <v>14</v>
      </c>
      <c r="H395" s="2" t="s">
        <v>21</v>
      </c>
      <c r="I395" s="2" t="s">
        <v>29</v>
      </c>
      <c r="J395" s="2" t="s">
        <v>22</v>
      </c>
    </row>
    <row r="396" spans="1:10" x14ac:dyDescent="0.3">
      <c r="A396" s="2" t="s">
        <v>412</v>
      </c>
      <c r="B396" s="2" t="s">
        <v>35</v>
      </c>
      <c r="C396" s="2" t="s">
        <v>36</v>
      </c>
      <c r="D396" s="2">
        <v>1</v>
      </c>
      <c r="E396" s="2">
        <v>8867280292</v>
      </c>
      <c r="F396" s="2" t="s">
        <v>13</v>
      </c>
      <c r="G396" s="2" t="s">
        <v>20</v>
      </c>
      <c r="H396" s="2" t="s">
        <v>21</v>
      </c>
      <c r="I396" s="2" t="s">
        <v>41</v>
      </c>
      <c r="J396" s="2" t="s">
        <v>17</v>
      </c>
    </row>
    <row r="397" spans="1:10" x14ac:dyDescent="0.3">
      <c r="A397" s="2" t="s">
        <v>413</v>
      </c>
      <c r="B397" s="2" t="s">
        <v>11</v>
      </c>
      <c r="C397" s="2" t="s">
        <v>26</v>
      </c>
      <c r="D397" s="2">
        <v>3</v>
      </c>
      <c r="E397" s="2">
        <v>6241582747</v>
      </c>
      <c r="F397" s="2" t="s">
        <v>19</v>
      </c>
      <c r="G397" s="2" t="s">
        <v>20</v>
      </c>
      <c r="H397" s="2" t="s">
        <v>15</v>
      </c>
      <c r="I397" s="2" t="s">
        <v>22</v>
      </c>
      <c r="J397" s="2" t="s">
        <v>22</v>
      </c>
    </row>
    <row r="398" spans="1:10" x14ac:dyDescent="0.3">
      <c r="A398" s="2" t="s">
        <v>414</v>
      </c>
      <c r="B398" s="2" t="s">
        <v>35</v>
      </c>
      <c r="C398" s="2" t="s">
        <v>26</v>
      </c>
      <c r="D398" s="2">
        <v>1</v>
      </c>
      <c r="E398" s="2">
        <v>7891554611</v>
      </c>
      <c r="F398" s="2" t="s">
        <v>19</v>
      </c>
      <c r="G398" s="2" t="s">
        <v>20</v>
      </c>
      <c r="H398" s="2" t="s">
        <v>15</v>
      </c>
      <c r="I398" s="2" t="s">
        <v>29</v>
      </c>
      <c r="J398" s="2" t="s">
        <v>23</v>
      </c>
    </row>
    <row r="399" spans="1:10" x14ac:dyDescent="0.3">
      <c r="A399" s="2" t="s">
        <v>256</v>
      </c>
      <c r="B399" s="2" t="s">
        <v>32</v>
      </c>
      <c r="C399" s="2" t="s">
        <v>33</v>
      </c>
      <c r="D399" s="2">
        <v>7</v>
      </c>
      <c r="E399" s="2">
        <v>8252917353</v>
      </c>
      <c r="F399" s="2" t="s">
        <v>19</v>
      </c>
      <c r="G399" s="2" t="s">
        <v>14</v>
      </c>
      <c r="H399" s="2" t="s">
        <v>21</v>
      </c>
      <c r="I399" s="2" t="s">
        <v>22</v>
      </c>
      <c r="J399" s="2" t="s">
        <v>23</v>
      </c>
    </row>
    <row r="400" spans="1:10" x14ac:dyDescent="0.3">
      <c r="A400" s="2" t="s">
        <v>415</v>
      </c>
      <c r="B400" s="2" t="s">
        <v>32</v>
      </c>
      <c r="C400" s="2" t="s">
        <v>12</v>
      </c>
      <c r="D400" s="2">
        <v>7</v>
      </c>
      <c r="E400" s="2">
        <v>6220533732</v>
      </c>
      <c r="F400" s="2" t="s">
        <v>19</v>
      </c>
      <c r="G400" s="2" t="s">
        <v>20</v>
      </c>
      <c r="H400" s="2" t="s">
        <v>21</v>
      </c>
      <c r="I400" s="2" t="s">
        <v>37</v>
      </c>
      <c r="J400" s="2" t="s">
        <v>22</v>
      </c>
    </row>
    <row r="401" spans="1:10" x14ac:dyDescent="0.3">
      <c r="A401" s="2" t="s">
        <v>416</v>
      </c>
      <c r="B401" s="2" t="s">
        <v>32</v>
      </c>
      <c r="C401" s="2" t="s">
        <v>43</v>
      </c>
      <c r="D401" s="2">
        <v>7</v>
      </c>
      <c r="E401" s="2">
        <v>9625590206</v>
      </c>
      <c r="F401" s="2" t="s">
        <v>19</v>
      </c>
      <c r="G401" s="2" t="s">
        <v>20</v>
      </c>
      <c r="H401" s="2" t="s">
        <v>21</v>
      </c>
      <c r="I401" s="2" t="s">
        <v>41</v>
      </c>
      <c r="J401" s="2" t="s">
        <v>23</v>
      </c>
    </row>
    <row r="402" spans="1:10" x14ac:dyDescent="0.3">
      <c r="A402" s="2" t="s">
        <v>417</v>
      </c>
      <c r="B402" s="2" t="s">
        <v>35</v>
      </c>
      <c r="C402" s="2" t="s">
        <v>33</v>
      </c>
      <c r="D402" s="2">
        <v>1</v>
      </c>
      <c r="E402" s="2">
        <v>6532686828</v>
      </c>
      <c r="F402" s="2" t="s">
        <v>19</v>
      </c>
      <c r="G402" s="2" t="s">
        <v>14</v>
      </c>
      <c r="H402" s="2" t="s">
        <v>21</v>
      </c>
      <c r="I402" s="2" t="s">
        <v>29</v>
      </c>
      <c r="J402" s="2" t="s">
        <v>22</v>
      </c>
    </row>
    <row r="403" spans="1:10" x14ac:dyDescent="0.3">
      <c r="A403" s="2" t="s">
        <v>418</v>
      </c>
      <c r="B403" s="2" t="s">
        <v>35</v>
      </c>
      <c r="C403" s="2" t="s">
        <v>12</v>
      </c>
      <c r="D403" s="2">
        <v>1</v>
      </c>
      <c r="E403" s="2">
        <v>8573092728</v>
      </c>
      <c r="F403" s="2" t="s">
        <v>19</v>
      </c>
      <c r="G403" s="2" t="s">
        <v>20</v>
      </c>
      <c r="H403" s="2" t="s">
        <v>21</v>
      </c>
      <c r="I403" s="2" t="s">
        <v>41</v>
      </c>
      <c r="J403" s="2" t="s">
        <v>22</v>
      </c>
    </row>
    <row r="404" spans="1:10" x14ac:dyDescent="0.3">
      <c r="A404" s="2" t="s">
        <v>419</v>
      </c>
      <c r="B404" s="2" t="s">
        <v>35</v>
      </c>
      <c r="C404" s="2" t="s">
        <v>33</v>
      </c>
      <c r="D404" s="2">
        <v>1</v>
      </c>
      <c r="E404" s="2">
        <v>6489472674</v>
      </c>
      <c r="F404" s="2" t="s">
        <v>19</v>
      </c>
      <c r="G404" s="2" t="s">
        <v>14</v>
      </c>
      <c r="H404" s="2" t="s">
        <v>21</v>
      </c>
      <c r="I404" s="2" t="s">
        <v>37</v>
      </c>
      <c r="J404" s="2" t="s">
        <v>22</v>
      </c>
    </row>
    <row r="405" spans="1:10" x14ac:dyDescent="0.3">
      <c r="A405" s="2" t="s">
        <v>420</v>
      </c>
      <c r="B405" s="2" t="s">
        <v>32</v>
      </c>
      <c r="C405" s="2" t="s">
        <v>36</v>
      </c>
      <c r="D405" s="2">
        <v>7</v>
      </c>
      <c r="E405" s="2">
        <v>8442835198</v>
      </c>
      <c r="F405" s="2" t="s">
        <v>13</v>
      </c>
      <c r="G405" s="2" t="s">
        <v>20</v>
      </c>
      <c r="H405" s="2" t="s">
        <v>15</v>
      </c>
      <c r="I405" s="2" t="s">
        <v>22</v>
      </c>
      <c r="J405" s="2" t="s">
        <v>17</v>
      </c>
    </row>
    <row r="406" spans="1:10" x14ac:dyDescent="0.3">
      <c r="A406" s="2" t="s">
        <v>276</v>
      </c>
      <c r="B406" s="2" t="s">
        <v>32</v>
      </c>
      <c r="C406" s="2" t="s">
        <v>12</v>
      </c>
      <c r="D406" s="2">
        <v>7</v>
      </c>
      <c r="E406" s="2">
        <v>7723902708</v>
      </c>
      <c r="F406" s="2" t="s">
        <v>19</v>
      </c>
      <c r="G406" s="2" t="s">
        <v>20</v>
      </c>
      <c r="H406" s="2" t="s">
        <v>15</v>
      </c>
      <c r="I406" s="2" t="s">
        <v>22</v>
      </c>
      <c r="J406" s="2" t="s">
        <v>22</v>
      </c>
    </row>
    <row r="407" spans="1:10" x14ac:dyDescent="0.3">
      <c r="A407" s="2" t="s">
        <v>421</v>
      </c>
      <c r="B407" s="2" t="s">
        <v>11</v>
      </c>
      <c r="C407" s="2" t="s">
        <v>12</v>
      </c>
      <c r="D407" s="2">
        <v>3</v>
      </c>
      <c r="E407" s="2">
        <v>8213058272</v>
      </c>
      <c r="F407" s="2" t="s">
        <v>19</v>
      </c>
      <c r="G407" s="2" t="s">
        <v>14</v>
      </c>
      <c r="H407" s="2" t="s">
        <v>15</v>
      </c>
      <c r="I407" s="2" t="s">
        <v>22</v>
      </c>
      <c r="J407" s="2" t="s">
        <v>17</v>
      </c>
    </row>
    <row r="408" spans="1:10" x14ac:dyDescent="0.3">
      <c r="A408" s="2" t="s">
        <v>422</v>
      </c>
      <c r="B408" s="2" t="s">
        <v>35</v>
      </c>
      <c r="C408" s="2" t="s">
        <v>26</v>
      </c>
      <c r="D408" s="2">
        <v>1</v>
      </c>
      <c r="E408" s="2">
        <v>6224064382</v>
      </c>
      <c r="F408" s="2" t="s">
        <v>13</v>
      </c>
      <c r="G408" s="2" t="s">
        <v>20</v>
      </c>
      <c r="H408" s="2" t="s">
        <v>15</v>
      </c>
      <c r="I408" s="2" t="s">
        <v>37</v>
      </c>
      <c r="J408" s="2" t="s">
        <v>22</v>
      </c>
    </row>
    <row r="409" spans="1:10" x14ac:dyDescent="0.3">
      <c r="A409" s="2" t="s">
        <v>423</v>
      </c>
      <c r="B409" s="2" t="s">
        <v>32</v>
      </c>
      <c r="C409" s="2" t="s">
        <v>36</v>
      </c>
      <c r="D409" s="2">
        <v>7</v>
      </c>
      <c r="E409" s="2">
        <v>6029120214</v>
      </c>
      <c r="F409" s="2" t="s">
        <v>13</v>
      </c>
      <c r="G409" s="2" t="s">
        <v>14</v>
      </c>
      <c r="H409" s="2" t="s">
        <v>21</v>
      </c>
      <c r="I409" s="2" t="s">
        <v>22</v>
      </c>
      <c r="J409" s="2" t="s">
        <v>22</v>
      </c>
    </row>
    <row r="410" spans="1:10" x14ac:dyDescent="0.3">
      <c r="A410" s="2" t="s">
        <v>424</v>
      </c>
      <c r="B410" s="2" t="s">
        <v>11</v>
      </c>
      <c r="C410" s="2" t="s">
        <v>26</v>
      </c>
      <c r="D410" s="2">
        <v>3</v>
      </c>
      <c r="E410" s="2">
        <v>7995892910</v>
      </c>
      <c r="F410" s="2" t="s">
        <v>19</v>
      </c>
      <c r="G410" s="2" t="s">
        <v>20</v>
      </c>
      <c r="H410" s="2" t="s">
        <v>15</v>
      </c>
      <c r="I410" s="2" t="s">
        <v>22</v>
      </c>
      <c r="J410" s="2" t="s">
        <v>23</v>
      </c>
    </row>
    <row r="411" spans="1:10" x14ac:dyDescent="0.3">
      <c r="A411" s="2" t="s">
        <v>425</v>
      </c>
      <c r="B411" s="2" t="s">
        <v>35</v>
      </c>
      <c r="C411" s="2" t="s">
        <v>26</v>
      </c>
      <c r="D411" s="2">
        <v>1</v>
      </c>
      <c r="E411" s="2">
        <v>6746780906</v>
      </c>
      <c r="F411" s="2" t="s">
        <v>19</v>
      </c>
      <c r="G411" s="2" t="s">
        <v>14</v>
      </c>
      <c r="H411" s="2" t="s">
        <v>15</v>
      </c>
      <c r="I411" s="2" t="s">
        <v>22</v>
      </c>
      <c r="J411" s="2" t="s">
        <v>22</v>
      </c>
    </row>
    <row r="412" spans="1:10" x14ac:dyDescent="0.3">
      <c r="A412" s="2" t="s">
        <v>426</v>
      </c>
      <c r="B412" s="2" t="s">
        <v>25</v>
      </c>
      <c r="C412" s="2" t="s">
        <v>36</v>
      </c>
      <c r="D412" s="2">
        <v>5</v>
      </c>
      <c r="E412" s="2">
        <v>6842400297</v>
      </c>
      <c r="F412" s="2" t="s">
        <v>13</v>
      </c>
      <c r="G412" s="2" t="s">
        <v>20</v>
      </c>
      <c r="H412" s="2" t="s">
        <v>21</v>
      </c>
      <c r="I412" s="2" t="s">
        <v>16</v>
      </c>
      <c r="J412" s="2" t="s">
        <v>22</v>
      </c>
    </row>
    <row r="413" spans="1:10" x14ac:dyDescent="0.3">
      <c r="A413" s="2" t="s">
        <v>427</v>
      </c>
      <c r="B413" s="2" t="s">
        <v>32</v>
      </c>
      <c r="C413" s="2" t="s">
        <v>43</v>
      </c>
      <c r="D413" s="2">
        <v>7</v>
      </c>
      <c r="E413" s="2">
        <v>8594447711</v>
      </c>
      <c r="F413" s="2" t="s">
        <v>13</v>
      </c>
      <c r="G413" s="2" t="s">
        <v>20</v>
      </c>
      <c r="H413" s="2" t="s">
        <v>21</v>
      </c>
      <c r="I413" s="2" t="s">
        <v>22</v>
      </c>
      <c r="J413" s="2" t="s">
        <v>17</v>
      </c>
    </row>
    <row r="414" spans="1:10" x14ac:dyDescent="0.3">
      <c r="A414" s="2" t="s">
        <v>428</v>
      </c>
      <c r="B414" s="2" t="s">
        <v>32</v>
      </c>
      <c r="C414" s="2" t="s">
        <v>36</v>
      </c>
      <c r="D414" s="2">
        <v>7</v>
      </c>
      <c r="E414" s="2">
        <v>6636125476</v>
      </c>
      <c r="F414" s="2" t="s">
        <v>13</v>
      </c>
      <c r="G414" s="2" t="s">
        <v>14</v>
      </c>
      <c r="H414" s="2" t="s">
        <v>15</v>
      </c>
      <c r="I414" s="2" t="s">
        <v>41</v>
      </c>
      <c r="J414" s="2" t="s">
        <v>22</v>
      </c>
    </row>
    <row r="415" spans="1:10" x14ac:dyDescent="0.3">
      <c r="A415" s="2" t="s">
        <v>429</v>
      </c>
      <c r="B415" s="2" t="s">
        <v>25</v>
      </c>
      <c r="C415" s="2" t="s">
        <v>12</v>
      </c>
      <c r="D415" s="2">
        <v>5</v>
      </c>
      <c r="E415" s="2">
        <v>7662718863</v>
      </c>
      <c r="F415" s="2" t="s">
        <v>19</v>
      </c>
      <c r="G415" s="2" t="s">
        <v>20</v>
      </c>
      <c r="H415" s="2" t="s">
        <v>21</v>
      </c>
      <c r="I415" s="2" t="s">
        <v>16</v>
      </c>
      <c r="J415" s="2" t="s">
        <v>22</v>
      </c>
    </row>
    <row r="416" spans="1:10" x14ac:dyDescent="0.3">
      <c r="A416" s="2" t="s">
        <v>430</v>
      </c>
      <c r="B416" s="2" t="s">
        <v>11</v>
      </c>
      <c r="C416" s="2" t="s">
        <v>12</v>
      </c>
      <c r="D416" s="2">
        <v>3</v>
      </c>
      <c r="E416" s="2">
        <v>6664080094</v>
      </c>
      <c r="F416" s="2" t="s">
        <v>19</v>
      </c>
      <c r="G416" s="2" t="s">
        <v>14</v>
      </c>
      <c r="H416" s="2" t="s">
        <v>15</v>
      </c>
      <c r="I416" s="2" t="s">
        <v>37</v>
      </c>
      <c r="J416" s="2" t="s">
        <v>23</v>
      </c>
    </row>
    <row r="417" spans="1:10" x14ac:dyDescent="0.3">
      <c r="A417" s="2" t="s">
        <v>431</v>
      </c>
      <c r="B417" s="2" t="s">
        <v>11</v>
      </c>
      <c r="C417" s="2" t="s">
        <v>26</v>
      </c>
      <c r="D417" s="2">
        <v>3</v>
      </c>
      <c r="E417" s="2">
        <v>8852790241</v>
      </c>
      <c r="F417" s="2" t="s">
        <v>19</v>
      </c>
      <c r="G417" s="2" t="s">
        <v>14</v>
      </c>
      <c r="H417" s="2" t="s">
        <v>15</v>
      </c>
      <c r="I417" s="2" t="s">
        <v>16</v>
      </c>
      <c r="J417" s="2" t="s">
        <v>23</v>
      </c>
    </row>
    <row r="418" spans="1:10" x14ac:dyDescent="0.3">
      <c r="A418" s="2" t="s">
        <v>432</v>
      </c>
      <c r="B418" s="2" t="s">
        <v>11</v>
      </c>
      <c r="C418" s="2" t="s">
        <v>12</v>
      </c>
      <c r="D418" s="2">
        <v>3</v>
      </c>
      <c r="E418" s="2">
        <v>6018481124</v>
      </c>
      <c r="F418" s="2" t="s">
        <v>19</v>
      </c>
      <c r="G418" s="2" t="s">
        <v>20</v>
      </c>
      <c r="H418" s="2" t="s">
        <v>15</v>
      </c>
      <c r="I418" s="2" t="s">
        <v>29</v>
      </c>
      <c r="J418" s="2" t="s">
        <v>23</v>
      </c>
    </row>
    <row r="419" spans="1:10" x14ac:dyDescent="0.3">
      <c r="A419" s="2" t="s">
        <v>433</v>
      </c>
      <c r="B419" s="2" t="s">
        <v>32</v>
      </c>
      <c r="C419" s="2" t="s">
        <v>26</v>
      </c>
      <c r="D419" s="2">
        <v>7</v>
      </c>
      <c r="E419" s="2">
        <v>7966532117</v>
      </c>
      <c r="F419" s="2" t="s">
        <v>19</v>
      </c>
      <c r="G419" s="2" t="s">
        <v>14</v>
      </c>
      <c r="H419" s="2" t="s">
        <v>21</v>
      </c>
      <c r="I419" s="2" t="s">
        <v>41</v>
      </c>
      <c r="J419" s="2" t="s">
        <v>22</v>
      </c>
    </row>
    <row r="420" spans="1:10" x14ac:dyDescent="0.3">
      <c r="A420" s="2" t="s">
        <v>434</v>
      </c>
      <c r="B420" s="2" t="s">
        <v>32</v>
      </c>
      <c r="C420" s="2" t="s">
        <v>12</v>
      </c>
      <c r="D420" s="2">
        <v>7</v>
      </c>
      <c r="E420" s="2">
        <v>7639041600</v>
      </c>
      <c r="F420" s="2" t="s">
        <v>13</v>
      </c>
      <c r="G420" s="2" t="s">
        <v>14</v>
      </c>
      <c r="H420" s="2" t="s">
        <v>21</v>
      </c>
      <c r="I420" s="2" t="s">
        <v>37</v>
      </c>
      <c r="J420" s="2" t="s">
        <v>22</v>
      </c>
    </row>
    <row r="421" spans="1:10" x14ac:dyDescent="0.3">
      <c r="A421" s="2" t="s">
        <v>435</v>
      </c>
      <c r="B421" s="2" t="s">
        <v>11</v>
      </c>
      <c r="C421" s="2" t="s">
        <v>36</v>
      </c>
      <c r="D421" s="2">
        <v>3</v>
      </c>
      <c r="E421" s="2">
        <v>8425499906</v>
      </c>
      <c r="F421" s="2" t="s">
        <v>13</v>
      </c>
      <c r="G421" s="2" t="s">
        <v>20</v>
      </c>
      <c r="H421" s="2" t="s">
        <v>15</v>
      </c>
      <c r="I421" s="2" t="s">
        <v>37</v>
      </c>
      <c r="J421" s="2" t="s">
        <v>22</v>
      </c>
    </row>
    <row r="422" spans="1:10" x14ac:dyDescent="0.3">
      <c r="A422" s="2" t="s">
        <v>436</v>
      </c>
      <c r="B422" s="2" t="s">
        <v>25</v>
      </c>
      <c r="C422" s="2" t="s">
        <v>43</v>
      </c>
      <c r="D422" s="2">
        <v>5</v>
      </c>
      <c r="E422" s="2">
        <v>8128479615</v>
      </c>
      <c r="F422" s="2" t="s">
        <v>19</v>
      </c>
      <c r="G422" s="2" t="s">
        <v>20</v>
      </c>
      <c r="H422" s="2" t="s">
        <v>15</v>
      </c>
      <c r="I422" s="2" t="s">
        <v>16</v>
      </c>
      <c r="J422" s="2" t="s">
        <v>22</v>
      </c>
    </row>
    <row r="423" spans="1:10" x14ac:dyDescent="0.3">
      <c r="A423" s="2" t="s">
        <v>437</v>
      </c>
      <c r="B423" s="2" t="s">
        <v>35</v>
      </c>
      <c r="C423" s="2" t="s">
        <v>36</v>
      </c>
      <c r="D423" s="2">
        <v>1</v>
      </c>
      <c r="E423" s="2">
        <v>7329081362</v>
      </c>
      <c r="F423" s="2" t="s">
        <v>13</v>
      </c>
      <c r="G423" s="2" t="s">
        <v>20</v>
      </c>
      <c r="H423" s="2" t="s">
        <v>21</v>
      </c>
      <c r="I423" s="2" t="s">
        <v>22</v>
      </c>
      <c r="J423" s="2" t="s">
        <v>17</v>
      </c>
    </row>
    <row r="424" spans="1:10" x14ac:dyDescent="0.3">
      <c r="A424" s="2" t="s">
        <v>438</v>
      </c>
      <c r="B424" s="2" t="s">
        <v>35</v>
      </c>
      <c r="C424" s="2" t="s">
        <v>12</v>
      </c>
      <c r="D424" s="2">
        <v>1</v>
      </c>
      <c r="E424" s="2">
        <v>9843720558</v>
      </c>
      <c r="F424" s="2" t="s">
        <v>19</v>
      </c>
      <c r="G424" s="2" t="s">
        <v>20</v>
      </c>
      <c r="H424" s="2" t="s">
        <v>21</v>
      </c>
      <c r="I424" s="2" t="s">
        <v>29</v>
      </c>
      <c r="J424" s="2" t="s">
        <v>23</v>
      </c>
    </row>
    <row r="425" spans="1:10" x14ac:dyDescent="0.3">
      <c r="A425" s="2" t="s">
        <v>439</v>
      </c>
      <c r="B425" s="2" t="s">
        <v>25</v>
      </c>
      <c r="C425" s="2" t="s">
        <v>43</v>
      </c>
      <c r="D425" s="2">
        <v>5</v>
      </c>
      <c r="E425" s="2">
        <v>7872958481</v>
      </c>
      <c r="F425" s="2" t="s">
        <v>13</v>
      </c>
      <c r="G425" s="2" t="s">
        <v>20</v>
      </c>
      <c r="H425" s="2" t="s">
        <v>21</v>
      </c>
      <c r="I425" s="2" t="s">
        <v>37</v>
      </c>
      <c r="J425" s="2" t="s">
        <v>17</v>
      </c>
    </row>
    <row r="426" spans="1:10" x14ac:dyDescent="0.3">
      <c r="A426" s="2" t="s">
        <v>342</v>
      </c>
      <c r="B426" s="2" t="s">
        <v>35</v>
      </c>
      <c r="C426" s="2" t="s">
        <v>12</v>
      </c>
      <c r="D426" s="2">
        <v>1</v>
      </c>
      <c r="E426" s="2">
        <v>7265529176</v>
      </c>
      <c r="F426" s="2" t="s">
        <v>19</v>
      </c>
      <c r="G426" s="2" t="s">
        <v>14</v>
      </c>
      <c r="H426" s="2" t="s">
        <v>21</v>
      </c>
      <c r="I426" s="2" t="s">
        <v>37</v>
      </c>
      <c r="J426" s="2" t="s">
        <v>22</v>
      </c>
    </row>
    <row r="427" spans="1:10" x14ac:dyDescent="0.3">
      <c r="A427" s="2" t="s">
        <v>440</v>
      </c>
      <c r="B427" s="2" t="s">
        <v>25</v>
      </c>
      <c r="C427" s="2" t="s">
        <v>12</v>
      </c>
      <c r="D427" s="2">
        <v>5</v>
      </c>
      <c r="E427" s="2">
        <v>7175138999</v>
      </c>
      <c r="F427" s="2" t="s">
        <v>19</v>
      </c>
      <c r="G427" s="2" t="s">
        <v>20</v>
      </c>
      <c r="H427" s="2" t="s">
        <v>21</v>
      </c>
      <c r="I427" s="2" t="s">
        <v>22</v>
      </c>
      <c r="J427" s="2" t="s">
        <v>17</v>
      </c>
    </row>
    <row r="428" spans="1:10" x14ac:dyDescent="0.3">
      <c r="A428" s="2" t="s">
        <v>164</v>
      </c>
      <c r="B428" s="2" t="s">
        <v>32</v>
      </c>
      <c r="C428" s="2" t="s">
        <v>33</v>
      </c>
      <c r="D428" s="2">
        <v>7</v>
      </c>
      <c r="E428" s="2">
        <v>6916929404</v>
      </c>
      <c r="F428" s="2" t="s">
        <v>19</v>
      </c>
      <c r="G428" s="2" t="s">
        <v>14</v>
      </c>
      <c r="H428" s="2" t="s">
        <v>21</v>
      </c>
      <c r="I428" s="2" t="s">
        <v>22</v>
      </c>
      <c r="J428" s="2" t="s">
        <v>22</v>
      </c>
    </row>
    <row r="429" spans="1:10" x14ac:dyDescent="0.3">
      <c r="A429" s="2" t="s">
        <v>441</v>
      </c>
      <c r="B429" s="2" t="s">
        <v>11</v>
      </c>
      <c r="C429" s="2" t="s">
        <v>43</v>
      </c>
      <c r="D429" s="2">
        <v>3</v>
      </c>
      <c r="E429" s="2">
        <v>7578639935</v>
      </c>
      <c r="F429" s="2" t="s">
        <v>13</v>
      </c>
      <c r="G429" s="2" t="s">
        <v>20</v>
      </c>
      <c r="H429" s="2" t="s">
        <v>21</v>
      </c>
      <c r="I429" s="2" t="s">
        <v>27</v>
      </c>
      <c r="J429" s="2" t="s">
        <v>23</v>
      </c>
    </row>
    <row r="430" spans="1:10" x14ac:dyDescent="0.3">
      <c r="A430" s="2" t="s">
        <v>442</v>
      </c>
      <c r="B430" s="2" t="s">
        <v>32</v>
      </c>
      <c r="C430" s="2" t="s">
        <v>43</v>
      </c>
      <c r="D430" s="2">
        <v>7</v>
      </c>
      <c r="E430" s="2">
        <v>7981115337</v>
      </c>
      <c r="F430" s="2" t="s">
        <v>13</v>
      </c>
      <c r="G430" s="2" t="s">
        <v>14</v>
      </c>
      <c r="H430" s="2" t="s">
        <v>21</v>
      </c>
      <c r="I430" s="2" t="s">
        <v>22</v>
      </c>
      <c r="J430" s="2" t="s">
        <v>22</v>
      </c>
    </row>
    <row r="431" spans="1:10" x14ac:dyDescent="0.3">
      <c r="A431" s="2" t="s">
        <v>443</v>
      </c>
      <c r="B431" s="2" t="s">
        <v>32</v>
      </c>
      <c r="C431" s="2" t="s">
        <v>43</v>
      </c>
      <c r="D431" s="2">
        <v>7</v>
      </c>
      <c r="E431" s="2">
        <v>6759915509</v>
      </c>
      <c r="F431" s="2" t="s">
        <v>13</v>
      </c>
      <c r="G431" s="2" t="s">
        <v>14</v>
      </c>
      <c r="H431" s="2" t="s">
        <v>21</v>
      </c>
      <c r="I431" s="2" t="s">
        <v>29</v>
      </c>
      <c r="J431" s="2" t="s">
        <v>22</v>
      </c>
    </row>
    <row r="432" spans="1:10" x14ac:dyDescent="0.3">
      <c r="A432" s="2" t="s">
        <v>444</v>
      </c>
      <c r="B432" s="2" t="s">
        <v>32</v>
      </c>
      <c r="C432" s="2" t="s">
        <v>43</v>
      </c>
      <c r="D432" s="2">
        <v>7</v>
      </c>
      <c r="E432" s="2">
        <v>6043371887</v>
      </c>
      <c r="F432" s="2" t="s">
        <v>13</v>
      </c>
      <c r="G432" s="2" t="s">
        <v>20</v>
      </c>
      <c r="H432" s="2" t="s">
        <v>21</v>
      </c>
      <c r="I432" s="2" t="s">
        <v>29</v>
      </c>
      <c r="J432" s="2" t="s">
        <v>17</v>
      </c>
    </row>
    <row r="433" spans="1:10" x14ac:dyDescent="0.3">
      <c r="A433" s="2" t="s">
        <v>445</v>
      </c>
      <c r="B433" s="2" t="s">
        <v>11</v>
      </c>
      <c r="C433" s="2" t="s">
        <v>26</v>
      </c>
      <c r="D433" s="2">
        <v>3</v>
      </c>
      <c r="E433" s="2">
        <v>7056373018</v>
      </c>
      <c r="F433" s="2" t="s">
        <v>19</v>
      </c>
      <c r="G433" s="2" t="s">
        <v>20</v>
      </c>
      <c r="H433" s="2" t="s">
        <v>15</v>
      </c>
      <c r="I433" s="2" t="s">
        <v>37</v>
      </c>
      <c r="J433" s="2" t="s">
        <v>23</v>
      </c>
    </row>
    <row r="434" spans="1:10" x14ac:dyDescent="0.3">
      <c r="A434" s="2" t="s">
        <v>446</v>
      </c>
      <c r="B434" s="2" t="s">
        <v>32</v>
      </c>
      <c r="C434" s="2" t="s">
        <v>36</v>
      </c>
      <c r="D434" s="2">
        <v>7</v>
      </c>
      <c r="E434" s="2">
        <v>9966393845</v>
      </c>
      <c r="F434" s="2" t="s">
        <v>19</v>
      </c>
      <c r="G434" s="2" t="s">
        <v>20</v>
      </c>
      <c r="H434" s="2" t="s">
        <v>15</v>
      </c>
      <c r="I434" s="2" t="s">
        <v>27</v>
      </c>
      <c r="J434" s="2" t="s">
        <v>22</v>
      </c>
    </row>
    <row r="435" spans="1:10" x14ac:dyDescent="0.3">
      <c r="A435" s="2" t="s">
        <v>447</v>
      </c>
      <c r="B435" s="2" t="s">
        <v>35</v>
      </c>
      <c r="C435" s="2" t="s">
        <v>12</v>
      </c>
      <c r="D435" s="2">
        <v>1</v>
      </c>
      <c r="E435" s="2">
        <v>8222071316</v>
      </c>
      <c r="F435" s="2" t="s">
        <v>19</v>
      </c>
      <c r="G435" s="2" t="s">
        <v>20</v>
      </c>
      <c r="H435" s="2" t="s">
        <v>21</v>
      </c>
      <c r="I435" s="2" t="s">
        <v>22</v>
      </c>
      <c r="J435" s="2" t="s">
        <v>22</v>
      </c>
    </row>
    <row r="436" spans="1:10" x14ac:dyDescent="0.3">
      <c r="A436" s="2" t="s">
        <v>448</v>
      </c>
      <c r="B436" s="2" t="s">
        <v>32</v>
      </c>
      <c r="C436" s="2" t="s">
        <v>33</v>
      </c>
      <c r="D436" s="2">
        <v>7</v>
      </c>
      <c r="E436" s="2">
        <v>8040119751</v>
      </c>
      <c r="F436" s="2" t="s">
        <v>13</v>
      </c>
      <c r="G436" s="2" t="s">
        <v>20</v>
      </c>
      <c r="H436" s="2" t="s">
        <v>15</v>
      </c>
      <c r="I436" s="2" t="s">
        <v>27</v>
      </c>
      <c r="J436" s="2" t="s">
        <v>22</v>
      </c>
    </row>
    <row r="437" spans="1:10" x14ac:dyDescent="0.3">
      <c r="A437" s="2" t="s">
        <v>449</v>
      </c>
      <c r="B437" s="2" t="s">
        <v>25</v>
      </c>
      <c r="C437" s="2" t="s">
        <v>33</v>
      </c>
      <c r="D437" s="2">
        <v>5</v>
      </c>
      <c r="E437" s="2">
        <v>8432055028</v>
      </c>
      <c r="F437" s="2" t="s">
        <v>19</v>
      </c>
      <c r="G437" s="2" t="s">
        <v>20</v>
      </c>
      <c r="H437" s="2" t="s">
        <v>15</v>
      </c>
      <c r="I437" s="2" t="s">
        <v>27</v>
      </c>
      <c r="J437" s="2" t="s">
        <v>22</v>
      </c>
    </row>
    <row r="438" spans="1:10" x14ac:dyDescent="0.3">
      <c r="A438" s="2" t="s">
        <v>450</v>
      </c>
      <c r="B438" s="2" t="s">
        <v>11</v>
      </c>
      <c r="C438" s="2" t="s">
        <v>36</v>
      </c>
      <c r="D438" s="2">
        <v>3</v>
      </c>
      <c r="E438" s="2">
        <v>7458810015</v>
      </c>
      <c r="F438" s="2" t="s">
        <v>19</v>
      </c>
      <c r="G438" s="2" t="s">
        <v>14</v>
      </c>
      <c r="H438" s="2" t="s">
        <v>21</v>
      </c>
      <c r="I438" s="2" t="s">
        <v>29</v>
      </c>
      <c r="J438" s="2" t="s">
        <v>22</v>
      </c>
    </row>
    <row r="439" spans="1:10" x14ac:dyDescent="0.3">
      <c r="A439" s="2" t="s">
        <v>451</v>
      </c>
      <c r="B439" s="2" t="s">
        <v>32</v>
      </c>
      <c r="C439" s="2" t="s">
        <v>12</v>
      </c>
      <c r="D439" s="2">
        <v>7</v>
      </c>
      <c r="E439" s="2">
        <v>7660936281</v>
      </c>
      <c r="F439" s="2" t="s">
        <v>19</v>
      </c>
      <c r="G439" s="2" t="s">
        <v>14</v>
      </c>
      <c r="H439" s="2" t="s">
        <v>15</v>
      </c>
      <c r="I439" s="2" t="s">
        <v>41</v>
      </c>
      <c r="J439" s="2" t="s">
        <v>23</v>
      </c>
    </row>
    <row r="440" spans="1:10" x14ac:dyDescent="0.3">
      <c r="A440" s="2" t="s">
        <v>452</v>
      </c>
      <c r="B440" s="2" t="s">
        <v>11</v>
      </c>
      <c r="C440" s="2" t="s">
        <v>26</v>
      </c>
      <c r="D440" s="2">
        <v>3</v>
      </c>
      <c r="E440" s="2">
        <v>9589950817</v>
      </c>
      <c r="F440" s="2" t="s">
        <v>19</v>
      </c>
      <c r="G440" s="2" t="s">
        <v>14</v>
      </c>
      <c r="H440" s="2" t="s">
        <v>15</v>
      </c>
      <c r="I440" s="2" t="s">
        <v>22</v>
      </c>
      <c r="J440" s="2" t="s">
        <v>17</v>
      </c>
    </row>
    <row r="441" spans="1:10" x14ac:dyDescent="0.3">
      <c r="A441" s="2" t="s">
        <v>453</v>
      </c>
      <c r="B441" s="2" t="s">
        <v>35</v>
      </c>
      <c r="C441" s="2" t="s">
        <v>33</v>
      </c>
      <c r="D441" s="2">
        <v>1</v>
      </c>
      <c r="E441" s="2">
        <v>6652375431</v>
      </c>
      <c r="F441" s="2" t="s">
        <v>19</v>
      </c>
      <c r="G441" s="2" t="s">
        <v>20</v>
      </c>
      <c r="H441" s="2" t="s">
        <v>15</v>
      </c>
      <c r="I441" s="2" t="s">
        <v>16</v>
      </c>
      <c r="J441" s="2" t="s">
        <v>22</v>
      </c>
    </row>
    <row r="442" spans="1:10" x14ac:dyDescent="0.3">
      <c r="A442" s="2" t="s">
        <v>454</v>
      </c>
      <c r="B442" s="2" t="s">
        <v>32</v>
      </c>
      <c r="C442" s="2" t="s">
        <v>33</v>
      </c>
      <c r="D442" s="2">
        <v>7</v>
      </c>
      <c r="E442" s="2">
        <v>8146157458</v>
      </c>
      <c r="F442" s="2" t="s">
        <v>19</v>
      </c>
      <c r="G442" s="2" t="s">
        <v>14</v>
      </c>
      <c r="H442" s="2" t="s">
        <v>15</v>
      </c>
      <c r="I442" s="2" t="s">
        <v>37</v>
      </c>
      <c r="J442" s="2" t="s">
        <v>23</v>
      </c>
    </row>
    <row r="443" spans="1:10" x14ac:dyDescent="0.3">
      <c r="A443" s="2" t="s">
        <v>455</v>
      </c>
      <c r="B443" s="2" t="s">
        <v>25</v>
      </c>
      <c r="C443" s="2" t="s">
        <v>36</v>
      </c>
      <c r="D443" s="2">
        <v>5</v>
      </c>
      <c r="E443" s="2">
        <v>7749961526</v>
      </c>
      <c r="F443" s="2" t="s">
        <v>13</v>
      </c>
      <c r="G443" s="2" t="s">
        <v>14</v>
      </c>
      <c r="H443" s="2" t="s">
        <v>21</v>
      </c>
      <c r="I443" s="2" t="s">
        <v>37</v>
      </c>
      <c r="J443" s="2" t="s">
        <v>22</v>
      </c>
    </row>
    <row r="444" spans="1:10" x14ac:dyDescent="0.3">
      <c r="A444" s="2" t="s">
        <v>456</v>
      </c>
      <c r="B444" s="2" t="s">
        <v>11</v>
      </c>
      <c r="C444" s="2" t="s">
        <v>12</v>
      </c>
      <c r="D444" s="2">
        <v>3</v>
      </c>
      <c r="E444" s="2">
        <v>8837328306</v>
      </c>
      <c r="F444" s="2" t="s">
        <v>19</v>
      </c>
      <c r="G444" s="2" t="s">
        <v>20</v>
      </c>
      <c r="H444" s="2" t="s">
        <v>15</v>
      </c>
      <c r="I444" s="2" t="s">
        <v>29</v>
      </c>
      <c r="J444" s="2" t="s">
        <v>23</v>
      </c>
    </row>
    <row r="445" spans="1:10" x14ac:dyDescent="0.3">
      <c r="A445" s="2" t="s">
        <v>457</v>
      </c>
      <c r="B445" s="2" t="s">
        <v>11</v>
      </c>
      <c r="C445" s="2" t="s">
        <v>12</v>
      </c>
      <c r="D445" s="2">
        <v>3</v>
      </c>
      <c r="E445" s="2">
        <v>7517974835</v>
      </c>
      <c r="F445" s="2" t="s">
        <v>13</v>
      </c>
      <c r="G445" s="2" t="s">
        <v>14</v>
      </c>
      <c r="H445" s="2" t="s">
        <v>15</v>
      </c>
      <c r="I445" s="2" t="s">
        <v>16</v>
      </c>
      <c r="J445" s="2" t="s">
        <v>22</v>
      </c>
    </row>
    <row r="446" spans="1:10" x14ac:dyDescent="0.3">
      <c r="A446" s="2" t="s">
        <v>458</v>
      </c>
      <c r="B446" s="2" t="s">
        <v>25</v>
      </c>
      <c r="C446" s="2" t="s">
        <v>12</v>
      </c>
      <c r="D446" s="2">
        <v>5</v>
      </c>
      <c r="E446" s="2">
        <v>9247984940</v>
      </c>
      <c r="F446" s="2" t="s">
        <v>19</v>
      </c>
      <c r="G446" s="2" t="s">
        <v>20</v>
      </c>
      <c r="H446" s="2" t="s">
        <v>21</v>
      </c>
      <c r="I446" s="2" t="s">
        <v>22</v>
      </c>
      <c r="J446" s="2" t="s">
        <v>22</v>
      </c>
    </row>
    <row r="447" spans="1:10" x14ac:dyDescent="0.3">
      <c r="A447" s="2" t="s">
        <v>459</v>
      </c>
      <c r="B447" s="2" t="s">
        <v>25</v>
      </c>
      <c r="C447" s="2" t="s">
        <v>26</v>
      </c>
      <c r="D447" s="2">
        <v>5</v>
      </c>
      <c r="E447" s="2">
        <v>7808483238</v>
      </c>
      <c r="F447" s="2" t="s">
        <v>13</v>
      </c>
      <c r="G447" s="2" t="s">
        <v>20</v>
      </c>
      <c r="H447" s="2" t="s">
        <v>21</v>
      </c>
      <c r="I447" s="2" t="s">
        <v>29</v>
      </c>
      <c r="J447" s="2" t="s">
        <v>22</v>
      </c>
    </row>
    <row r="448" spans="1:10" x14ac:dyDescent="0.3">
      <c r="A448" s="2" t="s">
        <v>460</v>
      </c>
      <c r="B448" s="2" t="s">
        <v>25</v>
      </c>
      <c r="C448" s="2" t="s">
        <v>43</v>
      </c>
      <c r="D448" s="2">
        <v>5</v>
      </c>
      <c r="E448" s="2">
        <v>9674474748</v>
      </c>
      <c r="F448" s="2" t="s">
        <v>13</v>
      </c>
      <c r="G448" s="2" t="s">
        <v>14</v>
      </c>
      <c r="H448" s="2" t="s">
        <v>21</v>
      </c>
      <c r="I448" s="2" t="s">
        <v>16</v>
      </c>
      <c r="J448" s="2" t="s">
        <v>22</v>
      </c>
    </row>
    <row r="449" spans="1:10" x14ac:dyDescent="0.3">
      <c r="A449" s="2" t="s">
        <v>461</v>
      </c>
      <c r="B449" s="2" t="s">
        <v>25</v>
      </c>
      <c r="C449" s="2" t="s">
        <v>43</v>
      </c>
      <c r="D449" s="2">
        <v>5</v>
      </c>
      <c r="E449" s="2">
        <v>6760706177</v>
      </c>
      <c r="F449" s="2" t="s">
        <v>19</v>
      </c>
      <c r="G449" s="2" t="s">
        <v>14</v>
      </c>
      <c r="H449" s="2" t="s">
        <v>21</v>
      </c>
      <c r="I449" s="2" t="s">
        <v>22</v>
      </c>
      <c r="J449" s="2" t="s">
        <v>22</v>
      </c>
    </row>
    <row r="450" spans="1:10" x14ac:dyDescent="0.3">
      <c r="A450" s="2" t="s">
        <v>462</v>
      </c>
      <c r="B450" s="2" t="s">
        <v>35</v>
      </c>
      <c r="C450" s="2" t="s">
        <v>33</v>
      </c>
      <c r="D450" s="2">
        <v>1</v>
      </c>
      <c r="E450" s="2">
        <v>6016851584</v>
      </c>
      <c r="F450" s="2" t="s">
        <v>19</v>
      </c>
      <c r="G450" s="2" t="s">
        <v>20</v>
      </c>
      <c r="H450" s="2" t="s">
        <v>15</v>
      </c>
      <c r="I450" s="2" t="s">
        <v>16</v>
      </c>
      <c r="J450" s="2" t="s">
        <v>22</v>
      </c>
    </row>
    <row r="451" spans="1:10" x14ac:dyDescent="0.3">
      <c r="A451" s="2" t="s">
        <v>463</v>
      </c>
      <c r="B451" s="2" t="s">
        <v>35</v>
      </c>
      <c r="C451" s="2" t="s">
        <v>33</v>
      </c>
      <c r="D451" s="2">
        <v>1</v>
      </c>
      <c r="E451" s="2">
        <v>6710324869</v>
      </c>
      <c r="F451" s="2" t="s">
        <v>13</v>
      </c>
      <c r="G451" s="2" t="s">
        <v>14</v>
      </c>
      <c r="H451" s="2" t="s">
        <v>21</v>
      </c>
      <c r="I451" s="2" t="s">
        <v>22</v>
      </c>
      <c r="J451" s="2" t="s">
        <v>17</v>
      </c>
    </row>
    <row r="452" spans="1:10" x14ac:dyDescent="0.3">
      <c r="A452" s="2" t="s">
        <v>464</v>
      </c>
      <c r="B452" s="2" t="s">
        <v>32</v>
      </c>
      <c r="C452" s="2" t="s">
        <v>33</v>
      </c>
      <c r="D452" s="2">
        <v>7</v>
      </c>
      <c r="E452" s="2">
        <v>9055636678</v>
      </c>
      <c r="F452" s="2" t="s">
        <v>13</v>
      </c>
      <c r="G452" s="2" t="s">
        <v>14</v>
      </c>
      <c r="H452" s="2" t="s">
        <v>21</v>
      </c>
      <c r="I452" s="2" t="s">
        <v>16</v>
      </c>
      <c r="J452" s="2" t="s">
        <v>22</v>
      </c>
    </row>
    <row r="453" spans="1:10" x14ac:dyDescent="0.3">
      <c r="A453" s="2" t="s">
        <v>465</v>
      </c>
      <c r="B453" s="2" t="s">
        <v>35</v>
      </c>
      <c r="C453" s="2" t="s">
        <v>33</v>
      </c>
      <c r="D453" s="2">
        <v>1</v>
      </c>
      <c r="E453" s="2">
        <v>6744800165</v>
      </c>
      <c r="F453" s="2" t="s">
        <v>19</v>
      </c>
      <c r="G453" s="2" t="s">
        <v>14</v>
      </c>
      <c r="H453" s="2" t="s">
        <v>21</v>
      </c>
      <c r="I453" s="2" t="s">
        <v>37</v>
      </c>
      <c r="J453" s="2" t="s">
        <v>17</v>
      </c>
    </row>
    <row r="454" spans="1:10" x14ac:dyDescent="0.3">
      <c r="A454" s="2" t="s">
        <v>466</v>
      </c>
      <c r="B454" s="2" t="s">
        <v>11</v>
      </c>
      <c r="C454" s="2" t="s">
        <v>12</v>
      </c>
      <c r="D454" s="2">
        <v>3</v>
      </c>
      <c r="E454" s="2">
        <v>8241218520</v>
      </c>
      <c r="F454" s="2" t="s">
        <v>13</v>
      </c>
      <c r="G454" s="2" t="s">
        <v>14</v>
      </c>
      <c r="H454" s="2" t="s">
        <v>15</v>
      </c>
      <c r="I454" s="2" t="s">
        <v>29</v>
      </c>
      <c r="J454" s="2" t="s">
        <v>23</v>
      </c>
    </row>
    <row r="455" spans="1:10" x14ac:dyDescent="0.3">
      <c r="A455" s="2" t="s">
        <v>467</v>
      </c>
      <c r="B455" s="2" t="s">
        <v>35</v>
      </c>
      <c r="C455" s="2" t="s">
        <v>43</v>
      </c>
      <c r="D455" s="2">
        <v>1</v>
      </c>
      <c r="E455" s="2">
        <v>6561378375</v>
      </c>
      <c r="F455" s="2" t="s">
        <v>19</v>
      </c>
      <c r="G455" s="2" t="s">
        <v>20</v>
      </c>
      <c r="H455" s="2" t="s">
        <v>21</v>
      </c>
      <c r="I455" s="2" t="s">
        <v>16</v>
      </c>
      <c r="J455" s="2" t="s">
        <v>22</v>
      </c>
    </row>
    <row r="456" spans="1:10" x14ac:dyDescent="0.3">
      <c r="A456" s="2" t="s">
        <v>468</v>
      </c>
      <c r="B456" s="2" t="s">
        <v>32</v>
      </c>
      <c r="C456" s="2" t="s">
        <v>43</v>
      </c>
      <c r="D456" s="2">
        <v>7</v>
      </c>
      <c r="E456" s="2">
        <v>6539466165</v>
      </c>
      <c r="F456" s="2" t="s">
        <v>19</v>
      </c>
      <c r="G456" s="2" t="s">
        <v>20</v>
      </c>
      <c r="H456" s="2" t="s">
        <v>21</v>
      </c>
      <c r="I456" s="2" t="s">
        <v>22</v>
      </c>
      <c r="J456" s="2" t="s">
        <v>23</v>
      </c>
    </row>
    <row r="457" spans="1:10" x14ac:dyDescent="0.3">
      <c r="A457" s="2" t="s">
        <v>469</v>
      </c>
      <c r="B457" s="2" t="s">
        <v>25</v>
      </c>
      <c r="C457" s="2" t="s">
        <v>26</v>
      </c>
      <c r="D457" s="2">
        <v>5</v>
      </c>
      <c r="E457" s="2">
        <v>7100920800</v>
      </c>
      <c r="F457" s="2" t="s">
        <v>19</v>
      </c>
      <c r="G457" s="2" t="s">
        <v>20</v>
      </c>
      <c r="H457" s="2" t="s">
        <v>15</v>
      </c>
      <c r="I457" s="2" t="s">
        <v>37</v>
      </c>
      <c r="J457" s="2" t="s">
        <v>23</v>
      </c>
    </row>
    <row r="458" spans="1:10" x14ac:dyDescent="0.3">
      <c r="A458" s="2" t="s">
        <v>470</v>
      </c>
      <c r="B458" s="2" t="s">
        <v>25</v>
      </c>
      <c r="C458" s="2" t="s">
        <v>26</v>
      </c>
      <c r="D458" s="2">
        <v>5</v>
      </c>
      <c r="E458" s="2">
        <v>7631837536</v>
      </c>
      <c r="F458" s="2" t="s">
        <v>19</v>
      </c>
      <c r="G458" s="2" t="s">
        <v>14</v>
      </c>
      <c r="H458" s="2" t="s">
        <v>15</v>
      </c>
      <c r="I458" s="2" t="s">
        <v>29</v>
      </c>
      <c r="J458" s="2" t="s">
        <v>22</v>
      </c>
    </row>
    <row r="459" spans="1:10" x14ac:dyDescent="0.3">
      <c r="A459" s="2" t="s">
        <v>471</v>
      </c>
      <c r="B459" s="2" t="s">
        <v>25</v>
      </c>
      <c r="C459" s="2" t="s">
        <v>43</v>
      </c>
      <c r="D459" s="2">
        <v>5</v>
      </c>
      <c r="E459" s="2">
        <v>7215178339</v>
      </c>
      <c r="F459" s="2" t="s">
        <v>19</v>
      </c>
      <c r="G459" s="2" t="s">
        <v>14</v>
      </c>
      <c r="H459" s="2" t="s">
        <v>15</v>
      </c>
      <c r="I459" s="2" t="s">
        <v>22</v>
      </c>
      <c r="J459" s="2" t="s">
        <v>23</v>
      </c>
    </row>
    <row r="460" spans="1:10" x14ac:dyDescent="0.3">
      <c r="A460" s="2" t="s">
        <v>472</v>
      </c>
      <c r="B460" s="2" t="s">
        <v>35</v>
      </c>
      <c r="C460" s="2" t="s">
        <v>43</v>
      </c>
      <c r="D460" s="2">
        <v>1</v>
      </c>
      <c r="E460" s="2">
        <v>7449425536</v>
      </c>
      <c r="F460" s="2" t="s">
        <v>19</v>
      </c>
      <c r="G460" s="2" t="s">
        <v>14</v>
      </c>
      <c r="H460" s="2" t="s">
        <v>21</v>
      </c>
      <c r="I460" s="2" t="s">
        <v>37</v>
      </c>
      <c r="J460" s="2" t="s">
        <v>22</v>
      </c>
    </row>
    <row r="461" spans="1:10" x14ac:dyDescent="0.3">
      <c r="A461" s="2" t="s">
        <v>367</v>
      </c>
      <c r="B461" s="2" t="s">
        <v>32</v>
      </c>
      <c r="C461" s="2" t="s">
        <v>36</v>
      </c>
      <c r="D461" s="2">
        <v>7</v>
      </c>
      <c r="E461" s="2">
        <v>7488243527</v>
      </c>
      <c r="F461" s="2" t="s">
        <v>13</v>
      </c>
      <c r="G461" s="2" t="s">
        <v>20</v>
      </c>
      <c r="H461" s="2" t="s">
        <v>21</v>
      </c>
      <c r="I461" s="2" t="s">
        <v>41</v>
      </c>
      <c r="J461" s="2" t="s">
        <v>23</v>
      </c>
    </row>
    <row r="462" spans="1:10" x14ac:dyDescent="0.3">
      <c r="A462" s="2" t="s">
        <v>473</v>
      </c>
      <c r="B462" s="2" t="s">
        <v>11</v>
      </c>
      <c r="C462" s="2" t="s">
        <v>26</v>
      </c>
      <c r="D462" s="2">
        <v>3</v>
      </c>
      <c r="E462" s="2">
        <v>6638446925</v>
      </c>
      <c r="F462" s="2" t="s">
        <v>13</v>
      </c>
      <c r="G462" s="2" t="s">
        <v>14</v>
      </c>
      <c r="H462" s="2" t="s">
        <v>15</v>
      </c>
      <c r="I462" s="2" t="s">
        <v>27</v>
      </c>
      <c r="J462" s="2" t="s">
        <v>23</v>
      </c>
    </row>
    <row r="463" spans="1:10" x14ac:dyDescent="0.3">
      <c r="A463" s="2" t="s">
        <v>474</v>
      </c>
      <c r="B463" s="2" t="s">
        <v>32</v>
      </c>
      <c r="C463" s="2" t="s">
        <v>43</v>
      </c>
      <c r="D463" s="2">
        <v>7</v>
      </c>
      <c r="E463" s="2">
        <v>7241751573</v>
      </c>
      <c r="F463" s="2" t="s">
        <v>13</v>
      </c>
      <c r="G463" s="2" t="s">
        <v>20</v>
      </c>
      <c r="H463" s="2" t="s">
        <v>15</v>
      </c>
      <c r="I463" s="2" t="s">
        <v>22</v>
      </c>
      <c r="J463" s="2" t="s">
        <v>23</v>
      </c>
    </row>
    <row r="464" spans="1:10" x14ac:dyDescent="0.3">
      <c r="A464" s="2" t="s">
        <v>475</v>
      </c>
      <c r="B464" s="2" t="s">
        <v>32</v>
      </c>
      <c r="C464" s="2" t="s">
        <v>12</v>
      </c>
      <c r="D464" s="2">
        <v>7</v>
      </c>
      <c r="E464" s="2">
        <v>8982599699</v>
      </c>
      <c r="F464" s="2" t="s">
        <v>19</v>
      </c>
      <c r="G464" s="2" t="s">
        <v>20</v>
      </c>
      <c r="H464" s="2" t="s">
        <v>21</v>
      </c>
      <c r="I464" s="2" t="s">
        <v>22</v>
      </c>
      <c r="J464" s="2" t="s">
        <v>17</v>
      </c>
    </row>
    <row r="465" spans="1:10" x14ac:dyDescent="0.3">
      <c r="A465" s="2" t="s">
        <v>476</v>
      </c>
      <c r="B465" s="2" t="s">
        <v>35</v>
      </c>
      <c r="C465" s="2" t="s">
        <v>43</v>
      </c>
      <c r="D465" s="2">
        <v>1</v>
      </c>
      <c r="E465" s="2">
        <v>9884395934</v>
      </c>
      <c r="F465" s="2" t="s">
        <v>19</v>
      </c>
      <c r="G465" s="2" t="s">
        <v>14</v>
      </c>
      <c r="H465" s="2" t="s">
        <v>15</v>
      </c>
      <c r="I465" s="2" t="s">
        <v>22</v>
      </c>
      <c r="J465" s="2" t="s">
        <v>22</v>
      </c>
    </row>
    <row r="466" spans="1:10" x14ac:dyDescent="0.3">
      <c r="A466" s="2" t="s">
        <v>477</v>
      </c>
      <c r="B466" s="2" t="s">
        <v>35</v>
      </c>
      <c r="C466" s="2" t="s">
        <v>26</v>
      </c>
      <c r="D466" s="2">
        <v>1</v>
      </c>
      <c r="E466" s="2">
        <v>7023587431</v>
      </c>
      <c r="F466" s="2" t="s">
        <v>19</v>
      </c>
      <c r="G466" s="2" t="s">
        <v>14</v>
      </c>
      <c r="H466" s="2" t="s">
        <v>21</v>
      </c>
      <c r="I466" s="2" t="s">
        <v>27</v>
      </c>
      <c r="J466" s="2" t="s">
        <v>22</v>
      </c>
    </row>
    <row r="467" spans="1:10" x14ac:dyDescent="0.3">
      <c r="A467" s="2" t="s">
        <v>478</v>
      </c>
      <c r="B467" s="2" t="s">
        <v>32</v>
      </c>
      <c r="C467" s="2" t="s">
        <v>33</v>
      </c>
      <c r="D467" s="2">
        <v>7</v>
      </c>
      <c r="E467" s="2">
        <v>7442807338</v>
      </c>
      <c r="F467" s="2" t="s">
        <v>13</v>
      </c>
      <c r="G467" s="2" t="s">
        <v>14</v>
      </c>
      <c r="H467" s="2" t="s">
        <v>21</v>
      </c>
      <c r="I467" s="2" t="s">
        <v>27</v>
      </c>
      <c r="J467" s="2" t="s">
        <v>23</v>
      </c>
    </row>
    <row r="468" spans="1:10" x14ac:dyDescent="0.3">
      <c r="A468" s="2" t="s">
        <v>479</v>
      </c>
      <c r="B468" s="2" t="s">
        <v>35</v>
      </c>
      <c r="C468" s="2" t="s">
        <v>43</v>
      </c>
      <c r="D468" s="2">
        <v>1</v>
      </c>
      <c r="E468" s="2">
        <v>9423836399</v>
      </c>
      <c r="F468" s="2" t="s">
        <v>19</v>
      </c>
      <c r="G468" s="2" t="s">
        <v>14</v>
      </c>
      <c r="H468" s="2" t="s">
        <v>15</v>
      </c>
      <c r="I468" s="2" t="s">
        <v>22</v>
      </c>
      <c r="J468" s="2" t="s">
        <v>23</v>
      </c>
    </row>
    <row r="469" spans="1:10" x14ac:dyDescent="0.3">
      <c r="A469" s="2" t="s">
        <v>480</v>
      </c>
      <c r="B469" s="2" t="s">
        <v>35</v>
      </c>
      <c r="C469" s="2" t="s">
        <v>26</v>
      </c>
      <c r="D469" s="2">
        <v>1</v>
      </c>
      <c r="E469" s="2">
        <v>7422699392</v>
      </c>
      <c r="F469" s="2" t="s">
        <v>19</v>
      </c>
      <c r="G469" s="2" t="s">
        <v>14</v>
      </c>
      <c r="H469" s="2" t="s">
        <v>15</v>
      </c>
      <c r="I469" s="2" t="s">
        <v>27</v>
      </c>
      <c r="J469" s="2" t="s">
        <v>23</v>
      </c>
    </row>
    <row r="470" spans="1:10" x14ac:dyDescent="0.3">
      <c r="A470" s="2" t="s">
        <v>481</v>
      </c>
      <c r="B470" s="2" t="s">
        <v>11</v>
      </c>
      <c r="C470" s="2" t="s">
        <v>26</v>
      </c>
      <c r="D470" s="2">
        <v>3</v>
      </c>
      <c r="E470" s="2">
        <v>9362476393</v>
      </c>
      <c r="F470" s="2" t="s">
        <v>19</v>
      </c>
      <c r="G470" s="2" t="s">
        <v>20</v>
      </c>
      <c r="H470" s="2" t="s">
        <v>15</v>
      </c>
      <c r="I470" s="2" t="s">
        <v>27</v>
      </c>
      <c r="J470" s="2" t="s">
        <v>22</v>
      </c>
    </row>
    <row r="471" spans="1:10" x14ac:dyDescent="0.3">
      <c r="A471" s="2" t="s">
        <v>482</v>
      </c>
      <c r="B471" s="2" t="s">
        <v>32</v>
      </c>
      <c r="C471" s="2" t="s">
        <v>12</v>
      </c>
      <c r="D471" s="2">
        <v>7</v>
      </c>
      <c r="E471" s="2">
        <v>8663603389</v>
      </c>
      <c r="F471" s="2" t="s">
        <v>19</v>
      </c>
      <c r="G471" s="2" t="s">
        <v>20</v>
      </c>
      <c r="H471" s="2" t="s">
        <v>15</v>
      </c>
      <c r="I471" s="2" t="s">
        <v>27</v>
      </c>
      <c r="J471" s="2" t="s">
        <v>17</v>
      </c>
    </row>
    <row r="472" spans="1:10" x14ac:dyDescent="0.3">
      <c r="A472" s="2" t="s">
        <v>483</v>
      </c>
      <c r="B472" s="2" t="s">
        <v>35</v>
      </c>
      <c r="C472" s="2" t="s">
        <v>33</v>
      </c>
      <c r="D472" s="2">
        <v>1</v>
      </c>
      <c r="E472" s="2">
        <v>9031389119</v>
      </c>
      <c r="F472" s="2" t="s">
        <v>19</v>
      </c>
      <c r="G472" s="2" t="s">
        <v>20</v>
      </c>
      <c r="H472" s="2" t="s">
        <v>21</v>
      </c>
      <c r="I472" s="2" t="s">
        <v>16</v>
      </c>
      <c r="J472" s="2" t="s">
        <v>22</v>
      </c>
    </row>
    <row r="473" spans="1:10" x14ac:dyDescent="0.3">
      <c r="A473" s="2" t="s">
        <v>484</v>
      </c>
      <c r="B473" s="2" t="s">
        <v>35</v>
      </c>
      <c r="C473" s="2" t="s">
        <v>43</v>
      </c>
      <c r="D473" s="2">
        <v>1</v>
      </c>
      <c r="E473" s="2">
        <v>6426975886</v>
      </c>
      <c r="F473" s="2" t="s">
        <v>13</v>
      </c>
      <c r="G473" s="2" t="s">
        <v>20</v>
      </c>
      <c r="H473" s="2" t="s">
        <v>15</v>
      </c>
      <c r="I473" s="2" t="s">
        <v>41</v>
      </c>
      <c r="J473" s="2" t="s">
        <v>17</v>
      </c>
    </row>
    <row r="474" spans="1:10" x14ac:dyDescent="0.3">
      <c r="A474" s="2" t="s">
        <v>485</v>
      </c>
      <c r="B474" s="2" t="s">
        <v>25</v>
      </c>
      <c r="C474" s="2" t="s">
        <v>26</v>
      </c>
      <c r="D474" s="2">
        <v>5</v>
      </c>
      <c r="E474" s="2">
        <v>8938331095</v>
      </c>
      <c r="F474" s="2" t="s">
        <v>13</v>
      </c>
      <c r="G474" s="2" t="s">
        <v>20</v>
      </c>
      <c r="H474" s="2" t="s">
        <v>21</v>
      </c>
      <c r="I474" s="2" t="s">
        <v>41</v>
      </c>
      <c r="J474" s="2" t="s">
        <v>17</v>
      </c>
    </row>
    <row r="475" spans="1:10" x14ac:dyDescent="0.3">
      <c r="A475" s="2" t="s">
        <v>396</v>
      </c>
      <c r="B475" s="2" t="s">
        <v>11</v>
      </c>
      <c r="C475" s="2" t="s">
        <v>33</v>
      </c>
      <c r="D475" s="2">
        <v>3</v>
      </c>
      <c r="E475" s="2">
        <v>8065438945</v>
      </c>
      <c r="F475" s="2" t="s">
        <v>19</v>
      </c>
      <c r="G475" s="2" t="s">
        <v>14</v>
      </c>
      <c r="H475" s="2" t="s">
        <v>21</v>
      </c>
      <c r="I475" s="2" t="s">
        <v>41</v>
      </c>
      <c r="J475" s="2" t="s">
        <v>22</v>
      </c>
    </row>
    <row r="476" spans="1:10" x14ac:dyDescent="0.3">
      <c r="A476" s="2" t="s">
        <v>486</v>
      </c>
      <c r="B476" s="2" t="s">
        <v>32</v>
      </c>
      <c r="C476" s="2" t="s">
        <v>26</v>
      </c>
      <c r="D476" s="2">
        <v>7</v>
      </c>
      <c r="E476" s="2">
        <v>8123120427</v>
      </c>
      <c r="F476" s="2" t="s">
        <v>13</v>
      </c>
      <c r="G476" s="2" t="s">
        <v>20</v>
      </c>
      <c r="H476" s="2" t="s">
        <v>15</v>
      </c>
      <c r="I476" s="2" t="s">
        <v>29</v>
      </c>
      <c r="J476" s="2" t="s">
        <v>22</v>
      </c>
    </row>
    <row r="477" spans="1:10" x14ac:dyDescent="0.3">
      <c r="A477" s="2" t="s">
        <v>487</v>
      </c>
      <c r="B477" s="2" t="s">
        <v>11</v>
      </c>
      <c r="C477" s="2" t="s">
        <v>26</v>
      </c>
      <c r="D477" s="2">
        <v>3</v>
      </c>
      <c r="E477" s="2">
        <v>7507233767</v>
      </c>
      <c r="F477" s="2" t="s">
        <v>13</v>
      </c>
      <c r="G477" s="2" t="s">
        <v>14</v>
      </c>
      <c r="H477" s="2" t="s">
        <v>15</v>
      </c>
      <c r="I477" s="2" t="s">
        <v>22</v>
      </c>
      <c r="J477" s="2" t="s">
        <v>17</v>
      </c>
    </row>
    <row r="478" spans="1:10" x14ac:dyDescent="0.3">
      <c r="A478" s="2" t="s">
        <v>488</v>
      </c>
      <c r="B478" s="2" t="s">
        <v>25</v>
      </c>
      <c r="C478" s="2" t="s">
        <v>36</v>
      </c>
      <c r="D478" s="2">
        <v>5</v>
      </c>
      <c r="E478" s="2">
        <v>8009312828</v>
      </c>
      <c r="F478" s="2" t="s">
        <v>13</v>
      </c>
      <c r="G478" s="2" t="s">
        <v>14</v>
      </c>
      <c r="H478" s="2" t="s">
        <v>21</v>
      </c>
      <c r="I478" s="2" t="s">
        <v>41</v>
      </c>
      <c r="J478" s="2" t="s">
        <v>23</v>
      </c>
    </row>
    <row r="479" spans="1:10" x14ac:dyDescent="0.3">
      <c r="A479" s="2" t="s">
        <v>387</v>
      </c>
      <c r="B479" s="2" t="s">
        <v>35</v>
      </c>
      <c r="C479" s="2" t="s">
        <v>26</v>
      </c>
      <c r="D479" s="2">
        <v>1</v>
      </c>
      <c r="E479" s="2">
        <v>7381251355</v>
      </c>
      <c r="F479" s="2" t="s">
        <v>19</v>
      </c>
      <c r="G479" s="2" t="s">
        <v>20</v>
      </c>
      <c r="H479" s="2" t="s">
        <v>21</v>
      </c>
      <c r="I479" s="2" t="s">
        <v>22</v>
      </c>
      <c r="J479" s="2" t="s">
        <v>22</v>
      </c>
    </row>
    <row r="480" spans="1:10" x14ac:dyDescent="0.3">
      <c r="A480" s="2" t="s">
        <v>489</v>
      </c>
      <c r="B480" s="2" t="s">
        <v>35</v>
      </c>
      <c r="C480" s="2" t="s">
        <v>12</v>
      </c>
      <c r="D480" s="2">
        <v>1</v>
      </c>
      <c r="E480" s="2">
        <v>8757874656</v>
      </c>
      <c r="F480" s="2" t="s">
        <v>19</v>
      </c>
      <c r="G480" s="2" t="s">
        <v>14</v>
      </c>
      <c r="H480" s="2" t="s">
        <v>15</v>
      </c>
      <c r="I480" s="2" t="s">
        <v>29</v>
      </c>
      <c r="J480" s="2" t="s">
        <v>22</v>
      </c>
    </row>
    <row r="481" spans="1:10" x14ac:dyDescent="0.3">
      <c r="A481" s="2" t="s">
        <v>490</v>
      </c>
      <c r="B481" s="2" t="s">
        <v>35</v>
      </c>
      <c r="C481" s="2" t="s">
        <v>36</v>
      </c>
      <c r="D481" s="2">
        <v>1</v>
      </c>
      <c r="E481" s="2">
        <v>7244604939</v>
      </c>
      <c r="F481" s="2" t="s">
        <v>13</v>
      </c>
      <c r="G481" s="2" t="s">
        <v>20</v>
      </c>
      <c r="H481" s="2" t="s">
        <v>15</v>
      </c>
      <c r="I481" s="2" t="s">
        <v>16</v>
      </c>
      <c r="J481" s="2" t="s">
        <v>17</v>
      </c>
    </row>
    <row r="482" spans="1:10" x14ac:dyDescent="0.3">
      <c r="A482" s="2" t="s">
        <v>491</v>
      </c>
      <c r="B482" s="2" t="s">
        <v>35</v>
      </c>
      <c r="C482" s="2" t="s">
        <v>33</v>
      </c>
      <c r="D482" s="2">
        <v>1</v>
      </c>
      <c r="E482" s="2">
        <v>8991465847</v>
      </c>
      <c r="F482" s="2" t="s">
        <v>19</v>
      </c>
      <c r="G482" s="2" t="s">
        <v>20</v>
      </c>
      <c r="H482" s="2" t="s">
        <v>21</v>
      </c>
      <c r="I482" s="2" t="s">
        <v>41</v>
      </c>
      <c r="J482" s="2" t="s">
        <v>23</v>
      </c>
    </row>
    <row r="483" spans="1:10" x14ac:dyDescent="0.3">
      <c r="A483" s="2" t="s">
        <v>492</v>
      </c>
      <c r="B483" s="2" t="s">
        <v>35</v>
      </c>
      <c r="C483" s="2" t="s">
        <v>26</v>
      </c>
      <c r="D483" s="2">
        <v>1</v>
      </c>
      <c r="E483" s="2">
        <v>7712627893</v>
      </c>
      <c r="F483" s="2" t="s">
        <v>19</v>
      </c>
      <c r="G483" s="2" t="s">
        <v>14</v>
      </c>
      <c r="H483" s="2" t="s">
        <v>15</v>
      </c>
      <c r="I483" s="2" t="s">
        <v>37</v>
      </c>
      <c r="J483" s="2" t="s">
        <v>23</v>
      </c>
    </row>
    <row r="484" spans="1:10" x14ac:dyDescent="0.3">
      <c r="A484" s="2" t="s">
        <v>493</v>
      </c>
      <c r="B484" s="2" t="s">
        <v>35</v>
      </c>
      <c r="C484" s="2" t="s">
        <v>36</v>
      </c>
      <c r="D484" s="2">
        <v>1</v>
      </c>
      <c r="E484" s="2">
        <v>9134284930</v>
      </c>
      <c r="F484" s="2" t="s">
        <v>19</v>
      </c>
      <c r="G484" s="2" t="s">
        <v>14</v>
      </c>
      <c r="H484" s="2" t="s">
        <v>15</v>
      </c>
      <c r="I484" s="2" t="s">
        <v>37</v>
      </c>
      <c r="J484" s="2" t="s">
        <v>17</v>
      </c>
    </row>
    <row r="485" spans="1:10" x14ac:dyDescent="0.3">
      <c r="A485" s="2" t="s">
        <v>494</v>
      </c>
      <c r="B485" s="2" t="s">
        <v>32</v>
      </c>
      <c r="C485" s="2" t="s">
        <v>43</v>
      </c>
      <c r="D485" s="2">
        <v>7</v>
      </c>
      <c r="E485" s="2">
        <v>8592739796</v>
      </c>
      <c r="F485" s="2" t="s">
        <v>19</v>
      </c>
      <c r="G485" s="2" t="s">
        <v>14</v>
      </c>
      <c r="H485" s="2" t="s">
        <v>15</v>
      </c>
      <c r="I485" s="2" t="s">
        <v>22</v>
      </c>
      <c r="J485" s="2" t="s">
        <v>22</v>
      </c>
    </row>
    <row r="486" spans="1:10" x14ac:dyDescent="0.3">
      <c r="A486" s="2" t="s">
        <v>495</v>
      </c>
      <c r="B486" s="2" t="s">
        <v>25</v>
      </c>
      <c r="C486" s="2" t="s">
        <v>26</v>
      </c>
      <c r="D486" s="2">
        <v>5</v>
      </c>
      <c r="E486" s="2">
        <v>7263962071</v>
      </c>
      <c r="F486" s="2" t="s">
        <v>13</v>
      </c>
      <c r="G486" s="2" t="s">
        <v>14</v>
      </c>
      <c r="H486" s="2" t="s">
        <v>21</v>
      </c>
      <c r="I486" s="2" t="s">
        <v>41</v>
      </c>
      <c r="J486" s="2" t="s">
        <v>22</v>
      </c>
    </row>
    <row r="487" spans="1:10" x14ac:dyDescent="0.3">
      <c r="A487" s="2" t="s">
        <v>496</v>
      </c>
      <c r="B487" s="2" t="s">
        <v>25</v>
      </c>
      <c r="C487" s="2" t="s">
        <v>33</v>
      </c>
      <c r="D487" s="2">
        <v>5</v>
      </c>
      <c r="E487" s="2">
        <v>6802777637</v>
      </c>
      <c r="F487" s="2" t="s">
        <v>19</v>
      </c>
      <c r="G487" s="2" t="s">
        <v>14</v>
      </c>
      <c r="H487" s="2" t="s">
        <v>15</v>
      </c>
      <c r="I487" s="2" t="s">
        <v>22</v>
      </c>
      <c r="J487" s="2" t="s">
        <v>23</v>
      </c>
    </row>
    <row r="488" spans="1:10" x14ac:dyDescent="0.3">
      <c r="A488" s="2" t="s">
        <v>184</v>
      </c>
      <c r="B488" s="2" t="s">
        <v>35</v>
      </c>
      <c r="C488" s="2" t="s">
        <v>36</v>
      </c>
      <c r="D488" s="2">
        <v>1</v>
      </c>
      <c r="E488" s="2">
        <v>8380003977</v>
      </c>
      <c r="F488" s="2" t="s">
        <v>13</v>
      </c>
      <c r="G488" s="2" t="s">
        <v>14</v>
      </c>
      <c r="H488" s="2" t="s">
        <v>15</v>
      </c>
      <c r="I488" s="2" t="s">
        <v>22</v>
      </c>
      <c r="J488" s="2" t="s">
        <v>22</v>
      </c>
    </row>
    <row r="489" spans="1:10" x14ac:dyDescent="0.3">
      <c r="A489" s="2" t="s">
        <v>497</v>
      </c>
      <c r="B489" s="2" t="s">
        <v>32</v>
      </c>
      <c r="C489" s="2" t="s">
        <v>26</v>
      </c>
      <c r="D489" s="2">
        <v>7</v>
      </c>
      <c r="E489" s="2">
        <v>7452989514</v>
      </c>
      <c r="F489" s="2" t="s">
        <v>19</v>
      </c>
      <c r="G489" s="2" t="s">
        <v>20</v>
      </c>
      <c r="H489" s="2" t="s">
        <v>21</v>
      </c>
      <c r="I489" s="2" t="s">
        <v>22</v>
      </c>
      <c r="J489" s="2" t="s">
        <v>22</v>
      </c>
    </row>
    <row r="490" spans="1:10" x14ac:dyDescent="0.3">
      <c r="A490" s="2" t="s">
        <v>498</v>
      </c>
      <c r="B490" s="2" t="s">
        <v>11</v>
      </c>
      <c r="C490" s="2" t="s">
        <v>43</v>
      </c>
      <c r="D490" s="2">
        <v>3</v>
      </c>
      <c r="E490" s="2">
        <v>9958928140</v>
      </c>
      <c r="F490" s="2" t="s">
        <v>13</v>
      </c>
      <c r="G490" s="2" t="s">
        <v>20</v>
      </c>
      <c r="H490" s="2" t="s">
        <v>15</v>
      </c>
      <c r="I490" s="2" t="s">
        <v>41</v>
      </c>
      <c r="J490" s="2" t="s">
        <v>17</v>
      </c>
    </row>
    <row r="491" spans="1:10" x14ac:dyDescent="0.3">
      <c r="A491" s="2" t="s">
        <v>499</v>
      </c>
      <c r="B491" s="2" t="s">
        <v>25</v>
      </c>
      <c r="C491" s="2" t="s">
        <v>36</v>
      </c>
      <c r="D491" s="2">
        <v>5</v>
      </c>
      <c r="E491" s="2">
        <v>9358394387</v>
      </c>
      <c r="F491" s="2" t="s">
        <v>13</v>
      </c>
      <c r="G491" s="2" t="s">
        <v>14</v>
      </c>
      <c r="H491" s="2" t="s">
        <v>21</v>
      </c>
      <c r="I491" s="2" t="s">
        <v>22</v>
      </c>
      <c r="J491" s="2" t="s">
        <v>17</v>
      </c>
    </row>
    <row r="492" spans="1:10" x14ac:dyDescent="0.3">
      <c r="A492" s="2" t="s">
        <v>448</v>
      </c>
      <c r="B492" s="2" t="s">
        <v>25</v>
      </c>
      <c r="C492" s="2" t="s">
        <v>26</v>
      </c>
      <c r="D492" s="2">
        <v>5</v>
      </c>
      <c r="E492" s="2">
        <v>8050211683</v>
      </c>
      <c r="F492" s="2" t="s">
        <v>19</v>
      </c>
      <c r="G492" s="2" t="s">
        <v>20</v>
      </c>
      <c r="H492" s="2" t="s">
        <v>21</v>
      </c>
      <c r="I492" s="2" t="s">
        <v>22</v>
      </c>
      <c r="J492" s="2" t="s">
        <v>17</v>
      </c>
    </row>
    <row r="493" spans="1:10" x14ac:dyDescent="0.3">
      <c r="A493" s="2" t="s">
        <v>500</v>
      </c>
      <c r="B493" s="2" t="s">
        <v>32</v>
      </c>
      <c r="C493" s="2" t="s">
        <v>26</v>
      </c>
      <c r="D493" s="2">
        <v>7</v>
      </c>
      <c r="E493" s="2">
        <v>8799177556</v>
      </c>
      <c r="F493" s="2" t="s">
        <v>19</v>
      </c>
      <c r="G493" s="2" t="s">
        <v>14</v>
      </c>
      <c r="H493" s="2" t="s">
        <v>21</v>
      </c>
      <c r="I493" s="2" t="s">
        <v>41</v>
      </c>
      <c r="J493" s="2" t="s">
        <v>23</v>
      </c>
    </row>
    <row r="494" spans="1:10" x14ac:dyDescent="0.3">
      <c r="A494" s="2" t="s">
        <v>501</v>
      </c>
      <c r="B494" s="2" t="s">
        <v>35</v>
      </c>
      <c r="C494" s="2" t="s">
        <v>43</v>
      </c>
      <c r="D494" s="2">
        <v>1</v>
      </c>
      <c r="E494" s="2">
        <v>8829335955</v>
      </c>
      <c r="F494" s="2" t="s">
        <v>13</v>
      </c>
      <c r="G494" s="2" t="s">
        <v>20</v>
      </c>
      <c r="H494" s="2" t="s">
        <v>21</v>
      </c>
      <c r="I494" s="2" t="s">
        <v>22</v>
      </c>
      <c r="J494" s="2" t="s">
        <v>23</v>
      </c>
    </row>
    <row r="495" spans="1:10" x14ac:dyDescent="0.3">
      <c r="A495" s="2" t="s">
        <v>459</v>
      </c>
      <c r="B495" s="2" t="s">
        <v>35</v>
      </c>
      <c r="C495" s="2" t="s">
        <v>43</v>
      </c>
      <c r="D495" s="2">
        <v>1</v>
      </c>
      <c r="E495" s="2">
        <v>7106236932</v>
      </c>
      <c r="F495" s="2" t="s">
        <v>13</v>
      </c>
      <c r="G495" s="2" t="s">
        <v>20</v>
      </c>
      <c r="H495" s="2" t="s">
        <v>21</v>
      </c>
      <c r="I495" s="2" t="s">
        <v>37</v>
      </c>
      <c r="J495" s="2" t="s">
        <v>22</v>
      </c>
    </row>
    <row r="496" spans="1:10" x14ac:dyDescent="0.3">
      <c r="A496" s="2" t="s">
        <v>502</v>
      </c>
      <c r="B496" s="2" t="s">
        <v>32</v>
      </c>
      <c r="C496" s="2" t="s">
        <v>33</v>
      </c>
      <c r="D496" s="2">
        <v>7</v>
      </c>
      <c r="E496" s="2">
        <v>6778183212</v>
      </c>
      <c r="F496" s="2" t="s">
        <v>19</v>
      </c>
      <c r="G496" s="2" t="s">
        <v>14</v>
      </c>
      <c r="H496" s="2" t="s">
        <v>15</v>
      </c>
      <c r="I496" s="2" t="s">
        <v>37</v>
      </c>
      <c r="J496" s="2" t="s">
        <v>22</v>
      </c>
    </row>
    <row r="497" spans="1:10" x14ac:dyDescent="0.3">
      <c r="A497" s="2" t="s">
        <v>503</v>
      </c>
      <c r="B497" s="2" t="s">
        <v>11</v>
      </c>
      <c r="C497" s="2" t="s">
        <v>12</v>
      </c>
      <c r="D497" s="2">
        <v>3</v>
      </c>
      <c r="E497" s="2">
        <v>7305820563</v>
      </c>
      <c r="F497" s="2" t="s">
        <v>13</v>
      </c>
      <c r="G497" s="2" t="s">
        <v>20</v>
      </c>
      <c r="H497" s="2" t="s">
        <v>21</v>
      </c>
      <c r="I497" s="2" t="s">
        <v>41</v>
      </c>
      <c r="J497" s="2" t="s">
        <v>17</v>
      </c>
    </row>
    <row r="498" spans="1:10" x14ac:dyDescent="0.3">
      <c r="A498" s="2" t="s">
        <v>504</v>
      </c>
      <c r="B498" s="2" t="s">
        <v>32</v>
      </c>
      <c r="C498" s="2" t="s">
        <v>33</v>
      </c>
      <c r="D498" s="2">
        <v>7</v>
      </c>
      <c r="E498" s="2">
        <v>6085750383</v>
      </c>
      <c r="F498" s="2" t="s">
        <v>19</v>
      </c>
      <c r="G498" s="2" t="s">
        <v>20</v>
      </c>
      <c r="H498" s="2" t="s">
        <v>15</v>
      </c>
      <c r="I498" s="2" t="s">
        <v>22</v>
      </c>
      <c r="J498" s="2" t="s">
        <v>23</v>
      </c>
    </row>
    <row r="499" spans="1:10" x14ac:dyDescent="0.3">
      <c r="A499" s="2" t="s">
        <v>46</v>
      </c>
      <c r="B499" s="2" t="s">
        <v>35</v>
      </c>
      <c r="C499" s="2" t="s">
        <v>12</v>
      </c>
      <c r="D499" s="2">
        <v>1</v>
      </c>
      <c r="E499" s="2">
        <v>6937024662</v>
      </c>
      <c r="F499" s="2" t="s">
        <v>19</v>
      </c>
      <c r="G499" s="2" t="s">
        <v>20</v>
      </c>
      <c r="H499" s="2" t="s">
        <v>15</v>
      </c>
      <c r="I499" s="2" t="s">
        <v>29</v>
      </c>
      <c r="J499" s="2" t="s">
        <v>22</v>
      </c>
    </row>
    <row r="500" spans="1:10" x14ac:dyDescent="0.3">
      <c r="A500" s="2" t="s">
        <v>505</v>
      </c>
      <c r="B500" s="2" t="s">
        <v>35</v>
      </c>
      <c r="C500" s="2" t="s">
        <v>12</v>
      </c>
      <c r="D500" s="2">
        <v>1</v>
      </c>
      <c r="E500" s="2">
        <v>9764627124</v>
      </c>
      <c r="F500" s="2" t="s">
        <v>19</v>
      </c>
      <c r="G500" s="2" t="s">
        <v>20</v>
      </c>
      <c r="H500" s="2" t="s">
        <v>21</v>
      </c>
      <c r="I500" s="2" t="s">
        <v>22</v>
      </c>
      <c r="J500" s="2" t="s">
        <v>23</v>
      </c>
    </row>
    <row r="501" spans="1:10" x14ac:dyDescent="0.3">
      <c r="A501" s="2" t="s">
        <v>506</v>
      </c>
      <c r="B501" s="2" t="s">
        <v>32</v>
      </c>
      <c r="C501" s="2" t="s">
        <v>26</v>
      </c>
      <c r="D501" s="2">
        <v>7</v>
      </c>
      <c r="E501" s="2">
        <v>6894705621</v>
      </c>
      <c r="F501" s="2" t="s">
        <v>19</v>
      </c>
      <c r="G501" s="2" t="s">
        <v>20</v>
      </c>
      <c r="H501" s="2" t="s">
        <v>21</v>
      </c>
      <c r="I501" s="2" t="s">
        <v>27</v>
      </c>
      <c r="J501" s="2" t="s">
        <v>22</v>
      </c>
    </row>
    <row r="502" spans="1:10" x14ac:dyDescent="0.3">
      <c r="A502" s="2" t="s">
        <v>507</v>
      </c>
      <c r="B502" s="2" t="s">
        <v>35</v>
      </c>
      <c r="C502" s="2" t="s">
        <v>43</v>
      </c>
      <c r="D502" s="2">
        <v>1</v>
      </c>
      <c r="E502" s="2">
        <v>7478040919</v>
      </c>
      <c r="F502" s="2" t="s">
        <v>19</v>
      </c>
      <c r="G502" s="2" t="s">
        <v>20</v>
      </c>
      <c r="H502" s="2" t="s">
        <v>15</v>
      </c>
      <c r="I502" s="2" t="s">
        <v>41</v>
      </c>
      <c r="J502" s="2" t="s">
        <v>22</v>
      </c>
    </row>
    <row r="503" spans="1:10" x14ac:dyDescent="0.3">
      <c r="A503" s="2" t="s">
        <v>508</v>
      </c>
      <c r="B503" s="2" t="s">
        <v>11</v>
      </c>
      <c r="C503" s="2" t="s">
        <v>33</v>
      </c>
      <c r="D503" s="2">
        <v>3</v>
      </c>
      <c r="E503" s="2">
        <v>8413669015</v>
      </c>
      <c r="F503" s="2" t="s">
        <v>13</v>
      </c>
      <c r="G503" s="2" t="s">
        <v>20</v>
      </c>
      <c r="H503" s="2" t="s">
        <v>21</v>
      </c>
      <c r="I503" s="2" t="s">
        <v>22</v>
      </c>
      <c r="J503" s="2" t="s">
        <v>22</v>
      </c>
    </row>
    <row r="504" spans="1:10" x14ac:dyDescent="0.3">
      <c r="A504" s="2" t="s">
        <v>509</v>
      </c>
      <c r="B504" s="2" t="s">
        <v>35</v>
      </c>
      <c r="C504" s="2" t="s">
        <v>12</v>
      </c>
      <c r="D504" s="2">
        <v>1</v>
      </c>
      <c r="E504" s="2">
        <v>7509845517</v>
      </c>
      <c r="F504" s="2" t="s">
        <v>13</v>
      </c>
      <c r="G504" s="2" t="s">
        <v>14</v>
      </c>
      <c r="H504" s="2" t="s">
        <v>15</v>
      </c>
      <c r="I504" s="2" t="s">
        <v>27</v>
      </c>
      <c r="J504" s="2" t="s">
        <v>22</v>
      </c>
    </row>
    <row r="505" spans="1:10" x14ac:dyDescent="0.3">
      <c r="A505" s="2" t="s">
        <v>510</v>
      </c>
      <c r="B505" s="2" t="s">
        <v>35</v>
      </c>
      <c r="C505" s="2" t="s">
        <v>43</v>
      </c>
      <c r="D505" s="2">
        <v>1</v>
      </c>
      <c r="E505" s="2">
        <v>7320490624</v>
      </c>
      <c r="F505" s="2" t="s">
        <v>13</v>
      </c>
      <c r="G505" s="2" t="s">
        <v>20</v>
      </c>
      <c r="H505" s="2" t="s">
        <v>21</v>
      </c>
      <c r="I505" s="2" t="s">
        <v>22</v>
      </c>
      <c r="J505" s="2" t="s">
        <v>23</v>
      </c>
    </row>
    <row r="506" spans="1:10" x14ac:dyDescent="0.3">
      <c r="A506" s="2" t="s">
        <v>511</v>
      </c>
      <c r="B506" s="2" t="s">
        <v>25</v>
      </c>
      <c r="C506" s="2" t="s">
        <v>12</v>
      </c>
      <c r="D506" s="2">
        <v>5</v>
      </c>
      <c r="E506" s="2">
        <v>8670642324</v>
      </c>
      <c r="F506" s="2" t="s">
        <v>19</v>
      </c>
      <c r="G506" s="2" t="s">
        <v>20</v>
      </c>
      <c r="H506" s="2" t="s">
        <v>15</v>
      </c>
      <c r="I506" s="2" t="s">
        <v>16</v>
      </c>
      <c r="J506" s="2" t="s">
        <v>17</v>
      </c>
    </row>
    <row r="507" spans="1:10" x14ac:dyDescent="0.3">
      <c r="A507" s="2" t="s">
        <v>512</v>
      </c>
      <c r="B507" s="2" t="s">
        <v>35</v>
      </c>
      <c r="C507" s="2" t="s">
        <v>26</v>
      </c>
      <c r="D507" s="2">
        <v>1</v>
      </c>
      <c r="E507" s="2">
        <v>8608868511</v>
      </c>
      <c r="F507" s="2" t="s">
        <v>19</v>
      </c>
      <c r="G507" s="2" t="s">
        <v>14</v>
      </c>
      <c r="H507" s="2" t="s">
        <v>15</v>
      </c>
      <c r="I507" s="2" t="s">
        <v>29</v>
      </c>
      <c r="J507" s="2" t="s">
        <v>22</v>
      </c>
    </row>
    <row r="508" spans="1:10" x14ac:dyDescent="0.3">
      <c r="A508" s="2" t="s">
        <v>513</v>
      </c>
      <c r="B508" s="2" t="s">
        <v>32</v>
      </c>
      <c r="C508" s="2" t="s">
        <v>36</v>
      </c>
      <c r="D508" s="2">
        <v>7</v>
      </c>
      <c r="E508" s="2">
        <v>9398634264</v>
      </c>
      <c r="F508" s="2" t="s">
        <v>13</v>
      </c>
      <c r="G508" s="2" t="s">
        <v>14</v>
      </c>
      <c r="H508" s="2" t="s">
        <v>15</v>
      </c>
      <c r="I508" s="2" t="s">
        <v>22</v>
      </c>
      <c r="J508" s="2" t="s">
        <v>23</v>
      </c>
    </row>
    <row r="509" spans="1:10" x14ac:dyDescent="0.3">
      <c r="A509" s="2" t="s">
        <v>514</v>
      </c>
      <c r="B509" s="2" t="s">
        <v>32</v>
      </c>
      <c r="C509" s="2" t="s">
        <v>26</v>
      </c>
      <c r="D509" s="2">
        <v>7</v>
      </c>
      <c r="E509" s="2">
        <v>6575664723</v>
      </c>
      <c r="F509" s="2" t="s">
        <v>19</v>
      </c>
      <c r="G509" s="2" t="s">
        <v>14</v>
      </c>
      <c r="H509" s="2" t="s">
        <v>21</v>
      </c>
      <c r="I509" s="2" t="s">
        <v>22</v>
      </c>
      <c r="J509" s="2" t="s">
        <v>23</v>
      </c>
    </row>
    <row r="510" spans="1:10" x14ac:dyDescent="0.3">
      <c r="A510" s="2" t="s">
        <v>432</v>
      </c>
      <c r="B510" s="2" t="s">
        <v>11</v>
      </c>
      <c r="C510" s="2" t="s">
        <v>26</v>
      </c>
      <c r="D510" s="2">
        <v>3</v>
      </c>
      <c r="E510" s="2">
        <v>9708243859</v>
      </c>
      <c r="F510" s="2" t="s">
        <v>19</v>
      </c>
      <c r="G510" s="2" t="s">
        <v>14</v>
      </c>
      <c r="H510" s="2" t="s">
        <v>21</v>
      </c>
      <c r="I510" s="2" t="s">
        <v>22</v>
      </c>
      <c r="J510" s="2" t="s">
        <v>23</v>
      </c>
    </row>
    <row r="511" spans="1:10" x14ac:dyDescent="0.3">
      <c r="A511" s="2" t="s">
        <v>515</v>
      </c>
      <c r="B511" s="2" t="s">
        <v>25</v>
      </c>
      <c r="C511" s="2" t="s">
        <v>33</v>
      </c>
      <c r="D511" s="2">
        <v>5</v>
      </c>
      <c r="E511" s="2">
        <v>6501963377</v>
      </c>
      <c r="F511" s="2" t="s">
        <v>19</v>
      </c>
      <c r="G511" s="2" t="s">
        <v>20</v>
      </c>
      <c r="H511" s="2" t="s">
        <v>15</v>
      </c>
      <c r="I511" s="2" t="s">
        <v>22</v>
      </c>
      <c r="J511" s="2" t="s">
        <v>17</v>
      </c>
    </row>
    <row r="512" spans="1:10" x14ac:dyDescent="0.3">
      <c r="A512" s="2" t="s">
        <v>516</v>
      </c>
      <c r="B512" s="2" t="s">
        <v>11</v>
      </c>
      <c r="C512" s="2" t="s">
        <v>26</v>
      </c>
      <c r="D512" s="2">
        <v>3</v>
      </c>
      <c r="E512" s="2">
        <v>8679500866</v>
      </c>
      <c r="F512" s="2" t="s">
        <v>19</v>
      </c>
      <c r="G512" s="2" t="s">
        <v>20</v>
      </c>
      <c r="H512" s="2" t="s">
        <v>15</v>
      </c>
      <c r="I512" s="2" t="s">
        <v>22</v>
      </c>
      <c r="J512" s="2" t="s">
        <v>22</v>
      </c>
    </row>
    <row r="513" spans="1:10" x14ac:dyDescent="0.3">
      <c r="A513" s="2" t="s">
        <v>517</v>
      </c>
      <c r="B513" s="2" t="s">
        <v>11</v>
      </c>
      <c r="C513" s="2" t="s">
        <v>33</v>
      </c>
      <c r="D513" s="2">
        <v>3</v>
      </c>
      <c r="E513" s="2">
        <v>7304676721</v>
      </c>
      <c r="F513" s="2" t="s">
        <v>19</v>
      </c>
      <c r="G513" s="2" t="s">
        <v>20</v>
      </c>
      <c r="H513" s="2" t="s">
        <v>21</v>
      </c>
      <c r="I513" s="2" t="s">
        <v>16</v>
      </c>
      <c r="J513" s="2" t="s">
        <v>22</v>
      </c>
    </row>
    <row r="514" spans="1:10" x14ac:dyDescent="0.3">
      <c r="A514" s="2" t="s">
        <v>518</v>
      </c>
      <c r="B514" s="2" t="s">
        <v>25</v>
      </c>
      <c r="C514" s="2" t="s">
        <v>26</v>
      </c>
      <c r="D514" s="2">
        <v>5</v>
      </c>
      <c r="E514" s="2">
        <v>8566880913</v>
      </c>
      <c r="F514" s="2" t="s">
        <v>13</v>
      </c>
      <c r="G514" s="2" t="s">
        <v>14</v>
      </c>
      <c r="H514" s="2" t="s">
        <v>21</v>
      </c>
      <c r="I514" s="2" t="s">
        <v>27</v>
      </c>
      <c r="J514" s="2" t="s">
        <v>17</v>
      </c>
    </row>
    <row r="515" spans="1:10" x14ac:dyDescent="0.3">
      <c r="A515" s="2" t="s">
        <v>519</v>
      </c>
      <c r="B515" s="2" t="s">
        <v>11</v>
      </c>
      <c r="C515" s="2" t="s">
        <v>36</v>
      </c>
      <c r="D515" s="2">
        <v>3</v>
      </c>
      <c r="E515" s="2">
        <v>6241830847</v>
      </c>
      <c r="F515" s="2" t="s">
        <v>19</v>
      </c>
      <c r="G515" s="2" t="s">
        <v>20</v>
      </c>
      <c r="H515" s="2" t="s">
        <v>21</v>
      </c>
      <c r="I515" s="2" t="s">
        <v>37</v>
      </c>
      <c r="J515" s="2" t="s">
        <v>22</v>
      </c>
    </row>
    <row r="516" spans="1:10" x14ac:dyDescent="0.3">
      <c r="A516" s="2" t="s">
        <v>520</v>
      </c>
      <c r="B516" s="2" t="s">
        <v>11</v>
      </c>
      <c r="C516" s="2" t="s">
        <v>33</v>
      </c>
      <c r="D516" s="2">
        <v>3</v>
      </c>
      <c r="E516" s="2">
        <v>6868890909</v>
      </c>
      <c r="F516" s="2" t="s">
        <v>13</v>
      </c>
      <c r="G516" s="2" t="s">
        <v>14</v>
      </c>
      <c r="H516" s="2" t="s">
        <v>15</v>
      </c>
      <c r="I516" s="2" t="s">
        <v>22</v>
      </c>
      <c r="J516" s="2" t="s">
        <v>23</v>
      </c>
    </row>
    <row r="517" spans="1:10" x14ac:dyDescent="0.3">
      <c r="A517" s="2" t="s">
        <v>521</v>
      </c>
      <c r="B517" s="2" t="s">
        <v>32</v>
      </c>
      <c r="C517" s="2" t="s">
        <v>33</v>
      </c>
      <c r="D517" s="2">
        <v>7</v>
      </c>
      <c r="E517" s="2">
        <v>9254975927</v>
      </c>
      <c r="F517" s="2" t="s">
        <v>19</v>
      </c>
      <c r="G517" s="2" t="s">
        <v>14</v>
      </c>
      <c r="H517" s="2" t="s">
        <v>21</v>
      </c>
      <c r="I517" s="2" t="s">
        <v>22</v>
      </c>
      <c r="J517" s="2" t="s">
        <v>22</v>
      </c>
    </row>
    <row r="518" spans="1:10" x14ac:dyDescent="0.3">
      <c r="A518" s="2" t="s">
        <v>522</v>
      </c>
      <c r="B518" s="2" t="s">
        <v>25</v>
      </c>
      <c r="C518" s="2" t="s">
        <v>36</v>
      </c>
      <c r="D518" s="2">
        <v>5</v>
      </c>
      <c r="E518" s="2">
        <v>8219286416</v>
      </c>
      <c r="F518" s="2" t="s">
        <v>19</v>
      </c>
      <c r="G518" s="2" t="s">
        <v>14</v>
      </c>
      <c r="H518" s="2" t="s">
        <v>15</v>
      </c>
      <c r="I518" s="2" t="s">
        <v>27</v>
      </c>
      <c r="J518" s="2" t="s">
        <v>17</v>
      </c>
    </row>
    <row r="519" spans="1:10" x14ac:dyDescent="0.3">
      <c r="A519" s="2" t="s">
        <v>523</v>
      </c>
      <c r="B519" s="2" t="s">
        <v>11</v>
      </c>
      <c r="C519" s="2" t="s">
        <v>26</v>
      </c>
      <c r="D519" s="2">
        <v>3</v>
      </c>
      <c r="E519" s="2">
        <v>7366898250</v>
      </c>
      <c r="F519" s="2" t="s">
        <v>19</v>
      </c>
      <c r="G519" s="2" t="s">
        <v>14</v>
      </c>
      <c r="H519" s="2" t="s">
        <v>15</v>
      </c>
      <c r="I519" s="2" t="s">
        <v>22</v>
      </c>
      <c r="J519" s="2" t="s">
        <v>23</v>
      </c>
    </row>
    <row r="520" spans="1:10" x14ac:dyDescent="0.3">
      <c r="A520" s="2" t="s">
        <v>524</v>
      </c>
      <c r="B520" s="2" t="s">
        <v>32</v>
      </c>
      <c r="C520" s="2" t="s">
        <v>26</v>
      </c>
      <c r="D520" s="2">
        <v>7</v>
      </c>
      <c r="E520" s="2">
        <v>6021890263</v>
      </c>
      <c r="F520" s="2" t="s">
        <v>19</v>
      </c>
      <c r="G520" s="2" t="s">
        <v>20</v>
      </c>
      <c r="H520" s="2" t="s">
        <v>15</v>
      </c>
      <c r="I520" s="2" t="s">
        <v>22</v>
      </c>
      <c r="J520" s="2" t="s">
        <v>22</v>
      </c>
    </row>
    <row r="521" spans="1:10" x14ac:dyDescent="0.3">
      <c r="A521" s="2" t="s">
        <v>525</v>
      </c>
      <c r="B521" s="2" t="s">
        <v>32</v>
      </c>
      <c r="C521" s="2" t="s">
        <v>26</v>
      </c>
      <c r="D521" s="2">
        <v>7</v>
      </c>
      <c r="E521" s="2">
        <v>7918713135</v>
      </c>
      <c r="F521" s="2" t="s">
        <v>19</v>
      </c>
      <c r="G521" s="2" t="s">
        <v>14</v>
      </c>
      <c r="H521" s="2" t="s">
        <v>15</v>
      </c>
      <c r="I521" s="2" t="s">
        <v>29</v>
      </c>
      <c r="J521" s="2" t="s">
        <v>22</v>
      </c>
    </row>
    <row r="522" spans="1:10" x14ac:dyDescent="0.3">
      <c r="A522" s="2" t="s">
        <v>526</v>
      </c>
      <c r="B522" s="2" t="s">
        <v>11</v>
      </c>
      <c r="C522" s="2" t="s">
        <v>43</v>
      </c>
      <c r="D522" s="2">
        <v>3</v>
      </c>
      <c r="E522" s="2">
        <v>9178261686</v>
      </c>
      <c r="F522" s="2" t="s">
        <v>19</v>
      </c>
      <c r="G522" s="2" t="s">
        <v>14</v>
      </c>
      <c r="H522" s="2" t="s">
        <v>21</v>
      </c>
      <c r="I522" s="2" t="s">
        <v>37</v>
      </c>
      <c r="J522" s="2" t="s">
        <v>23</v>
      </c>
    </row>
    <row r="523" spans="1:10" x14ac:dyDescent="0.3">
      <c r="A523" s="2" t="s">
        <v>527</v>
      </c>
      <c r="B523" s="2" t="s">
        <v>11</v>
      </c>
      <c r="C523" s="2" t="s">
        <v>12</v>
      </c>
      <c r="D523" s="2">
        <v>3</v>
      </c>
      <c r="E523" s="2">
        <v>9633833628</v>
      </c>
      <c r="F523" s="2" t="s">
        <v>13</v>
      </c>
      <c r="G523" s="2" t="s">
        <v>14</v>
      </c>
      <c r="H523" s="2" t="s">
        <v>21</v>
      </c>
      <c r="I523" s="2" t="s">
        <v>22</v>
      </c>
      <c r="J523" s="2" t="s">
        <v>17</v>
      </c>
    </row>
    <row r="524" spans="1:10" x14ac:dyDescent="0.3">
      <c r="A524" s="2" t="s">
        <v>528</v>
      </c>
      <c r="B524" s="2" t="s">
        <v>11</v>
      </c>
      <c r="C524" s="2" t="s">
        <v>26</v>
      </c>
      <c r="D524" s="2">
        <v>3</v>
      </c>
      <c r="E524" s="2">
        <v>9570615344</v>
      </c>
      <c r="F524" s="2" t="s">
        <v>13</v>
      </c>
      <c r="G524" s="2" t="s">
        <v>20</v>
      </c>
      <c r="H524" s="2" t="s">
        <v>15</v>
      </c>
      <c r="I524" s="2" t="s">
        <v>37</v>
      </c>
      <c r="J524" s="2" t="s">
        <v>22</v>
      </c>
    </row>
    <row r="525" spans="1:10" x14ac:dyDescent="0.3">
      <c r="A525" s="2" t="s">
        <v>268</v>
      </c>
      <c r="B525" s="2" t="s">
        <v>32</v>
      </c>
      <c r="C525" s="2" t="s">
        <v>43</v>
      </c>
      <c r="D525" s="2">
        <v>7</v>
      </c>
      <c r="E525" s="2">
        <v>6193139365</v>
      </c>
      <c r="F525" s="2" t="s">
        <v>13</v>
      </c>
      <c r="G525" s="2" t="s">
        <v>20</v>
      </c>
      <c r="H525" s="2" t="s">
        <v>15</v>
      </c>
      <c r="I525" s="2" t="s">
        <v>22</v>
      </c>
      <c r="J525" s="2" t="s">
        <v>17</v>
      </c>
    </row>
    <row r="526" spans="1:10" x14ac:dyDescent="0.3">
      <c r="A526" s="2" t="s">
        <v>529</v>
      </c>
      <c r="B526" s="2" t="s">
        <v>25</v>
      </c>
      <c r="C526" s="2" t="s">
        <v>26</v>
      </c>
      <c r="D526" s="2">
        <v>5</v>
      </c>
      <c r="E526" s="2">
        <v>8328043599</v>
      </c>
      <c r="F526" s="2" t="s">
        <v>13</v>
      </c>
      <c r="G526" s="2" t="s">
        <v>14</v>
      </c>
      <c r="H526" s="2" t="s">
        <v>15</v>
      </c>
      <c r="I526" s="2" t="s">
        <v>29</v>
      </c>
      <c r="J526" s="2" t="s">
        <v>23</v>
      </c>
    </row>
    <row r="527" spans="1:10" x14ac:dyDescent="0.3">
      <c r="A527" s="2" t="s">
        <v>530</v>
      </c>
      <c r="B527" s="2" t="s">
        <v>25</v>
      </c>
      <c r="C527" s="2" t="s">
        <v>26</v>
      </c>
      <c r="D527" s="2">
        <v>5</v>
      </c>
      <c r="E527" s="2">
        <v>6785071094</v>
      </c>
      <c r="F527" s="2" t="s">
        <v>19</v>
      </c>
      <c r="G527" s="2" t="s">
        <v>20</v>
      </c>
      <c r="H527" s="2" t="s">
        <v>15</v>
      </c>
      <c r="I527" s="2" t="s">
        <v>41</v>
      </c>
      <c r="J527" s="2" t="s">
        <v>23</v>
      </c>
    </row>
    <row r="528" spans="1:10" x14ac:dyDescent="0.3">
      <c r="A528" s="2" t="s">
        <v>531</v>
      </c>
      <c r="B528" s="2" t="s">
        <v>35</v>
      </c>
      <c r="C528" s="2" t="s">
        <v>12</v>
      </c>
      <c r="D528" s="2">
        <v>1</v>
      </c>
      <c r="E528" s="2">
        <v>8231655871</v>
      </c>
      <c r="F528" s="2" t="s">
        <v>19</v>
      </c>
      <c r="G528" s="2" t="s">
        <v>20</v>
      </c>
      <c r="H528" s="2" t="s">
        <v>21</v>
      </c>
      <c r="I528" s="2" t="s">
        <v>16</v>
      </c>
      <c r="J528" s="2" t="s">
        <v>17</v>
      </c>
    </row>
    <row r="529" spans="1:10" x14ac:dyDescent="0.3">
      <c r="A529" s="2" t="s">
        <v>532</v>
      </c>
      <c r="B529" s="2" t="s">
        <v>11</v>
      </c>
      <c r="C529" s="2" t="s">
        <v>36</v>
      </c>
      <c r="D529" s="2">
        <v>3</v>
      </c>
      <c r="E529" s="2">
        <v>9835142753</v>
      </c>
      <c r="F529" s="2" t="s">
        <v>13</v>
      </c>
      <c r="G529" s="2" t="s">
        <v>20</v>
      </c>
      <c r="H529" s="2" t="s">
        <v>15</v>
      </c>
      <c r="I529" s="2" t="s">
        <v>41</v>
      </c>
      <c r="J529" s="2" t="s">
        <v>17</v>
      </c>
    </row>
    <row r="530" spans="1:10" x14ac:dyDescent="0.3">
      <c r="A530" s="2" t="s">
        <v>156</v>
      </c>
      <c r="B530" s="2" t="s">
        <v>11</v>
      </c>
      <c r="C530" s="2" t="s">
        <v>36</v>
      </c>
      <c r="D530" s="2">
        <v>3</v>
      </c>
      <c r="E530" s="2">
        <v>6655421202</v>
      </c>
      <c r="F530" s="2" t="s">
        <v>19</v>
      </c>
      <c r="G530" s="2" t="s">
        <v>14</v>
      </c>
      <c r="H530" s="2" t="s">
        <v>15</v>
      </c>
      <c r="I530" s="2" t="s">
        <v>22</v>
      </c>
      <c r="J530" s="2" t="s">
        <v>22</v>
      </c>
    </row>
    <row r="531" spans="1:10" x14ac:dyDescent="0.3">
      <c r="A531" s="2" t="s">
        <v>533</v>
      </c>
      <c r="B531" s="2" t="s">
        <v>32</v>
      </c>
      <c r="C531" s="2" t="s">
        <v>43</v>
      </c>
      <c r="D531" s="2">
        <v>7</v>
      </c>
      <c r="E531" s="2">
        <v>6195026846</v>
      </c>
      <c r="F531" s="2" t="s">
        <v>19</v>
      </c>
      <c r="G531" s="2" t="s">
        <v>20</v>
      </c>
      <c r="H531" s="2" t="s">
        <v>15</v>
      </c>
      <c r="I531" s="2" t="s">
        <v>16</v>
      </c>
      <c r="J531" s="2" t="s">
        <v>23</v>
      </c>
    </row>
    <row r="532" spans="1:10" x14ac:dyDescent="0.3">
      <c r="A532" s="2" t="s">
        <v>534</v>
      </c>
      <c r="B532" s="2" t="s">
        <v>11</v>
      </c>
      <c r="C532" s="2" t="s">
        <v>36</v>
      </c>
      <c r="D532" s="2">
        <v>3</v>
      </c>
      <c r="E532" s="2">
        <v>9805179615</v>
      </c>
      <c r="F532" s="2" t="s">
        <v>13</v>
      </c>
      <c r="G532" s="2" t="s">
        <v>14</v>
      </c>
      <c r="H532" s="2" t="s">
        <v>15</v>
      </c>
      <c r="I532" s="2" t="s">
        <v>41</v>
      </c>
      <c r="J532" s="2" t="s">
        <v>22</v>
      </c>
    </row>
    <row r="533" spans="1:10" x14ac:dyDescent="0.3">
      <c r="A533" s="2" t="s">
        <v>535</v>
      </c>
      <c r="B533" s="2" t="s">
        <v>35</v>
      </c>
      <c r="C533" s="2" t="s">
        <v>36</v>
      </c>
      <c r="D533" s="2">
        <v>1</v>
      </c>
      <c r="E533" s="2">
        <v>6509196471</v>
      </c>
      <c r="F533" s="2" t="s">
        <v>19</v>
      </c>
      <c r="G533" s="2" t="s">
        <v>20</v>
      </c>
      <c r="H533" s="2" t="s">
        <v>15</v>
      </c>
      <c r="I533" s="2" t="s">
        <v>41</v>
      </c>
      <c r="J533" s="2" t="s">
        <v>22</v>
      </c>
    </row>
    <row r="534" spans="1:10" x14ac:dyDescent="0.3">
      <c r="A534" s="2" t="s">
        <v>536</v>
      </c>
      <c r="B534" s="2" t="s">
        <v>11</v>
      </c>
      <c r="C534" s="2" t="s">
        <v>43</v>
      </c>
      <c r="D534" s="2">
        <v>3</v>
      </c>
      <c r="E534" s="2">
        <v>7857047171</v>
      </c>
      <c r="F534" s="2" t="s">
        <v>13</v>
      </c>
      <c r="G534" s="2" t="s">
        <v>14</v>
      </c>
      <c r="H534" s="2" t="s">
        <v>21</v>
      </c>
      <c r="I534" s="2" t="s">
        <v>27</v>
      </c>
      <c r="J534" s="2" t="s">
        <v>22</v>
      </c>
    </row>
    <row r="535" spans="1:10" x14ac:dyDescent="0.3">
      <c r="A535" s="2" t="s">
        <v>537</v>
      </c>
      <c r="B535" s="2" t="s">
        <v>35</v>
      </c>
      <c r="C535" s="2" t="s">
        <v>36</v>
      </c>
      <c r="D535" s="2">
        <v>1</v>
      </c>
      <c r="E535" s="2">
        <v>9308105932</v>
      </c>
      <c r="F535" s="2" t="s">
        <v>19</v>
      </c>
      <c r="G535" s="2" t="s">
        <v>14</v>
      </c>
      <c r="H535" s="2" t="s">
        <v>15</v>
      </c>
      <c r="I535" s="2" t="s">
        <v>41</v>
      </c>
      <c r="J535" s="2" t="s">
        <v>23</v>
      </c>
    </row>
    <row r="536" spans="1:10" x14ac:dyDescent="0.3">
      <c r="A536" s="2" t="s">
        <v>538</v>
      </c>
      <c r="B536" s="2" t="s">
        <v>32</v>
      </c>
      <c r="C536" s="2" t="s">
        <v>12</v>
      </c>
      <c r="D536" s="2">
        <v>7</v>
      </c>
      <c r="E536" s="2">
        <v>8085452036</v>
      </c>
      <c r="F536" s="2" t="s">
        <v>13</v>
      </c>
      <c r="G536" s="2" t="s">
        <v>20</v>
      </c>
      <c r="H536" s="2" t="s">
        <v>21</v>
      </c>
      <c r="I536" s="2" t="s">
        <v>22</v>
      </c>
      <c r="J536" s="2" t="s">
        <v>22</v>
      </c>
    </row>
    <row r="537" spans="1:10" x14ac:dyDescent="0.3">
      <c r="A537" s="2" t="s">
        <v>539</v>
      </c>
      <c r="B537" s="2" t="s">
        <v>35</v>
      </c>
      <c r="C537" s="2" t="s">
        <v>12</v>
      </c>
      <c r="D537" s="2">
        <v>1</v>
      </c>
      <c r="E537" s="2">
        <v>8758498860</v>
      </c>
      <c r="F537" s="2" t="s">
        <v>19</v>
      </c>
      <c r="G537" s="2" t="s">
        <v>20</v>
      </c>
      <c r="H537" s="2" t="s">
        <v>21</v>
      </c>
      <c r="I537" s="2" t="s">
        <v>22</v>
      </c>
      <c r="J537" s="2" t="s">
        <v>17</v>
      </c>
    </row>
    <row r="538" spans="1:10" x14ac:dyDescent="0.3">
      <c r="A538" s="2" t="s">
        <v>540</v>
      </c>
      <c r="B538" s="2" t="s">
        <v>35</v>
      </c>
      <c r="C538" s="2" t="s">
        <v>26</v>
      </c>
      <c r="D538" s="2">
        <v>1</v>
      </c>
      <c r="E538" s="2">
        <v>9398881248</v>
      </c>
      <c r="F538" s="2" t="s">
        <v>19</v>
      </c>
      <c r="G538" s="2" t="s">
        <v>14</v>
      </c>
      <c r="H538" s="2" t="s">
        <v>15</v>
      </c>
      <c r="I538" s="2" t="s">
        <v>27</v>
      </c>
      <c r="J538" s="2" t="s">
        <v>22</v>
      </c>
    </row>
    <row r="539" spans="1:10" x14ac:dyDescent="0.3">
      <c r="A539" s="2" t="s">
        <v>541</v>
      </c>
      <c r="B539" s="2" t="s">
        <v>35</v>
      </c>
      <c r="C539" s="2" t="s">
        <v>26</v>
      </c>
      <c r="D539" s="2">
        <v>1</v>
      </c>
      <c r="E539" s="2">
        <v>8615835306</v>
      </c>
      <c r="F539" s="2" t="s">
        <v>19</v>
      </c>
      <c r="G539" s="2" t="s">
        <v>14</v>
      </c>
      <c r="H539" s="2" t="s">
        <v>21</v>
      </c>
      <c r="I539" s="2" t="s">
        <v>41</v>
      </c>
      <c r="J539" s="2" t="s">
        <v>22</v>
      </c>
    </row>
    <row r="540" spans="1:10" x14ac:dyDescent="0.3">
      <c r="A540" s="2" t="s">
        <v>542</v>
      </c>
      <c r="B540" s="2" t="s">
        <v>25</v>
      </c>
      <c r="C540" s="2" t="s">
        <v>33</v>
      </c>
      <c r="D540" s="2">
        <v>5</v>
      </c>
      <c r="E540" s="2">
        <v>9425841780</v>
      </c>
      <c r="F540" s="2" t="s">
        <v>13</v>
      </c>
      <c r="G540" s="2" t="s">
        <v>20</v>
      </c>
      <c r="H540" s="2" t="s">
        <v>15</v>
      </c>
      <c r="I540" s="2" t="s">
        <v>37</v>
      </c>
      <c r="J540" s="2" t="s">
        <v>23</v>
      </c>
    </row>
    <row r="541" spans="1:10" x14ac:dyDescent="0.3">
      <c r="A541" s="2" t="s">
        <v>543</v>
      </c>
      <c r="B541" s="2" t="s">
        <v>11</v>
      </c>
      <c r="C541" s="2" t="s">
        <v>43</v>
      </c>
      <c r="D541" s="2">
        <v>3</v>
      </c>
      <c r="E541" s="2">
        <v>8943284099</v>
      </c>
      <c r="F541" s="2" t="s">
        <v>13</v>
      </c>
      <c r="G541" s="2" t="s">
        <v>14</v>
      </c>
      <c r="H541" s="2" t="s">
        <v>15</v>
      </c>
      <c r="I541" s="2" t="s">
        <v>22</v>
      </c>
      <c r="J541" s="2" t="s">
        <v>22</v>
      </c>
    </row>
    <row r="542" spans="1:10" x14ac:dyDescent="0.3">
      <c r="A542" s="2" t="s">
        <v>544</v>
      </c>
      <c r="B542" s="2" t="s">
        <v>11</v>
      </c>
      <c r="C542" s="2" t="s">
        <v>33</v>
      </c>
      <c r="D542" s="2">
        <v>3</v>
      </c>
      <c r="E542" s="2">
        <v>6650420596</v>
      </c>
      <c r="F542" s="2" t="s">
        <v>19</v>
      </c>
      <c r="G542" s="2" t="s">
        <v>14</v>
      </c>
      <c r="H542" s="2" t="s">
        <v>15</v>
      </c>
      <c r="I542" s="2" t="s">
        <v>29</v>
      </c>
      <c r="J542" s="2" t="s">
        <v>22</v>
      </c>
    </row>
    <row r="543" spans="1:10" x14ac:dyDescent="0.3">
      <c r="A543" s="2" t="s">
        <v>545</v>
      </c>
      <c r="B543" s="2" t="s">
        <v>35</v>
      </c>
      <c r="C543" s="2" t="s">
        <v>12</v>
      </c>
      <c r="D543" s="2">
        <v>1</v>
      </c>
      <c r="E543" s="2">
        <v>7242389060</v>
      </c>
      <c r="F543" s="2" t="s">
        <v>13</v>
      </c>
      <c r="G543" s="2" t="s">
        <v>14</v>
      </c>
      <c r="H543" s="2" t="s">
        <v>15</v>
      </c>
      <c r="I543" s="2" t="s">
        <v>22</v>
      </c>
      <c r="J543" s="2" t="s">
        <v>22</v>
      </c>
    </row>
    <row r="544" spans="1:10" x14ac:dyDescent="0.3">
      <c r="A544" s="2" t="s">
        <v>546</v>
      </c>
      <c r="B544" s="2" t="s">
        <v>11</v>
      </c>
      <c r="C544" s="2" t="s">
        <v>26</v>
      </c>
      <c r="D544" s="2">
        <v>3</v>
      </c>
      <c r="E544" s="2">
        <v>7691732993</v>
      </c>
      <c r="F544" s="2" t="s">
        <v>13</v>
      </c>
      <c r="G544" s="2" t="s">
        <v>14</v>
      </c>
      <c r="H544" s="2" t="s">
        <v>21</v>
      </c>
      <c r="I544" s="2" t="s">
        <v>16</v>
      </c>
      <c r="J544" s="2" t="s">
        <v>23</v>
      </c>
    </row>
    <row r="545" spans="1:10" x14ac:dyDescent="0.3">
      <c r="A545" s="2" t="s">
        <v>547</v>
      </c>
      <c r="B545" s="2" t="s">
        <v>25</v>
      </c>
      <c r="C545" s="2" t="s">
        <v>33</v>
      </c>
      <c r="D545" s="2">
        <v>5</v>
      </c>
      <c r="E545" s="2">
        <v>8293622460</v>
      </c>
      <c r="F545" s="2" t="s">
        <v>13</v>
      </c>
      <c r="G545" s="2" t="s">
        <v>14</v>
      </c>
      <c r="H545" s="2" t="s">
        <v>15</v>
      </c>
      <c r="I545" s="2" t="s">
        <v>37</v>
      </c>
      <c r="J545" s="2" t="s">
        <v>17</v>
      </c>
    </row>
    <row r="546" spans="1:10" x14ac:dyDescent="0.3">
      <c r="A546" s="2" t="s">
        <v>548</v>
      </c>
      <c r="B546" s="2" t="s">
        <v>11</v>
      </c>
      <c r="C546" s="2" t="s">
        <v>36</v>
      </c>
      <c r="D546" s="2">
        <v>3</v>
      </c>
      <c r="E546" s="2">
        <v>6413890731</v>
      </c>
      <c r="F546" s="2" t="s">
        <v>13</v>
      </c>
      <c r="G546" s="2" t="s">
        <v>20</v>
      </c>
      <c r="H546" s="2" t="s">
        <v>21</v>
      </c>
      <c r="I546" s="2" t="s">
        <v>16</v>
      </c>
      <c r="J546" s="2" t="s">
        <v>22</v>
      </c>
    </row>
    <row r="547" spans="1:10" x14ac:dyDescent="0.3">
      <c r="A547" s="2" t="s">
        <v>549</v>
      </c>
      <c r="B547" s="2" t="s">
        <v>35</v>
      </c>
      <c r="C547" s="2" t="s">
        <v>12</v>
      </c>
      <c r="D547" s="2">
        <v>1</v>
      </c>
      <c r="E547" s="2">
        <v>6482716114</v>
      </c>
      <c r="F547" s="2" t="s">
        <v>19</v>
      </c>
      <c r="G547" s="2" t="s">
        <v>14</v>
      </c>
      <c r="H547" s="2" t="s">
        <v>15</v>
      </c>
      <c r="I547" s="2" t="s">
        <v>22</v>
      </c>
      <c r="J547" s="2" t="s">
        <v>22</v>
      </c>
    </row>
    <row r="548" spans="1:10" x14ac:dyDescent="0.3">
      <c r="A548" s="2" t="s">
        <v>550</v>
      </c>
      <c r="B548" s="2" t="s">
        <v>35</v>
      </c>
      <c r="C548" s="2" t="s">
        <v>26</v>
      </c>
      <c r="D548" s="2">
        <v>1</v>
      </c>
      <c r="E548" s="2">
        <v>7820565827</v>
      </c>
      <c r="F548" s="2" t="s">
        <v>13</v>
      </c>
      <c r="G548" s="2" t="s">
        <v>14</v>
      </c>
      <c r="H548" s="2" t="s">
        <v>21</v>
      </c>
      <c r="I548" s="2" t="s">
        <v>22</v>
      </c>
      <c r="J548" s="2" t="s">
        <v>23</v>
      </c>
    </row>
    <row r="549" spans="1:10" x14ac:dyDescent="0.3">
      <c r="A549" s="2" t="s">
        <v>551</v>
      </c>
      <c r="B549" s="2" t="s">
        <v>35</v>
      </c>
      <c r="C549" s="2" t="s">
        <v>12</v>
      </c>
      <c r="D549" s="2">
        <v>1</v>
      </c>
      <c r="E549" s="2">
        <v>8901463651</v>
      </c>
      <c r="F549" s="2" t="s">
        <v>13</v>
      </c>
      <c r="G549" s="2" t="s">
        <v>14</v>
      </c>
      <c r="H549" s="2" t="s">
        <v>21</v>
      </c>
      <c r="I549" s="2" t="s">
        <v>22</v>
      </c>
      <c r="J549" s="2" t="s">
        <v>23</v>
      </c>
    </row>
    <row r="550" spans="1:10" x14ac:dyDescent="0.3">
      <c r="A550" s="2" t="s">
        <v>552</v>
      </c>
      <c r="B550" s="2" t="s">
        <v>35</v>
      </c>
      <c r="C550" s="2" t="s">
        <v>36</v>
      </c>
      <c r="D550" s="2">
        <v>1</v>
      </c>
      <c r="E550" s="2">
        <v>9800791989</v>
      </c>
      <c r="F550" s="2" t="s">
        <v>13</v>
      </c>
      <c r="G550" s="2" t="s">
        <v>20</v>
      </c>
      <c r="H550" s="2" t="s">
        <v>21</v>
      </c>
      <c r="I550" s="2" t="s">
        <v>37</v>
      </c>
      <c r="J550" s="2" t="s">
        <v>22</v>
      </c>
    </row>
    <row r="551" spans="1:10" x14ac:dyDescent="0.3">
      <c r="A551" s="2" t="s">
        <v>553</v>
      </c>
      <c r="B551" s="2" t="s">
        <v>32</v>
      </c>
      <c r="C551" s="2" t="s">
        <v>33</v>
      </c>
      <c r="D551" s="2">
        <v>7</v>
      </c>
      <c r="E551" s="2">
        <v>9400327196</v>
      </c>
      <c r="F551" s="2" t="s">
        <v>19</v>
      </c>
      <c r="G551" s="2" t="s">
        <v>20</v>
      </c>
      <c r="H551" s="2" t="s">
        <v>15</v>
      </c>
      <c r="I551" s="2" t="s">
        <v>29</v>
      </c>
      <c r="J551" s="2" t="s">
        <v>17</v>
      </c>
    </row>
    <row r="552" spans="1:10" x14ac:dyDescent="0.3">
      <c r="A552" s="2" t="s">
        <v>554</v>
      </c>
      <c r="B552" s="2" t="s">
        <v>35</v>
      </c>
      <c r="C552" s="2" t="s">
        <v>36</v>
      </c>
      <c r="D552" s="2">
        <v>1</v>
      </c>
      <c r="E552" s="2">
        <v>6391016261</v>
      </c>
      <c r="F552" s="2" t="s">
        <v>13</v>
      </c>
      <c r="G552" s="2" t="s">
        <v>14</v>
      </c>
      <c r="H552" s="2" t="s">
        <v>15</v>
      </c>
      <c r="I552" s="2" t="s">
        <v>37</v>
      </c>
      <c r="J552" s="2" t="s">
        <v>23</v>
      </c>
    </row>
    <row r="553" spans="1:10" x14ac:dyDescent="0.3">
      <c r="A553" s="2" t="s">
        <v>555</v>
      </c>
      <c r="B553" s="2" t="s">
        <v>35</v>
      </c>
      <c r="C553" s="2" t="s">
        <v>36</v>
      </c>
      <c r="D553" s="2">
        <v>1</v>
      </c>
      <c r="E553" s="2">
        <v>7335568316</v>
      </c>
      <c r="F553" s="2" t="s">
        <v>19</v>
      </c>
      <c r="G553" s="2" t="s">
        <v>20</v>
      </c>
      <c r="H553" s="2" t="s">
        <v>21</v>
      </c>
      <c r="I553" s="2" t="s">
        <v>37</v>
      </c>
      <c r="J553" s="2" t="s">
        <v>22</v>
      </c>
    </row>
    <row r="554" spans="1:10" x14ac:dyDescent="0.3">
      <c r="A554" s="2" t="s">
        <v>556</v>
      </c>
      <c r="B554" s="2" t="s">
        <v>25</v>
      </c>
      <c r="C554" s="2" t="s">
        <v>12</v>
      </c>
      <c r="D554" s="2">
        <v>5</v>
      </c>
      <c r="E554" s="2">
        <v>9537103484</v>
      </c>
      <c r="F554" s="2" t="s">
        <v>13</v>
      </c>
      <c r="G554" s="2" t="s">
        <v>20</v>
      </c>
      <c r="H554" s="2" t="s">
        <v>21</v>
      </c>
      <c r="I554" s="2" t="s">
        <v>22</v>
      </c>
      <c r="J554" s="2" t="s">
        <v>22</v>
      </c>
    </row>
    <row r="555" spans="1:10" x14ac:dyDescent="0.3">
      <c r="A555" s="2" t="s">
        <v>557</v>
      </c>
      <c r="B555" s="2" t="s">
        <v>32</v>
      </c>
      <c r="C555" s="2" t="s">
        <v>33</v>
      </c>
      <c r="D555" s="2">
        <v>7</v>
      </c>
      <c r="E555" s="2">
        <v>7557752541</v>
      </c>
      <c r="F555" s="2" t="s">
        <v>13</v>
      </c>
      <c r="G555" s="2" t="s">
        <v>14</v>
      </c>
      <c r="H555" s="2" t="s">
        <v>21</v>
      </c>
      <c r="I555" s="2" t="s">
        <v>29</v>
      </c>
      <c r="J555" s="2" t="s">
        <v>22</v>
      </c>
    </row>
    <row r="556" spans="1:10" x14ac:dyDescent="0.3">
      <c r="A556" s="2" t="s">
        <v>558</v>
      </c>
      <c r="B556" s="2" t="s">
        <v>32</v>
      </c>
      <c r="C556" s="2" t="s">
        <v>26</v>
      </c>
      <c r="D556" s="2">
        <v>7</v>
      </c>
      <c r="E556" s="2">
        <v>7263338417</v>
      </c>
      <c r="F556" s="2" t="s">
        <v>13</v>
      </c>
      <c r="G556" s="2" t="s">
        <v>14</v>
      </c>
      <c r="H556" s="2" t="s">
        <v>15</v>
      </c>
      <c r="I556" s="2" t="s">
        <v>16</v>
      </c>
      <c r="J556" s="2" t="s">
        <v>22</v>
      </c>
    </row>
    <row r="557" spans="1:10" x14ac:dyDescent="0.3">
      <c r="A557" s="2" t="s">
        <v>559</v>
      </c>
      <c r="B557" s="2" t="s">
        <v>32</v>
      </c>
      <c r="C557" s="2" t="s">
        <v>33</v>
      </c>
      <c r="D557" s="2">
        <v>7</v>
      </c>
      <c r="E557" s="2">
        <v>8898878405</v>
      </c>
      <c r="F557" s="2" t="s">
        <v>19</v>
      </c>
      <c r="G557" s="2" t="s">
        <v>20</v>
      </c>
      <c r="H557" s="2" t="s">
        <v>15</v>
      </c>
      <c r="I557" s="2" t="s">
        <v>29</v>
      </c>
      <c r="J557" s="2" t="s">
        <v>22</v>
      </c>
    </row>
    <row r="558" spans="1:10" x14ac:dyDescent="0.3">
      <c r="A558" s="2" t="s">
        <v>560</v>
      </c>
      <c r="B558" s="2" t="s">
        <v>25</v>
      </c>
      <c r="C558" s="2" t="s">
        <v>12</v>
      </c>
      <c r="D558" s="2">
        <v>5</v>
      </c>
      <c r="E558" s="2">
        <v>6370750663</v>
      </c>
      <c r="F558" s="2" t="s">
        <v>13</v>
      </c>
      <c r="G558" s="2" t="s">
        <v>14</v>
      </c>
      <c r="H558" s="2" t="s">
        <v>15</v>
      </c>
      <c r="I558" s="2" t="s">
        <v>22</v>
      </c>
      <c r="J558" s="2" t="s">
        <v>22</v>
      </c>
    </row>
    <row r="559" spans="1:10" x14ac:dyDescent="0.3">
      <c r="A559" s="2" t="s">
        <v>561</v>
      </c>
      <c r="B559" s="2" t="s">
        <v>11</v>
      </c>
      <c r="C559" s="2" t="s">
        <v>26</v>
      </c>
      <c r="D559" s="2">
        <v>3</v>
      </c>
      <c r="E559" s="2">
        <v>9470306834</v>
      </c>
      <c r="F559" s="2" t="s">
        <v>13</v>
      </c>
      <c r="G559" s="2" t="s">
        <v>20</v>
      </c>
      <c r="H559" s="2" t="s">
        <v>21</v>
      </c>
      <c r="I559" s="2" t="s">
        <v>22</v>
      </c>
      <c r="J559" s="2" t="s">
        <v>23</v>
      </c>
    </row>
    <row r="560" spans="1:10" x14ac:dyDescent="0.3">
      <c r="A560" s="2" t="s">
        <v>562</v>
      </c>
      <c r="B560" s="2" t="s">
        <v>32</v>
      </c>
      <c r="C560" s="2" t="s">
        <v>43</v>
      </c>
      <c r="D560" s="2">
        <v>7</v>
      </c>
      <c r="E560" s="2">
        <v>7140407908</v>
      </c>
      <c r="F560" s="2" t="s">
        <v>19</v>
      </c>
      <c r="G560" s="2" t="s">
        <v>20</v>
      </c>
      <c r="H560" s="2" t="s">
        <v>21</v>
      </c>
      <c r="I560" s="2" t="s">
        <v>37</v>
      </c>
      <c r="J560" s="2" t="s">
        <v>22</v>
      </c>
    </row>
    <row r="561" spans="1:10" x14ac:dyDescent="0.3">
      <c r="A561" s="2" t="s">
        <v>563</v>
      </c>
      <c r="B561" s="2" t="s">
        <v>32</v>
      </c>
      <c r="C561" s="2" t="s">
        <v>12</v>
      </c>
      <c r="D561" s="2">
        <v>7</v>
      </c>
      <c r="E561" s="2">
        <v>7219227246</v>
      </c>
      <c r="F561" s="2" t="s">
        <v>19</v>
      </c>
      <c r="G561" s="2" t="s">
        <v>20</v>
      </c>
      <c r="H561" s="2" t="s">
        <v>21</v>
      </c>
      <c r="I561" s="2" t="s">
        <v>16</v>
      </c>
      <c r="J561" s="2" t="s">
        <v>17</v>
      </c>
    </row>
    <row r="562" spans="1:10" x14ac:dyDescent="0.3">
      <c r="A562" s="2" t="s">
        <v>564</v>
      </c>
      <c r="B562" s="2" t="s">
        <v>25</v>
      </c>
      <c r="C562" s="2" t="s">
        <v>33</v>
      </c>
      <c r="D562" s="2">
        <v>5</v>
      </c>
      <c r="E562" s="2">
        <v>6924752263</v>
      </c>
      <c r="F562" s="2" t="s">
        <v>19</v>
      </c>
      <c r="G562" s="2" t="s">
        <v>14</v>
      </c>
      <c r="H562" s="2" t="s">
        <v>21</v>
      </c>
      <c r="I562" s="2" t="s">
        <v>41</v>
      </c>
      <c r="J562" s="2" t="s">
        <v>17</v>
      </c>
    </row>
    <row r="563" spans="1:10" x14ac:dyDescent="0.3">
      <c r="A563" s="2" t="s">
        <v>565</v>
      </c>
      <c r="B563" s="2" t="s">
        <v>25</v>
      </c>
      <c r="C563" s="2" t="s">
        <v>26</v>
      </c>
      <c r="D563" s="2">
        <v>5</v>
      </c>
      <c r="E563" s="2">
        <v>8571037427</v>
      </c>
      <c r="F563" s="2" t="s">
        <v>13</v>
      </c>
      <c r="G563" s="2" t="s">
        <v>20</v>
      </c>
      <c r="H563" s="2" t="s">
        <v>21</v>
      </c>
      <c r="I563" s="2" t="s">
        <v>22</v>
      </c>
      <c r="J563" s="2" t="s">
        <v>17</v>
      </c>
    </row>
    <row r="564" spans="1:10" x14ac:dyDescent="0.3">
      <c r="A564" s="2" t="s">
        <v>566</v>
      </c>
      <c r="B564" s="2" t="s">
        <v>11</v>
      </c>
      <c r="C564" s="2" t="s">
        <v>12</v>
      </c>
      <c r="D564" s="2">
        <v>3</v>
      </c>
      <c r="E564" s="2">
        <v>8906470231</v>
      </c>
      <c r="F564" s="2" t="s">
        <v>13</v>
      </c>
      <c r="G564" s="2" t="s">
        <v>14</v>
      </c>
      <c r="H564" s="2" t="s">
        <v>15</v>
      </c>
      <c r="I564" s="2" t="s">
        <v>16</v>
      </c>
      <c r="J564" s="2" t="s">
        <v>22</v>
      </c>
    </row>
    <row r="565" spans="1:10" x14ac:dyDescent="0.3">
      <c r="A565" s="2" t="s">
        <v>567</v>
      </c>
      <c r="B565" s="2" t="s">
        <v>25</v>
      </c>
      <c r="C565" s="2" t="s">
        <v>12</v>
      </c>
      <c r="D565" s="2">
        <v>5</v>
      </c>
      <c r="E565" s="2">
        <v>6855104557</v>
      </c>
      <c r="F565" s="2" t="s">
        <v>19</v>
      </c>
      <c r="G565" s="2" t="s">
        <v>20</v>
      </c>
      <c r="H565" s="2" t="s">
        <v>21</v>
      </c>
      <c r="I565" s="2" t="s">
        <v>41</v>
      </c>
      <c r="J565" s="2" t="s">
        <v>17</v>
      </c>
    </row>
    <row r="566" spans="1:10" x14ac:dyDescent="0.3">
      <c r="A566" s="2" t="s">
        <v>568</v>
      </c>
      <c r="B566" s="2" t="s">
        <v>32</v>
      </c>
      <c r="C566" s="2" t="s">
        <v>43</v>
      </c>
      <c r="D566" s="2">
        <v>7</v>
      </c>
      <c r="E566" s="2">
        <v>8510184689</v>
      </c>
      <c r="F566" s="2" t="s">
        <v>13</v>
      </c>
      <c r="G566" s="2" t="s">
        <v>20</v>
      </c>
      <c r="H566" s="2" t="s">
        <v>15</v>
      </c>
      <c r="I566" s="2" t="s">
        <v>27</v>
      </c>
      <c r="J566" s="2" t="s">
        <v>22</v>
      </c>
    </row>
    <row r="567" spans="1:10" x14ac:dyDescent="0.3">
      <c r="A567" s="2" t="s">
        <v>569</v>
      </c>
      <c r="B567" s="2" t="s">
        <v>32</v>
      </c>
      <c r="C567" s="2" t="s">
        <v>43</v>
      </c>
      <c r="D567" s="2">
        <v>7</v>
      </c>
      <c r="E567" s="2">
        <v>7941047717</v>
      </c>
      <c r="F567" s="2" t="s">
        <v>13</v>
      </c>
      <c r="G567" s="2" t="s">
        <v>20</v>
      </c>
      <c r="H567" s="2" t="s">
        <v>21</v>
      </c>
      <c r="I567" s="2" t="s">
        <v>41</v>
      </c>
      <c r="J567" s="2" t="s">
        <v>22</v>
      </c>
    </row>
    <row r="568" spans="1:10" x14ac:dyDescent="0.3">
      <c r="A568" s="2" t="s">
        <v>570</v>
      </c>
      <c r="B568" s="2" t="s">
        <v>32</v>
      </c>
      <c r="C568" s="2" t="s">
        <v>36</v>
      </c>
      <c r="D568" s="2">
        <v>7</v>
      </c>
      <c r="E568" s="2">
        <v>8133614467</v>
      </c>
      <c r="F568" s="2" t="s">
        <v>19</v>
      </c>
      <c r="G568" s="2" t="s">
        <v>14</v>
      </c>
      <c r="H568" s="2" t="s">
        <v>15</v>
      </c>
      <c r="I568" s="2" t="s">
        <v>41</v>
      </c>
      <c r="J568" s="2" t="s">
        <v>17</v>
      </c>
    </row>
    <row r="569" spans="1:10" x14ac:dyDescent="0.3">
      <c r="A569" s="2" t="s">
        <v>571</v>
      </c>
      <c r="B569" s="2" t="s">
        <v>11</v>
      </c>
      <c r="C569" s="2" t="s">
        <v>36</v>
      </c>
      <c r="D569" s="2">
        <v>3</v>
      </c>
      <c r="E569" s="2">
        <v>6891077641</v>
      </c>
      <c r="F569" s="2" t="s">
        <v>13</v>
      </c>
      <c r="G569" s="2" t="s">
        <v>20</v>
      </c>
      <c r="H569" s="2" t="s">
        <v>15</v>
      </c>
      <c r="I569" s="2" t="s">
        <v>22</v>
      </c>
      <c r="J569" s="2" t="s">
        <v>22</v>
      </c>
    </row>
    <row r="570" spans="1:10" x14ac:dyDescent="0.3">
      <c r="A570" s="2" t="s">
        <v>572</v>
      </c>
      <c r="B570" s="2" t="s">
        <v>25</v>
      </c>
      <c r="C570" s="2" t="s">
        <v>26</v>
      </c>
      <c r="D570" s="2">
        <v>5</v>
      </c>
      <c r="E570" s="2">
        <v>7076837972</v>
      </c>
      <c r="F570" s="2" t="s">
        <v>19</v>
      </c>
      <c r="G570" s="2" t="s">
        <v>14</v>
      </c>
      <c r="H570" s="2" t="s">
        <v>15</v>
      </c>
      <c r="I570" s="2" t="s">
        <v>16</v>
      </c>
      <c r="J570" s="2" t="s">
        <v>17</v>
      </c>
    </row>
    <row r="571" spans="1:10" x14ac:dyDescent="0.3">
      <c r="A571" s="2" t="s">
        <v>65</v>
      </c>
      <c r="B571" s="2" t="s">
        <v>25</v>
      </c>
      <c r="C571" s="2" t="s">
        <v>36</v>
      </c>
      <c r="D571" s="2">
        <v>5</v>
      </c>
      <c r="E571" s="2">
        <v>6659008742</v>
      </c>
      <c r="F571" s="2" t="s">
        <v>19</v>
      </c>
      <c r="G571" s="2" t="s">
        <v>20</v>
      </c>
      <c r="H571" s="2" t="s">
        <v>21</v>
      </c>
      <c r="I571" s="2" t="s">
        <v>27</v>
      </c>
      <c r="J571" s="2" t="s">
        <v>22</v>
      </c>
    </row>
    <row r="572" spans="1:10" x14ac:dyDescent="0.3">
      <c r="A572" s="2" t="s">
        <v>573</v>
      </c>
      <c r="B572" s="2" t="s">
        <v>35</v>
      </c>
      <c r="C572" s="2" t="s">
        <v>12</v>
      </c>
      <c r="D572" s="2">
        <v>1</v>
      </c>
      <c r="E572" s="2">
        <v>6581669564</v>
      </c>
      <c r="F572" s="2" t="s">
        <v>19</v>
      </c>
      <c r="G572" s="2" t="s">
        <v>14</v>
      </c>
      <c r="H572" s="2" t="s">
        <v>15</v>
      </c>
      <c r="I572" s="2" t="s">
        <v>22</v>
      </c>
      <c r="J572" s="2" t="s">
        <v>23</v>
      </c>
    </row>
    <row r="573" spans="1:10" x14ac:dyDescent="0.3">
      <c r="A573" s="2" t="s">
        <v>574</v>
      </c>
      <c r="B573" s="2" t="s">
        <v>11</v>
      </c>
      <c r="C573" s="2" t="s">
        <v>33</v>
      </c>
      <c r="D573" s="2">
        <v>3</v>
      </c>
      <c r="E573" s="2">
        <v>7576405064</v>
      </c>
      <c r="F573" s="2" t="s">
        <v>19</v>
      </c>
      <c r="G573" s="2" t="s">
        <v>20</v>
      </c>
      <c r="H573" s="2" t="s">
        <v>15</v>
      </c>
      <c r="I573" s="2" t="s">
        <v>22</v>
      </c>
      <c r="J573" s="2" t="s">
        <v>17</v>
      </c>
    </row>
    <row r="574" spans="1:10" x14ac:dyDescent="0.3">
      <c r="A574" s="2" t="s">
        <v>575</v>
      </c>
      <c r="B574" s="2" t="s">
        <v>35</v>
      </c>
      <c r="C574" s="2" t="s">
        <v>26</v>
      </c>
      <c r="D574" s="2">
        <v>1</v>
      </c>
      <c r="E574" s="2">
        <v>8640490987</v>
      </c>
      <c r="F574" s="2" t="s">
        <v>19</v>
      </c>
      <c r="G574" s="2" t="s">
        <v>20</v>
      </c>
      <c r="H574" s="2" t="s">
        <v>21</v>
      </c>
      <c r="I574" s="2" t="s">
        <v>22</v>
      </c>
      <c r="J574" s="2" t="s">
        <v>22</v>
      </c>
    </row>
    <row r="575" spans="1:10" x14ac:dyDescent="0.3">
      <c r="A575" s="2" t="s">
        <v>576</v>
      </c>
      <c r="B575" s="2" t="s">
        <v>25</v>
      </c>
      <c r="C575" s="2" t="s">
        <v>36</v>
      </c>
      <c r="D575" s="2">
        <v>5</v>
      </c>
      <c r="E575" s="2">
        <v>7857290666</v>
      </c>
      <c r="F575" s="2" t="s">
        <v>19</v>
      </c>
      <c r="G575" s="2" t="s">
        <v>20</v>
      </c>
      <c r="H575" s="2" t="s">
        <v>21</v>
      </c>
      <c r="I575" s="2" t="s">
        <v>29</v>
      </c>
      <c r="J575" s="2" t="s">
        <v>23</v>
      </c>
    </row>
    <row r="576" spans="1:10" x14ac:dyDescent="0.3">
      <c r="A576" s="2" t="s">
        <v>577</v>
      </c>
      <c r="B576" s="2" t="s">
        <v>11</v>
      </c>
      <c r="C576" s="2" t="s">
        <v>36</v>
      </c>
      <c r="D576" s="2">
        <v>3</v>
      </c>
      <c r="E576" s="2">
        <v>9677037792</v>
      </c>
      <c r="F576" s="2" t="s">
        <v>19</v>
      </c>
      <c r="G576" s="2" t="s">
        <v>14</v>
      </c>
      <c r="H576" s="2" t="s">
        <v>21</v>
      </c>
      <c r="I576" s="2" t="s">
        <v>22</v>
      </c>
      <c r="J576" s="2" t="s">
        <v>22</v>
      </c>
    </row>
    <row r="577" spans="1:10" x14ac:dyDescent="0.3">
      <c r="A577" s="2" t="s">
        <v>92</v>
      </c>
      <c r="B577" s="2" t="s">
        <v>25</v>
      </c>
      <c r="C577" s="2" t="s">
        <v>26</v>
      </c>
      <c r="D577" s="2">
        <v>5</v>
      </c>
      <c r="E577" s="2">
        <v>8033326799</v>
      </c>
      <c r="F577" s="2" t="s">
        <v>13</v>
      </c>
      <c r="G577" s="2" t="s">
        <v>14</v>
      </c>
      <c r="H577" s="2" t="s">
        <v>21</v>
      </c>
      <c r="I577" s="2" t="s">
        <v>22</v>
      </c>
      <c r="J577" s="2" t="s">
        <v>17</v>
      </c>
    </row>
    <row r="578" spans="1:10" x14ac:dyDescent="0.3">
      <c r="A578" s="2" t="s">
        <v>578</v>
      </c>
      <c r="B578" s="2" t="s">
        <v>32</v>
      </c>
      <c r="C578" s="2" t="s">
        <v>36</v>
      </c>
      <c r="D578" s="2">
        <v>7</v>
      </c>
      <c r="E578" s="2">
        <v>8758669981</v>
      </c>
      <c r="F578" s="2" t="s">
        <v>13</v>
      </c>
      <c r="G578" s="2" t="s">
        <v>20</v>
      </c>
      <c r="H578" s="2" t="s">
        <v>15</v>
      </c>
      <c r="I578" s="2" t="s">
        <v>37</v>
      </c>
      <c r="J578" s="2" t="s">
        <v>22</v>
      </c>
    </row>
    <row r="579" spans="1:10" x14ac:dyDescent="0.3">
      <c r="A579" s="2" t="s">
        <v>579</v>
      </c>
      <c r="B579" s="2" t="s">
        <v>25</v>
      </c>
      <c r="C579" s="2" t="s">
        <v>12</v>
      </c>
      <c r="D579" s="2">
        <v>5</v>
      </c>
      <c r="E579" s="2">
        <v>9121064857</v>
      </c>
      <c r="F579" s="2" t="s">
        <v>13</v>
      </c>
      <c r="G579" s="2" t="s">
        <v>20</v>
      </c>
      <c r="H579" s="2" t="s">
        <v>15</v>
      </c>
      <c r="I579" s="2" t="s">
        <v>41</v>
      </c>
      <c r="J579" s="2" t="s">
        <v>23</v>
      </c>
    </row>
    <row r="580" spans="1:10" x14ac:dyDescent="0.3">
      <c r="A580" s="2" t="s">
        <v>580</v>
      </c>
      <c r="B580" s="2" t="s">
        <v>32</v>
      </c>
      <c r="C580" s="2" t="s">
        <v>43</v>
      </c>
      <c r="D580" s="2">
        <v>7</v>
      </c>
      <c r="E580" s="2">
        <v>7774928235</v>
      </c>
      <c r="F580" s="2" t="s">
        <v>13</v>
      </c>
      <c r="G580" s="2" t="s">
        <v>20</v>
      </c>
      <c r="H580" s="2" t="s">
        <v>21</v>
      </c>
      <c r="I580" s="2" t="s">
        <v>22</v>
      </c>
      <c r="J580" s="2" t="s">
        <v>23</v>
      </c>
    </row>
    <row r="581" spans="1:10" x14ac:dyDescent="0.3">
      <c r="A581" s="2" t="s">
        <v>581</v>
      </c>
      <c r="B581" s="2" t="s">
        <v>32</v>
      </c>
      <c r="C581" s="2" t="s">
        <v>26</v>
      </c>
      <c r="D581" s="2">
        <v>7</v>
      </c>
      <c r="E581" s="2">
        <v>6318602399</v>
      </c>
      <c r="F581" s="2" t="s">
        <v>13</v>
      </c>
      <c r="G581" s="2" t="s">
        <v>20</v>
      </c>
      <c r="H581" s="2" t="s">
        <v>21</v>
      </c>
      <c r="I581" s="2" t="s">
        <v>29</v>
      </c>
      <c r="J581" s="2" t="s">
        <v>17</v>
      </c>
    </row>
    <row r="582" spans="1:10" x14ac:dyDescent="0.3">
      <c r="A582" s="2" t="s">
        <v>582</v>
      </c>
      <c r="B582" s="2" t="s">
        <v>32</v>
      </c>
      <c r="C582" s="2" t="s">
        <v>26</v>
      </c>
      <c r="D582" s="2">
        <v>7</v>
      </c>
      <c r="E582" s="2">
        <v>9474566659</v>
      </c>
      <c r="F582" s="2" t="s">
        <v>19</v>
      </c>
      <c r="G582" s="2" t="s">
        <v>20</v>
      </c>
      <c r="H582" s="2" t="s">
        <v>15</v>
      </c>
      <c r="I582" s="2" t="s">
        <v>29</v>
      </c>
      <c r="J582" s="2" t="s">
        <v>23</v>
      </c>
    </row>
    <row r="583" spans="1:10" x14ac:dyDescent="0.3">
      <c r="A583" s="2" t="s">
        <v>583</v>
      </c>
      <c r="B583" s="2" t="s">
        <v>35</v>
      </c>
      <c r="C583" s="2" t="s">
        <v>26</v>
      </c>
      <c r="D583" s="2">
        <v>1</v>
      </c>
      <c r="E583" s="2">
        <v>7530342597</v>
      </c>
      <c r="F583" s="2" t="s">
        <v>19</v>
      </c>
      <c r="G583" s="2" t="s">
        <v>14</v>
      </c>
      <c r="H583" s="2" t="s">
        <v>15</v>
      </c>
      <c r="I583" s="2" t="s">
        <v>29</v>
      </c>
      <c r="J583" s="2" t="s">
        <v>17</v>
      </c>
    </row>
    <row r="584" spans="1:10" x14ac:dyDescent="0.3">
      <c r="A584" s="2" t="s">
        <v>584</v>
      </c>
      <c r="B584" s="2" t="s">
        <v>11</v>
      </c>
      <c r="C584" s="2" t="s">
        <v>26</v>
      </c>
      <c r="D584" s="2">
        <v>3</v>
      </c>
      <c r="E584" s="2">
        <v>7507724242</v>
      </c>
      <c r="F584" s="2" t="s">
        <v>19</v>
      </c>
      <c r="G584" s="2" t="s">
        <v>20</v>
      </c>
      <c r="H584" s="2" t="s">
        <v>15</v>
      </c>
      <c r="I584" s="2" t="s">
        <v>37</v>
      </c>
      <c r="J584" s="2" t="s">
        <v>17</v>
      </c>
    </row>
    <row r="585" spans="1:10" x14ac:dyDescent="0.3">
      <c r="A585" s="2" t="s">
        <v>585</v>
      </c>
      <c r="B585" s="2" t="s">
        <v>35</v>
      </c>
      <c r="C585" s="2" t="s">
        <v>36</v>
      </c>
      <c r="D585" s="2">
        <v>1</v>
      </c>
      <c r="E585" s="2">
        <v>9415389868</v>
      </c>
      <c r="F585" s="2" t="s">
        <v>13</v>
      </c>
      <c r="G585" s="2" t="s">
        <v>20</v>
      </c>
      <c r="H585" s="2" t="s">
        <v>15</v>
      </c>
      <c r="I585" s="2" t="s">
        <v>22</v>
      </c>
      <c r="J585" s="2" t="s">
        <v>22</v>
      </c>
    </row>
    <row r="586" spans="1:10" x14ac:dyDescent="0.3">
      <c r="A586" s="2" t="s">
        <v>60</v>
      </c>
      <c r="B586" s="2" t="s">
        <v>25</v>
      </c>
      <c r="C586" s="2" t="s">
        <v>33</v>
      </c>
      <c r="D586" s="2">
        <v>5</v>
      </c>
      <c r="E586" s="2">
        <v>8472602880</v>
      </c>
      <c r="F586" s="2" t="s">
        <v>19</v>
      </c>
      <c r="G586" s="2" t="s">
        <v>20</v>
      </c>
      <c r="H586" s="2" t="s">
        <v>21</v>
      </c>
      <c r="I586" s="2" t="s">
        <v>16</v>
      </c>
      <c r="J586" s="2" t="s">
        <v>22</v>
      </c>
    </row>
    <row r="587" spans="1:10" x14ac:dyDescent="0.3">
      <c r="A587" s="2" t="s">
        <v>586</v>
      </c>
      <c r="B587" s="2" t="s">
        <v>25</v>
      </c>
      <c r="C587" s="2" t="s">
        <v>12</v>
      </c>
      <c r="D587" s="2">
        <v>5</v>
      </c>
      <c r="E587" s="2">
        <v>6362530497</v>
      </c>
      <c r="F587" s="2" t="s">
        <v>13</v>
      </c>
      <c r="G587" s="2" t="s">
        <v>20</v>
      </c>
      <c r="H587" s="2" t="s">
        <v>15</v>
      </c>
      <c r="I587" s="2" t="s">
        <v>29</v>
      </c>
      <c r="J587" s="2" t="s">
        <v>22</v>
      </c>
    </row>
    <row r="588" spans="1:10" x14ac:dyDescent="0.3">
      <c r="A588" s="2" t="s">
        <v>587</v>
      </c>
      <c r="B588" s="2" t="s">
        <v>32</v>
      </c>
      <c r="C588" s="2" t="s">
        <v>43</v>
      </c>
      <c r="D588" s="2">
        <v>7</v>
      </c>
      <c r="E588" s="2">
        <v>8222411847</v>
      </c>
      <c r="F588" s="2" t="s">
        <v>19</v>
      </c>
      <c r="G588" s="2" t="s">
        <v>14</v>
      </c>
      <c r="H588" s="2" t="s">
        <v>15</v>
      </c>
      <c r="I588" s="2" t="s">
        <v>29</v>
      </c>
      <c r="J588" s="2" t="s">
        <v>17</v>
      </c>
    </row>
    <row r="589" spans="1:10" x14ac:dyDescent="0.3">
      <c r="A589" s="2" t="s">
        <v>588</v>
      </c>
      <c r="B589" s="2" t="s">
        <v>25</v>
      </c>
      <c r="C589" s="2" t="s">
        <v>36</v>
      </c>
      <c r="D589" s="2">
        <v>5</v>
      </c>
      <c r="E589" s="2">
        <v>6121596566</v>
      </c>
      <c r="F589" s="2" t="s">
        <v>19</v>
      </c>
      <c r="G589" s="2" t="s">
        <v>20</v>
      </c>
      <c r="H589" s="2" t="s">
        <v>21</v>
      </c>
      <c r="I589" s="2" t="s">
        <v>27</v>
      </c>
      <c r="J589" s="2" t="s">
        <v>22</v>
      </c>
    </row>
    <row r="590" spans="1:10" x14ac:dyDescent="0.3">
      <c r="A590" s="2" t="s">
        <v>589</v>
      </c>
      <c r="B590" s="2" t="s">
        <v>25</v>
      </c>
      <c r="C590" s="2" t="s">
        <v>33</v>
      </c>
      <c r="D590" s="2">
        <v>5</v>
      </c>
      <c r="E590" s="2">
        <v>8856174190</v>
      </c>
      <c r="F590" s="2" t="s">
        <v>13</v>
      </c>
      <c r="G590" s="2" t="s">
        <v>14</v>
      </c>
      <c r="H590" s="2" t="s">
        <v>15</v>
      </c>
      <c r="I590" s="2" t="s">
        <v>22</v>
      </c>
      <c r="J590" s="2" t="s">
        <v>22</v>
      </c>
    </row>
    <row r="591" spans="1:10" x14ac:dyDescent="0.3">
      <c r="A591" s="2" t="s">
        <v>590</v>
      </c>
      <c r="B591" s="2" t="s">
        <v>35</v>
      </c>
      <c r="C591" s="2" t="s">
        <v>36</v>
      </c>
      <c r="D591" s="2">
        <v>1</v>
      </c>
      <c r="E591" s="2">
        <v>7814362402</v>
      </c>
      <c r="F591" s="2" t="s">
        <v>19</v>
      </c>
      <c r="G591" s="2" t="s">
        <v>20</v>
      </c>
      <c r="H591" s="2" t="s">
        <v>15</v>
      </c>
      <c r="I591" s="2" t="s">
        <v>37</v>
      </c>
      <c r="J591" s="2" t="s">
        <v>17</v>
      </c>
    </row>
    <row r="592" spans="1:10" x14ac:dyDescent="0.3">
      <c r="A592" s="2" t="s">
        <v>591</v>
      </c>
      <c r="B592" s="2" t="s">
        <v>11</v>
      </c>
      <c r="C592" s="2" t="s">
        <v>36</v>
      </c>
      <c r="D592" s="2">
        <v>3</v>
      </c>
      <c r="E592" s="2">
        <v>8508206749</v>
      </c>
      <c r="F592" s="2" t="s">
        <v>13</v>
      </c>
      <c r="G592" s="2" t="s">
        <v>20</v>
      </c>
      <c r="H592" s="2" t="s">
        <v>15</v>
      </c>
      <c r="I592" s="2" t="s">
        <v>27</v>
      </c>
      <c r="J592" s="2" t="s">
        <v>22</v>
      </c>
    </row>
    <row r="593" spans="1:10" x14ac:dyDescent="0.3">
      <c r="A593" s="2" t="s">
        <v>592</v>
      </c>
      <c r="B593" s="2" t="s">
        <v>11</v>
      </c>
      <c r="C593" s="2" t="s">
        <v>26</v>
      </c>
      <c r="D593" s="2">
        <v>3</v>
      </c>
      <c r="E593" s="2">
        <v>9184741974</v>
      </c>
      <c r="F593" s="2" t="s">
        <v>13</v>
      </c>
      <c r="G593" s="2" t="s">
        <v>14</v>
      </c>
      <c r="H593" s="2" t="s">
        <v>21</v>
      </c>
      <c r="I593" s="2" t="s">
        <v>16</v>
      </c>
      <c r="J593" s="2" t="s">
        <v>17</v>
      </c>
    </row>
    <row r="594" spans="1:10" x14ac:dyDescent="0.3">
      <c r="A594" s="2" t="s">
        <v>593</v>
      </c>
      <c r="B594" s="2" t="s">
        <v>32</v>
      </c>
      <c r="C594" s="2" t="s">
        <v>33</v>
      </c>
      <c r="D594" s="2">
        <v>7</v>
      </c>
      <c r="E594" s="2">
        <v>8306373241</v>
      </c>
      <c r="F594" s="2" t="s">
        <v>13</v>
      </c>
      <c r="G594" s="2" t="s">
        <v>14</v>
      </c>
      <c r="H594" s="2" t="s">
        <v>21</v>
      </c>
      <c r="I594" s="2" t="s">
        <v>27</v>
      </c>
      <c r="J594" s="2" t="s">
        <v>23</v>
      </c>
    </row>
    <row r="595" spans="1:10" x14ac:dyDescent="0.3">
      <c r="A595" s="2" t="s">
        <v>594</v>
      </c>
      <c r="B595" s="2" t="s">
        <v>32</v>
      </c>
      <c r="C595" s="2" t="s">
        <v>33</v>
      </c>
      <c r="D595" s="2">
        <v>7</v>
      </c>
      <c r="E595" s="2">
        <v>6583374756</v>
      </c>
      <c r="F595" s="2" t="s">
        <v>19</v>
      </c>
      <c r="G595" s="2" t="s">
        <v>14</v>
      </c>
      <c r="H595" s="2" t="s">
        <v>15</v>
      </c>
      <c r="I595" s="2" t="s">
        <v>22</v>
      </c>
      <c r="J595" s="2" t="s">
        <v>17</v>
      </c>
    </row>
    <row r="596" spans="1:10" x14ac:dyDescent="0.3">
      <c r="A596" s="2" t="s">
        <v>595</v>
      </c>
      <c r="B596" s="2" t="s">
        <v>11</v>
      </c>
      <c r="C596" s="2" t="s">
        <v>36</v>
      </c>
      <c r="D596" s="2">
        <v>3</v>
      </c>
      <c r="E596" s="2">
        <v>6326243264</v>
      </c>
      <c r="F596" s="2" t="s">
        <v>13</v>
      </c>
      <c r="G596" s="2" t="s">
        <v>20</v>
      </c>
      <c r="H596" s="2" t="s">
        <v>15</v>
      </c>
      <c r="I596" s="2" t="s">
        <v>16</v>
      </c>
      <c r="J596" s="2" t="s">
        <v>17</v>
      </c>
    </row>
    <row r="597" spans="1:10" x14ac:dyDescent="0.3">
      <c r="A597" s="2" t="s">
        <v>596</v>
      </c>
      <c r="B597" s="2" t="s">
        <v>35</v>
      </c>
      <c r="C597" s="2" t="s">
        <v>43</v>
      </c>
      <c r="D597" s="2">
        <v>1</v>
      </c>
      <c r="E597" s="2">
        <v>6858107343</v>
      </c>
      <c r="F597" s="2" t="s">
        <v>13</v>
      </c>
      <c r="G597" s="2" t="s">
        <v>14</v>
      </c>
      <c r="H597" s="2" t="s">
        <v>21</v>
      </c>
      <c r="I597" s="2" t="s">
        <v>41</v>
      </c>
      <c r="J597" s="2" t="s">
        <v>22</v>
      </c>
    </row>
    <row r="598" spans="1:10" x14ac:dyDescent="0.3">
      <c r="A598" s="2" t="s">
        <v>597</v>
      </c>
      <c r="B598" s="2" t="s">
        <v>11</v>
      </c>
      <c r="C598" s="2" t="s">
        <v>33</v>
      </c>
      <c r="D598" s="2">
        <v>3</v>
      </c>
      <c r="E598" s="2">
        <v>6711963659</v>
      </c>
      <c r="F598" s="2" t="s">
        <v>19</v>
      </c>
      <c r="G598" s="2" t="s">
        <v>14</v>
      </c>
      <c r="H598" s="2" t="s">
        <v>15</v>
      </c>
      <c r="I598" s="2" t="s">
        <v>37</v>
      </c>
      <c r="J598" s="2" t="s">
        <v>17</v>
      </c>
    </row>
    <row r="599" spans="1:10" x14ac:dyDescent="0.3">
      <c r="A599" s="2" t="s">
        <v>165</v>
      </c>
      <c r="B599" s="2" t="s">
        <v>25</v>
      </c>
      <c r="C599" s="2" t="s">
        <v>36</v>
      </c>
      <c r="D599" s="2">
        <v>5</v>
      </c>
      <c r="E599" s="2">
        <v>6259634603</v>
      </c>
      <c r="F599" s="2" t="s">
        <v>13</v>
      </c>
      <c r="G599" s="2" t="s">
        <v>20</v>
      </c>
      <c r="H599" s="2" t="s">
        <v>15</v>
      </c>
      <c r="I599" s="2" t="s">
        <v>22</v>
      </c>
      <c r="J599" s="2" t="s">
        <v>22</v>
      </c>
    </row>
    <row r="600" spans="1:10" x14ac:dyDescent="0.3">
      <c r="A600" s="2" t="s">
        <v>598</v>
      </c>
      <c r="B600" s="2" t="s">
        <v>25</v>
      </c>
      <c r="C600" s="2" t="s">
        <v>36</v>
      </c>
      <c r="D600" s="2">
        <v>5</v>
      </c>
      <c r="E600" s="2">
        <v>8400810214</v>
      </c>
      <c r="F600" s="2" t="s">
        <v>19</v>
      </c>
      <c r="G600" s="2" t="s">
        <v>20</v>
      </c>
      <c r="H600" s="2" t="s">
        <v>15</v>
      </c>
      <c r="I600" s="2" t="s">
        <v>22</v>
      </c>
      <c r="J600" s="2" t="s">
        <v>22</v>
      </c>
    </row>
    <row r="601" spans="1:10" x14ac:dyDescent="0.3">
      <c r="A601" s="2" t="s">
        <v>599</v>
      </c>
      <c r="B601" s="2" t="s">
        <v>25</v>
      </c>
      <c r="C601" s="2" t="s">
        <v>33</v>
      </c>
      <c r="D601" s="2">
        <v>5</v>
      </c>
      <c r="E601" s="2">
        <v>8782214667</v>
      </c>
      <c r="F601" s="2" t="s">
        <v>13</v>
      </c>
      <c r="G601" s="2" t="s">
        <v>14</v>
      </c>
      <c r="H601" s="2" t="s">
        <v>21</v>
      </c>
      <c r="I601" s="2" t="s">
        <v>16</v>
      </c>
      <c r="J601" s="2"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5DAA-4A28-41D0-979E-15CF70F155F5}">
  <dimension ref="A1:A54"/>
  <sheetViews>
    <sheetView topLeftCell="A17" zoomScale="53" zoomScaleNormal="53" workbookViewId="0">
      <selection activeCell="A53" sqref="A53:AJ53"/>
    </sheetView>
  </sheetViews>
  <sheetFormatPr defaultRowHeight="14.4" x14ac:dyDescent="0.3"/>
  <sheetData>
    <row r="1" spans="1:1" x14ac:dyDescent="0.3">
      <c r="A1" s="1" t="s">
        <v>600</v>
      </c>
    </row>
    <row r="5" spans="1:1" x14ac:dyDescent="0.3">
      <c r="A5" t="s">
        <v>601</v>
      </c>
    </row>
    <row r="7" spans="1:1" x14ac:dyDescent="0.3">
      <c r="A7" t="s">
        <v>602</v>
      </c>
    </row>
    <row r="9" spans="1:1" x14ac:dyDescent="0.3">
      <c r="A9" t="s">
        <v>603</v>
      </c>
    </row>
    <row r="11" spans="1:1" x14ac:dyDescent="0.3">
      <c r="A11" t="s">
        <v>604</v>
      </c>
    </row>
    <row r="13" spans="1:1" x14ac:dyDescent="0.3">
      <c r="A13" t="s">
        <v>605</v>
      </c>
    </row>
    <row r="15" spans="1:1" x14ac:dyDescent="0.3">
      <c r="A15" t="s">
        <v>606</v>
      </c>
    </row>
    <row r="17" spans="1:1" x14ac:dyDescent="0.3">
      <c r="A17" t="s">
        <v>607</v>
      </c>
    </row>
    <row r="19" spans="1:1" ht="15" x14ac:dyDescent="0.35">
      <c r="A19" s="18" t="s">
        <v>629</v>
      </c>
    </row>
    <row r="23" spans="1:1" x14ac:dyDescent="0.3">
      <c r="A23" t="s">
        <v>608</v>
      </c>
    </row>
    <row r="25" spans="1:1" x14ac:dyDescent="0.3">
      <c r="A25" t="s">
        <v>609</v>
      </c>
    </row>
    <row r="27" spans="1:1" x14ac:dyDescent="0.3">
      <c r="A27" t="s">
        <v>610</v>
      </c>
    </row>
    <row r="29" spans="1:1" x14ac:dyDescent="0.3">
      <c r="A29" t="s">
        <v>631</v>
      </c>
    </row>
    <row r="31" spans="1:1" x14ac:dyDescent="0.3">
      <c r="A31" t="s">
        <v>611</v>
      </c>
    </row>
    <row r="33" spans="1:1" x14ac:dyDescent="0.3">
      <c r="A33" t="s">
        <v>612</v>
      </c>
    </row>
    <row r="35" spans="1:1" x14ac:dyDescent="0.3">
      <c r="A35" t="s">
        <v>613</v>
      </c>
    </row>
    <row r="37" spans="1:1" x14ac:dyDescent="0.3">
      <c r="A37" t="s">
        <v>614</v>
      </c>
    </row>
    <row r="41" spans="1:1" x14ac:dyDescent="0.3">
      <c r="A41" t="s">
        <v>615</v>
      </c>
    </row>
    <row r="43" spans="1:1" x14ac:dyDescent="0.3">
      <c r="A43" t="s">
        <v>668</v>
      </c>
    </row>
    <row r="45" spans="1:1" x14ac:dyDescent="0.3">
      <c r="A45" t="s">
        <v>616</v>
      </c>
    </row>
    <row r="47" spans="1:1" x14ac:dyDescent="0.3">
      <c r="A47" t="s">
        <v>617</v>
      </c>
    </row>
    <row r="49" spans="1:1" x14ac:dyDescent="0.3">
      <c r="A49" t="s">
        <v>618</v>
      </c>
    </row>
    <row r="51" spans="1:1" x14ac:dyDescent="0.3">
      <c r="A51" t="s">
        <v>619</v>
      </c>
    </row>
    <row r="53" spans="1:1" x14ac:dyDescent="0.3">
      <c r="A53" t="s">
        <v>620</v>
      </c>
    </row>
    <row r="54" spans="1:1" ht="13.8" customHeigh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1069F-768D-424D-8AF4-C90F18CC2ECE}">
  <sheetPr filterMode="1"/>
  <dimension ref="A1:T601"/>
  <sheetViews>
    <sheetView topLeftCell="E1" workbookViewId="0">
      <selection activeCell="N2" sqref="N2"/>
    </sheetView>
  </sheetViews>
  <sheetFormatPr defaultRowHeight="14.4" x14ac:dyDescent="0.3"/>
  <cols>
    <col min="1" max="1" width="22.6640625" customWidth="1"/>
    <col min="2" max="2" width="6.109375" customWidth="1"/>
    <col min="3" max="3" width="11.109375" bestFit="1" customWidth="1"/>
    <col min="4" max="4" width="8.77734375" bestFit="1" customWidth="1"/>
    <col min="5" max="5" width="13.88671875" bestFit="1" customWidth="1"/>
    <col min="6" max="6" width="17.5546875" bestFit="1" customWidth="1"/>
    <col min="7" max="7" width="16" bestFit="1" customWidth="1"/>
    <col min="8" max="8" width="14.88671875" bestFit="1" customWidth="1"/>
    <col min="9" max="9" width="20.109375" bestFit="1" customWidth="1"/>
    <col min="10" max="10" width="22.77734375" bestFit="1" customWidth="1"/>
    <col min="14" max="14" width="11.109375" customWidth="1"/>
  </cols>
  <sheetData>
    <row r="1" spans="1:14" x14ac:dyDescent="0.3">
      <c r="A1" s="3" t="s">
        <v>0</v>
      </c>
      <c r="B1" s="3" t="s">
        <v>1</v>
      </c>
      <c r="C1" s="3" t="s">
        <v>2</v>
      </c>
      <c r="D1" s="3" t="s">
        <v>3</v>
      </c>
      <c r="E1" s="3" t="s">
        <v>4</v>
      </c>
      <c r="F1" s="3" t="s">
        <v>5</v>
      </c>
      <c r="G1" s="3" t="s">
        <v>6</v>
      </c>
      <c r="H1" s="3" t="s">
        <v>7</v>
      </c>
      <c r="I1" s="3" t="s">
        <v>8</v>
      </c>
      <c r="J1" s="3" t="s">
        <v>9</v>
      </c>
    </row>
    <row r="2" spans="1:14" ht="15.6" x14ac:dyDescent="0.3">
      <c r="A2" s="2" t="s">
        <v>578</v>
      </c>
      <c r="B2" s="2" t="s">
        <v>32</v>
      </c>
      <c r="C2" s="2" t="s">
        <v>36</v>
      </c>
      <c r="D2" s="2">
        <v>7</v>
      </c>
      <c r="E2" s="2">
        <v>8758669981</v>
      </c>
      <c r="F2" s="2" t="s">
        <v>13</v>
      </c>
      <c r="G2" s="2" t="s">
        <v>20</v>
      </c>
      <c r="H2" s="2" t="s">
        <v>15</v>
      </c>
      <c r="I2" s="2" t="s">
        <v>37</v>
      </c>
      <c r="J2" s="2" t="s">
        <v>22</v>
      </c>
      <c r="N2" s="4" t="s">
        <v>622</v>
      </c>
    </row>
    <row r="3" spans="1:14" hidden="1" x14ac:dyDescent="0.3">
      <c r="A3" s="2" t="s">
        <v>18</v>
      </c>
      <c r="B3" s="2" t="s">
        <v>11</v>
      </c>
      <c r="C3" s="2" t="s">
        <v>12</v>
      </c>
      <c r="D3" s="2">
        <v>3</v>
      </c>
      <c r="E3" s="2">
        <v>6669525518</v>
      </c>
      <c r="F3" s="2" t="s">
        <v>19</v>
      </c>
      <c r="G3" s="2" t="s">
        <v>20</v>
      </c>
      <c r="H3" s="2" t="s">
        <v>21</v>
      </c>
      <c r="I3" s="2" t="s">
        <v>22</v>
      </c>
      <c r="J3" s="2" t="s">
        <v>23</v>
      </c>
    </row>
    <row r="4" spans="1:14" x14ac:dyDescent="0.3">
      <c r="A4" s="2" t="s">
        <v>285</v>
      </c>
      <c r="B4" s="2" t="s">
        <v>25</v>
      </c>
      <c r="C4" s="2" t="s">
        <v>33</v>
      </c>
      <c r="D4" s="2">
        <v>5</v>
      </c>
      <c r="E4" s="2">
        <v>7528675887</v>
      </c>
      <c r="F4" s="2" t="s">
        <v>13</v>
      </c>
      <c r="G4" s="2" t="s">
        <v>14</v>
      </c>
      <c r="H4" s="2" t="s">
        <v>21</v>
      </c>
      <c r="I4" s="2" t="s">
        <v>37</v>
      </c>
      <c r="J4" s="2" t="s">
        <v>22</v>
      </c>
    </row>
    <row r="5" spans="1:14" hidden="1" x14ac:dyDescent="0.3">
      <c r="A5" s="2" t="s">
        <v>28</v>
      </c>
      <c r="B5" s="2" t="s">
        <v>11</v>
      </c>
      <c r="C5" s="2" t="s">
        <v>26</v>
      </c>
      <c r="D5" s="2">
        <v>3</v>
      </c>
      <c r="E5" s="2">
        <v>6421418421</v>
      </c>
      <c r="F5" s="2" t="s">
        <v>19</v>
      </c>
      <c r="G5" s="2" t="s">
        <v>20</v>
      </c>
      <c r="H5" s="2" t="s">
        <v>21</v>
      </c>
      <c r="I5" s="2" t="s">
        <v>29</v>
      </c>
      <c r="J5" s="2" t="s">
        <v>17</v>
      </c>
    </row>
    <row r="6" spans="1:14" hidden="1" x14ac:dyDescent="0.3">
      <c r="A6" s="2" t="s">
        <v>30</v>
      </c>
      <c r="B6" s="2" t="s">
        <v>25</v>
      </c>
      <c r="C6" s="2" t="s">
        <v>12</v>
      </c>
      <c r="D6" s="2">
        <v>5</v>
      </c>
      <c r="E6" s="2">
        <v>6345416297</v>
      </c>
      <c r="F6" s="2" t="s">
        <v>19</v>
      </c>
      <c r="G6" s="2" t="s">
        <v>14</v>
      </c>
      <c r="H6" s="2" t="s">
        <v>21</v>
      </c>
      <c r="I6" s="2" t="s">
        <v>22</v>
      </c>
      <c r="J6" s="2" t="s">
        <v>22</v>
      </c>
    </row>
    <row r="7" spans="1:14" hidden="1" x14ac:dyDescent="0.3">
      <c r="A7" s="2" t="s">
        <v>31</v>
      </c>
      <c r="B7" s="2" t="s">
        <v>32</v>
      </c>
      <c r="C7" s="2" t="s">
        <v>33</v>
      </c>
      <c r="D7" s="2">
        <v>7</v>
      </c>
      <c r="E7" s="2">
        <v>9825291736</v>
      </c>
      <c r="F7" s="2" t="s">
        <v>19</v>
      </c>
      <c r="G7" s="2" t="s">
        <v>20</v>
      </c>
      <c r="H7" s="2" t="s">
        <v>15</v>
      </c>
      <c r="I7" s="2" t="s">
        <v>22</v>
      </c>
      <c r="J7" s="2" t="s">
        <v>23</v>
      </c>
    </row>
    <row r="8" spans="1:14" hidden="1" x14ac:dyDescent="0.3">
      <c r="A8" s="2" t="s">
        <v>34</v>
      </c>
      <c r="B8" s="2" t="s">
        <v>35</v>
      </c>
      <c r="C8" s="2" t="s">
        <v>36</v>
      </c>
      <c r="D8" s="2">
        <v>1</v>
      </c>
      <c r="E8" s="2">
        <v>6196589644</v>
      </c>
      <c r="F8" s="2" t="s">
        <v>19</v>
      </c>
      <c r="G8" s="2" t="s">
        <v>14</v>
      </c>
      <c r="H8" s="2" t="s">
        <v>21</v>
      </c>
      <c r="I8" s="2" t="s">
        <v>37</v>
      </c>
      <c r="J8" s="2" t="s">
        <v>23</v>
      </c>
    </row>
    <row r="9" spans="1:14" x14ac:dyDescent="0.3">
      <c r="A9" s="2" t="s">
        <v>98</v>
      </c>
      <c r="B9" s="2" t="s">
        <v>11</v>
      </c>
      <c r="C9" s="2" t="s">
        <v>12</v>
      </c>
      <c r="D9" s="2">
        <v>3</v>
      </c>
      <c r="E9" s="2">
        <v>8799457176</v>
      </c>
      <c r="F9" s="2" t="s">
        <v>13</v>
      </c>
      <c r="G9" s="2" t="s">
        <v>14</v>
      </c>
      <c r="H9" s="2" t="s">
        <v>21</v>
      </c>
      <c r="I9" s="2" t="s">
        <v>22</v>
      </c>
      <c r="J9" s="2" t="s">
        <v>17</v>
      </c>
      <c r="L9" t="s">
        <v>602</v>
      </c>
    </row>
    <row r="10" spans="1:14" x14ac:dyDescent="0.3">
      <c r="A10" s="2" t="s">
        <v>585</v>
      </c>
      <c r="B10" s="2" t="s">
        <v>35</v>
      </c>
      <c r="C10" s="2" t="s">
        <v>36</v>
      </c>
      <c r="D10" s="2">
        <v>1</v>
      </c>
      <c r="E10" s="2">
        <v>9415389868</v>
      </c>
      <c r="F10" s="2" t="s">
        <v>13</v>
      </c>
      <c r="G10" s="2" t="s">
        <v>20</v>
      </c>
      <c r="H10" s="2" t="s">
        <v>15</v>
      </c>
      <c r="I10" s="2" t="s">
        <v>22</v>
      </c>
      <c r="J10" s="2" t="s">
        <v>22</v>
      </c>
    </row>
    <row r="11" spans="1:14" hidden="1" x14ac:dyDescent="0.3">
      <c r="A11" s="2" t="s">
        <v>40</v>
      </c>
      <c r="B11" s="2" t="s">
        <v>11</v>
      </c>
      <c r="C11" s="2" t="s">
        <v>33</v>
      </c>
      <c r="D11" s="2">
        <v>3</v>
      </c>
      <c r="E11" s="2">
        <v>8887349101</v>
      </c>
      <c r="F11" s="2" t="s">
        <v>19</v>
      </c>
      <c r="G11" s="2" t="s">
        <v>14</v>
      </c>
      <c r="H11" s="2" t="s">
        <v>15</v>
      </c>
      <c r="I11" s="2" t="s">
        <v>41</v>
      </c>
      <c r="J11" s="2" t="s">
        <v>22</v>
      </c>
    </row>
    <row r="12" spans="1:14" hidden="1" x14ac:dyDescent="0.3">
      <c r="A12" s="2" t="s">
        <v>42</v>
      </c>
      <c r="B12" s="2" t="s">
        <v>32</v>
      </c>
      <c r="C12" s="2" t="s">
        <v>43</v>
      </c>
      <c r="D12" s="2">
        <v>7</v>
      </c>
      <c r="E12" s="2">
        <v>6298823994</v>
      </c>
      <c r="F12" s="2" t="s">
        <v>19</v>
      </c>
      <c r="G12" s="2" t="s">
        <v>20</v>
      </c>
      <c r="H12" s="2" t="s">
        <v>15</v>
      </c>
      <c r="I12" s="2" t="s">
        <v>37</v>
      </c>
      <c r="J12" s="2" t="s">
        <v>22</v>
      </c>
    </row>
    <row r="13" spans="1:14" hidden="1" x14ac:dyDescent="0.3">
      <c r="A13" s="2" t="s">
        <v>44</v>
      </c>
      <c r="B13" s="2" t="s">
        <v>25</v>
      </c>
      <c r="C13" s="2" t="s">
        <v>43</v>
      </c>
      <c r="D13" s="2">
        <v>5</v>
      </c>
      <c r="E13" s="2">
        <v>8691092011</v>
      </c>
      <c r="F13" s="2" t="s">
        <v>19</v>
      </c>
      <c r="G13" s="2" t="s">
        <v>14</v>
      </c>
      <c r="H13" s="2" t="s">
        <v>21</v>
      </c>
      <c r="I13" s="2" t="s">
        <v>16</v>
      </c>
      <c r="J13" s="2" t="s">
        <v>17</v>
      </c>
    </row>
    <row r="14" spans="1:14" x14ac:dyDescent="0.3">
      <c r="A14" s="2" t="s">
        <v>90</v>
      </c>
      <c r="B14" s="2" t="s">
        <v>35</v>
      </c>
      <c r="C14" s="2" t="s">
        <v>43</v>
      </c>
      <c r="D14" s="2">
        <v>1</v>
      </c>
      <c r="E14" s="2">
        <v>9510854464</v>
      </c>
      <c r="F14" s="2" t="s">
        <v>13</v>
      </c>
      <c r="G14" s="2" t="s">
        <v>14</v>
      </c>
      <c r="H14" s="2" t="s">
        <v>21</v>
      </c>
      <c r="I14" s="2" t="s">
        <v>27</v>
      </c>
      <c r="J14" s="2" t="s">
        <v>17</v>
      </c>
      <c r="L14" t="s">
        <v>621</v>
      </c>
    </row>
    <row r="15" spans="1:14" hidden="1" x14ac:dyDescent="0.3">
      <c r="A15" s="2" t="s">
        <v>46</v>
      </c>
      <c r="B15" s="2" t="s">
        <v>11</v>
      </c>
      <c r="C15" s="2" t="s">
        <v>36</v>
      </c>
      <c r="D15" s="2">
        <v>3</v>
      </c>
      <c r="E15" s="2">
        <v>9798746487</v>
      </c>
      <c r="F15" s="2" t="s">
        <v>19</v>
      </c>
      <c r="G15" s="2" t="s">
        <v>20</v>
      </c>
      <c r="H15" s="2" t="s">
        <v>21</v>
      </c>
      <c r="I15" s="2" t="s">
        <v>37</v>
      </c>
      <c r="J15" s="2" t="s">
        <v>22</v>
      </c>
    </row>
    <row r="16" spans="1:14" x14ac:dyDescent="0.3">
      <c r="A16" s="2" t="s">
        <v>201</v>
      </c>
      <c r="B16" s="2" t="s">
        <v>35</v>
      </c>
      <c r="C16" s="2" t="s">
        <v>26</v>
      </c>
      <c r="D16" s="2">
        <v>1</v>
      </c>
      <c r="E16" s="2">
        <v>8162140057</v>
      </c>
      <c r="F16" s="2" t="s">
        <v>13</v>
      </c>
      <c r="G16" s="2" t="s">
        <v>20</v>
      </c>
      <c r="H16" s="2" t="s">
        <v>21</v>
      </c>
      <c r="I16" s="2" t="s">
        <v>22</v>
      </c>
      <c r="J16" s="2" t="s">
        <v>23</v>
      </c>
    </row>
    <row r="17" spans="1:20" hidden="1" x14ac:dyDescent="0.3">
      <c r="A17" s="2" t="s">
        <v>48</v>
      </c>
      <c r="B17" s="2" t="s">
        <v>35</v>
      </c>
      <c r="C17" s="2" t="s">
        <v>12</v>
      </c>
      <c r="D17" s="2">
        <v>1</v>
      </c>
      <c r="E17" s="2">
        <v>7611578541</v>
      </c>
      <c r="F17" s="2" t="s">
        <v>19</v>
      </c>
      <c r="G17" s="2" t="s">
        <v>14</v>
      </c>
      <c r="H17" s="2" t="s">
        <v>15</v>
      </c>
      <c r="I17" s="2" t="s">
        <v>41</v>
      </c>
      <c r="J17" s="2" t="s">
        <v>22</v>
      </c>
    </row>
    <row r="18" spans="1:20" x14ac:dyDescent="0.3">
      <c r="A18" s="2" t="s">
        <v>81</v>
      </c>
      <c r="B18" s="2" t="s">
        <v>11</v>
      </c>
      <c r="C18" s="2" t="s">
        <v>12</v>
      </c>
      <c r="D18" s="2">
        <v>3</v>
      </c>
      <c r="E18" s="2">
        <v>8147056642</v>
      </c>
      <c r="F18" s="2" t="s">
        <v>13</v>
      </c>
      <c r="G18" s="2" t="s">
        <v>20</v>
      </c>
      <c r="H18" s="2" t="s">
        <v>15</v>
      </c>
      <c r="I18" s="2" t="s">
        <v>16</v>
      </c>
      <c r="J18" s="2" t="s">
        <v>23</v>
      </c>
      <c r="L18" s="6" t="s">
        <v>604</v>
      </c>
      <c r="M18" s="7"/>
      <c r="N18" s="7"/>
      <c r="O18" s="7"/>
      <c r="P18" s="7"/>
      <c r="Q18" s="7"/>
      <c r="R18" s="7"/>
      <c r="S18" s="7"/>
      <c r="T18" s="8"/>
    </row>
    <row r="19" spans="1:20" hidden="1" x14ac:dyDescent="0.3">
      <c r="A19" s="2" t="s">
        <v>50</v>
      </c>
      <c r="B19" s="2" t="s">
        <v>32</v>
      </c>
      <c r="C19" s="2" t="s">
        <v>12</v>
      </c>
      <c r="D19" s="2">
        <v>7</v>
      </c>
      <c r="E19" s="2">
        <v>8427455838</v>
      </c>
      <c r="F19" s="2" t="s">
        <v>19</v>
      </c>
      <c r="G19" s="2" t="s">
        <v>20</v>
      </c>
      <c r="H19" s="2" t="s">
        <v>15</v>
      </c>
      <c r="I19" s="2" t="s">
        <v>41</v>
      </c>
      <c r="J19" s="2" t="s">
        <v>22</v>
      </c>
    </row>
    <row r="20" spans="1:20" hidden="1" x14ac:dyDescent="0.3">
      <c r="A20" s="2" t="s">
        <v>51</v>
      </c>
      <c r="B20" s="2" t="s">
        <v>11</v>
      </c>
      <c r="C20" s="2" t="s">
        <v>36</v>
      </c>
      <c r="D20" s="2">
        <v>3</v>
      </c>
      <c r="E20" s="2">
        <v>7545515893</v>
      </c>
      <c r="F20" s="2" t="s">
        <v>19</v>
      </c>
      <c r="G20" s="2" t="s">
        <v>20</v>
      </c>
      <c r="H20" s="2" t="s">
        <v>21</v>
      </c>
      <c r="I20" s="2" t="s">
        <v>22</v>
      </c>
      <c r="J20" s="2" t="s">
        <v>23</v>
      </c>
    </row>
    <row r="21" spans="1:20" x14ac:dyDescent="0.3">
      <c r="A21" s="2" t="s">
        <v>586</v>
      </c>
      <c r="B21" s="2" t="s">
        <v>25</v>
      </c>
      <c r="C21" s="2" t="s">
        <v>12</v>
      </c>
      <c r="D21" s="2">
        <v>5</v>
      </c>
      <c r="E21" s="2">
        <v>6362530497</v>
      </c>
      <c r="F21" s="2" t="s">
        <v>13</v>
      </c>
      <c r="G21" s="2" t="s">
        <v>20</v>
      </c>
      <c r="H21" s="2" t="s">
        <v>15</v>
      </c>
      <c r="I21" s="2" t="s">
        <v>29</v>
      </c>
      <c r="J21" s="2" t="s">
        <v>22</v>
      </c>
      <c r="L21" s="6"/>
      <c r="M21" s="7"/>
      <c r="N21" s="7"/>
      <c r="O21" s="7"/>
      <c r="P21" s="7"/>
      <c r="Q21" s="7"/>
      <c r="R21" s="7"/>
      <c r="S21" s="7"/>
      <c r="T21" s="8"/>
    </row>
    <row r="22" spans="1:20" hidden="1" x14ac:dyDescent="0.3">
      <c r="A22" s="2" t="s">
        <v>53</v>
      </c>
      <c r="B22" s="2" t="s">
        <v>11</v>
      </c>
      <c r="C22" s="2" t="s">
        <v>12</v>
      </c>
      <c r="D22" s="2">
        <v>3</v>
      </c>
      <c r="E22" s="2">
        <v>7831255140</v>
      </c>
      <c r="F22" s="2" t="s">
        <v>19</v>
      </c>
      <c r="G22" s="2" t="s">
        <v>14</v>
      </c>
      <c r="H22" s="2" t="s">
        <v>15</v>
      </c>
      <c r="I22" s="2" t="s">
        <v>22</v>
      </c>
      <c r="J22" s="2" t="s">
        <v>22</v>
      </c>
    </row>
    <row r="23" spans="1:20" x14ac:dyDescent="0.3">
      <c r="A23" s="2" t="s">
        <v>439</v>
      </c>
      <c r="B23" s="2" t="s">
        <v>25</v>
      </c>
      <c r="C23" s="2" t="s">
        <v>43</v>
      </c>
      <c r="D23" s="2">
        <v>5</v>
      </c>
      <c r="E23" s="2">
        <v>7872958481</v>
      </c>
      <c r="F23" s="2" t="s">
        <v>13</v>
      </c>
      <c r="G23" s="2" t="s">
        <v>20</v>
      </c>
      <c r="H23" s="2" t="s">
        <v>21</v>
      </c>
      <c r="I23" s="2" t="s">
        <v>37</v>
      </c>
      <c r="J23" s="2" t="s">
        <v>17</v>
      </c>
      <c r="L23" s="9"/>
      <c r="M23" s="10" t="s">
        <v>36</v>
      </c>
      <c r="N23" s="10" t="s">
        <v>623</v>
      </c>
      <c r="O23" s="10" t="s">
        <v>26</v>
      </c>
      <c r="P23" s="10" t="s">
        <v>33</v>
      </c>
      <c r="Q23" s="10" t="s">
        <v>43</v>
      </c>
      <c r="R23" s="10"/>
      <c r="S23" s="10"/>
      <c r="T23" s="11"/>
    </row>
    <row r="24" spans="1:20" x14ac:dyDescent="0.3">
      <c r="A24" s="2" t="s">
        <v>528</v>
      </c>
      <c r="B24" s="2" t="s">
        <v>11</v>
      </c>
      <c r="C24" s="2" t="s">
        <v>26</v>
      </c>
      <c r="D24" s="2">
        <v>3</v>
      </c>
      <c r="E24" s="2">
        <v>9570615344</v>
      </c>
      <c r="F24" s="2" t="s">
        <v>13</v>
      </c>
      <c r="G24" s="2" t="s">
        <v>20</v>
      </c>
      <c r="H24" s="2" t="s">
        <v>15</v>
      </c>
      <c r="I24" s="2" t="s">
        <v>37</v>
      </c>
      <c r="J24" s="2" t="s">
        <v>22</v>
      </c>
      <c r="L24" s="12"/>
      <c r="M24">
        <f>COUNTIF(C2:C601,"CSE")</f>
        <v>108</v>
      </c>
      <c r="N24">
        <f>COUNTIF(C2:C601,"ME")</f>
        <v>136</v>
      </c>
      <c r="O24">
        <f>COUNTIF(C2:C601,O23)</f>
        <v>131</v>
      </c>
      <c r="P24">
        <f>COUNTIF(C2:C601,P23)</f>
        <v>110</v>
      </c>
      <c r="Q24">
        <f>COUNTIF(C2:C601,Q23)</f>
        <v>115</v>
      </c>
      <c r="T24" s="13"/>
    </row>
    <row r="25" spans="1:20" x14ac:dyDescent="0.3">
      <c r="A25" s="2" t="s">
        <v>179</v>
      </c>
      <c r="B25" s="2" t="s">
        <v>11</v>
      </c>
      <c r="C25" s="2" t="s">
        <v>43</v>
      </c>
      <c r="D25" s="2">
        <v>3</v>
      </c>
      <c r="E25" s="2">
        <v>9700700797</v>
      </c>
      <c r="F25" s="2" t="s">
        <v>13</v>
      </c>
      <c r="G25" s="2" t="s">
        <v>14</v>
      </c>
      <c r="H25" s="2" t="s">
        <v>21</v>
      </c>
      <c r="I25" s="2" t="s">
        <v>41</v>
      </c>
      <c r="J25" s="2" t="s">
        <v>17</v>
      </c>
      <c r="L25" s="14"/>
      <c r="M25" s="15"/>
      <c r="N25" s="15"/>
      <c r="O25" s="15"/>
      <c r="P25" s="15"/>
      <c r="Q25" s="15"/>
      <c r="R25" s="15"/>
      <c r="S25" s="15"/>
      <c r="T25" s="16"/>
    </row>
    <row r="26" spans="1:20" x14ac:dyDescent="0.3">
      <c r="A26" s="2" t="s">
        <v>557</v>
      </c>
      <c r="B26" s="2" t="s">
        <v>32</v>
      </c>
      <c r="C26" s="2" t="s">
        <v>33</v>
      </c>
      <c r="D26" s="2">
        <v>7</v>
      </c>
      <c r="E26" s="2">
        <v>7557752541</v>
      </c>
      <c r="F26" s="2" t="s">
        <v>13</v>
      </c>
      <c r="G26" s="2" t="s">
        <v>14</v>
      </c>
      <c r="H26" s="2" t="s">
        <v>21</v>
      </c>
      <c r="I26" s="2" t="s">
        <v>29</v>
      </c>
      <c r="J26" s="2" t="s">
        <v>22</v>
      </c>
    </row>
    <row r="27" spans="1:20" x14ac:dyDescent="0.3">
      <c r="A27" s="2" t="s">
        <v>130</v>
      </c>
      <c r="B27" s="2" t="s">
        <v>32</v>
      </c>
      <c r="C27" s="2" t="s">
        <v>43</v>
      </c>
      <c r="D27" s="2">
        <v>7</v>
      </c>
      <c r="E27" s="2">
        <v>6859661098</v>
      </c>
      <c r="F27" s="2" t="s">
        <v>13</v>
      </c>
      <c r="G27" s="2" t="s">
        <v>20</v>
      </c>
      <c r="H27" s="2" t="s">
        <v>21</v>
      </c>
      <c r="I27" s="2" t="s">
        <v>29</v>
      </c>
      <c r="J27" s="2" t="s">
        <v>23</v>
      </c>
      <c r="L27" t="s">
        <v>605</v>
      </c>
    </row>
    <row r="28" spans="1:20" hidden="1" x14ac:dyDescent="0.3">
      <c r="A28" s="2" t="s">
        <v>59</v>
      </c>
      <c r="B28" s="2" t="s">
        <v>25</v>
      </c>
      <c r="C28" s="2" t="s">
        <v>12</v>
      </c>
      <c r="D28" s="2">
        <v>5</v>
      </c>
      <c r="E28" s="2">
        <v>7695328163</v>
      </c>
      <c r="F28" s="2" t="s">
        <v>19</v>
      </c>
      <c r="G28" s="2" t="s">
        <v>20</v>
      </c>
      <c r="H28" s="2" t="s">
        <v>15</v>
      </c>
      <c r="I28" s="2" t="s">
        <v>37</v>
      </c>
      <c r="J28" s="2" t="s">
        <v>17</v>
      </c>
    </row>
    <row r="29" spans="1:20" hidden="1" x14ac:dyDescent="0.3">
      <c r="A29" s="2" t="s">
        <v>60</v>
      </c>
      <c r="B29" s="2" t="s">
        <v>32</v>
      </c>
      <c r="C29" s="2" t="s">
        <v>33</v>
      </c>
      <c r="D29" s="2">
        <v>7</v>
      </c>
      <c r="E29" s="2">
        <v>7895155500</v>
      </c>
      <c r="F29" s="2" t="s">
        <v>19</v>
      </c>
      <c r="G29" s="2" t="s">
        <v>14</v>
      </c>
      <c r="H29" s="2" t="s">
        <v>15</v>
      </c>
      <c r="I29" s="2" t="s">
        <v>29</v>
      </c>
      <c r="J29" s="2" t="s">
        <v>23</v>
      </c>
    </row>
    <row r="30" spans="1:20" x14ac:dyDescent="0.3">
      <c r="A30" s="2" t="s">
        <v>474</v>
      </c>
      <c r="B30" s="2" t="s">
        <v>32</v>
      </c>
      <c r="C30" s="2" t="s">
        <v>43</v>
      </c>
      <c r="D30" s="2">
        <v>7</v>
      </c>
      <c r="E30" s="2">
        <v>7241751573</v>
      </c>
      <c r="F30" s="2" t="s">
        <v>13</v>
      </c>
      <c r="G30" s="2" t="s">
        <v>20</v>
      </c>
      <c r="H30" s="2" t="s">
        <v>15</v>
      </c>
      <c r="I30" s="2" t="s">
        <v>22</v>
      </c>
      <c r="J30" s="2" t="s">
        <v>23</v>
      </c>
    </row>
    <row r="31" spans="1:20" x14ac:dyDescent="0.3">
      <c r="A31" s="2" t="s">
        <v>185</v>
      </c>
      <c r="B31" s="2" t="s">
        <v>25</v>
      </c>
      <c r="C31" s="2" t="s">
        <v>36</v>
      </c>
      <c r="D31" s="2">
        <v>5</v>
      </c>
      <c r="E31" s="2">
        <v>8273697068</v>
      </c>
      <c r="F31" s="2" t="s">
        <v>13</v>
      </c>
      <c r="G31" s="2" t="s">
        <v>14</v>
      </c>
      <c r="H31" s="2" t="s">
        <v>21</v>
      </c>
      <c r="I31" s="2" t="s">
        <v>29</v>
      </c>
      <c r="J31" s="2" t="s">
        <v>23</v>
      </c>
      <c r="N31" s="5"/>
      <c r="O31" s="5"/>
      <c r="P31" s="2" t="s">
        <v>21</v>
      </c>
      <c r="Q31" s="5" t="s">
        <v>15</v>
      </c>
    </row>
    <row r="32" spans="1:20" hidden="1" x14ac:dyDescent="0.3">
      <c r="A32" s="2" t="s">
        <v>63</v>
      </c>
      <c r="B32" s="2" t="s">
        <v>32</v>
      </c>
      <c r="C32" s="2" t="s">
        <v>36</v>
      </c>
      <c r="D32" s="2">
        <v>7</v>
      </c>
      <c r="E32" s="2">
        <v>7412875404</v>
      </c>
      <c r="F32" s="2" t="s">
        <v>19</v>
      </c>
      <c r="G32" s="2" t="s">
        <v>20</v>
      </c>
      <c r="H32" s="2" t="s">
        <v>21</v>
      </c>
      <c r="I32" s="2" t="s">
        <v>27</v>
      </c>
      <c r="J32" s="2" t="s">
        <v>22</v>
      </c>
    </row>
    <row r="33" spans="1:17" hidden="1" x14ac:dyDescent="0.3">
      <c r="A33" s="2" t="s">
        <v>64</v>
      </c>
      <c r="B33" s="2" t="s">
        <v>11</v>
      </c>
      <c r="C33" s="2" t="s">
        <v>36</v>
      </c>
      <c r="D33" s="2">
        <v>3</v>
      </c>
      <c r="E33" s="2">
        <v>7169453702</v>
      </c>
      <c r="F33" s="2" t="s">
        <v>19</v>
      </c>
      <c r="G33" s="2" t="s">
        <v>20</v>
      </c>
      <c r="H33" s="2" t="s">
        <v>15</v>
      </c>
      <c r="I33" s="2" t="s">
        <v>22</v>
      </c>
      <c r="J33" s="2" t="s">
        <v>17</v>
      </c>
    </row>
    <row r="34" spans="1:17" x14ac:dyDescent="0.3">
      <c r="A34" s="2" t="s">
        <v>312</v>
      </c>
      <c r="B34" s="2" t="s">
        <v>32</v>
      </c>
      <c r="C34" s="2" t="s">
        <v>43</v>
      </c>
      <c r="D34" s="2">
        <v>7</v>
      </c>
      <c r="E34" s="2">
        <v>6138272229</v>
      </c>
      <c r="F34" s="2" t="s">
        <v>13</v>
      </c>
      <c r="G34" s="2" t="s">
        <v>20</v>
      </c>
      <c r="H34" s="2" t="s">
        <v>15</v>
      </c>
      <c r="I34" s="2" t="s">
        <v>29</v>
      </c>
      <c r="J34" s="2" t="s">
        <v>22</v>
      </c>
      <c r="N34" s="5" t="s">
        <v>7</v>
      </c>
      <c r="O34" s="5"/>
      <c r="P34" s="5">
        <f>COUNTIF(H2:H601,P31)/600*100</f>
        <v>48.333333333333336</v>
      </c>
      <c r="Q34" s="5">
        <f>COUNTIF(H2:H601,Q31)/600*100</f>
        <v>51.666666666666671</v>
      </c>
    </row>
    <row r="35" spans="1:17" hidden="1" x14ac:dyDescent="0.3">
      <c r="A35" s="2" t="s">
        <v>65</v>
      </c>
      <c r="B35" s="2" t="s">
        <v>35</v>
      </c>
      <c r="C35" s="2" t="s">
        <v>36</v>
      </c>
      <c r="D35" s="2">
        <v>1</v>
      </c>
      <c r="E35" s="2">
        <v>7961237762</v>
      </c>
      <c r="F35" s="2" t="s">
        <v>19</v>
      </c>
      <c r="G35" s="2" t="s">
        <v>20</v>
      </c>
      <c r="H35" s="2" t="s">
        <v>21</v>
      </c>
      <c r="I35" s="2" t="s">
        <v>22</v>
      </c>
      <c r="J35" s="2" t="s">
        <v>22</v>
      </c>
    </row>
    <row r="36" spans="1:17" hidden="1" x14ac:dyDescent="0.3">
      <c r="A36" s="2" t="s">
        <v>66</v>
      </c>
      <c r="B36" s="2" t="s">
        <v>11</v>
      </c>
      <c r="C36" s="2" t="s">
        <v>36</v>
      </c>
      <c r="D36" s="2">
        <v>3</v>
      </c>
      <c r="E36" s="2">
        <v>9248280618</v>
      </c>
      <c r="F36" s="2" t="s">
        <v>19</v>
      </c>
      <c r="G36" s="2" t="s">
        <v>14</v>
      </c>
      <c r="H36" s="2" t="s">
        <v>15</v>
      </c>
      <c r="I36" s="2" t="s">
        <v>22</v>
      </c>
      <c r="J36" s="2" t="s">
        <v>23</v>
      </c>
    </row>
    <row r="37" spans="1:17" hidden="1" x14ac:dyDescent="0.3">
      <c r="A37" s="2" t="s">
        <v>67</v>
      </c>
      <c r="B37" s="2" t="s">
        <v>35</v>
      </c>
      <c r="C37" s="2" t="s">
        <v>33</v>
      </c>
      <c r="D37" s="2">
        <v>1</v>
      </c>
      <c r="E37" s="2">
        <v>8834834922</v>
      </c>
      <c r="F37" s="2" t="s">
        <v>19</v>
      </c>
      <c r="G37" s="2" t="s">
        <v>20</v>
      </c>
      <c r="H37" s="2" t="s">
        <v>15</v>
      </c>
      <c r="I37" s="2" t="s">
        <v>22</v>
      </c>
      <c r="J37" s="2" t="s">
        <v>22</v>
      </c>
    </row>
    <row r="38" spans="1:17" x14ac:dyDescent="0.3">
      <c r="A38" s="2" t="s">
        <v>510</v>
      </c>
      <c r="B38" s="2" t="s">
        <v>35</v>
      </c>
      <c r="C38" s="2" t="s">
        <v>43</v>
      </c>
      <c r="D38" s="2">
        <v>1</v>
      </c>
      <c r="E38" s="2">
        <v>7320490624</v>
      </c>
      <c r="F38" s="2" t="s">
        <v>13</v>
      </c>
      <c r="G38" s="2" t="s">
        <v>20</v>
      </c>
      <c r="H38" s="2" t="s">
        <v>21</v>
      </c>
      <c r="I38" s="2" t="s">
        <v>22</v>
      </c>
      <c r="J38" s="2" t="s">
        <v>23</v>
      </c>
    </row>
    <row r="39" spans="1:17" hidden="1" x14ac:dyDescent="0.3">
      <c r="A39" s="2" t="s">
        <v>69</v>
      </c>
      <c r="B39" s="2" t="s">
        <v>11</v>
      </c>
      <c r="C39" s="2" t="s">
        <v>26</v>
      </c>
      <c r="D39" s="2">
        <v>3</v>
      </c>
      <c r="E39" s="2">
        <v>9024007668</v>
      </c>
      <c r="F39" s="2" t="s">
        <v>19</v>
      </c>
      <c r="G39" s="2" t="s">
        <v>20</v>
      </c>
      <c r="H39" s="2" t="s">
        <v>15</v>
      </c>
      <c r="I39" s="2" t="s">
        <v>41</v>
      </c>
      <c r="J39" s="2" t="s">
        <v>17</v>
      </c>
    </row>
    <row r="40" spans="1:17" x14ac:dyDescent="0.3">
      <c r="A40" s="2" t="s">
        <v>501</v>
      </c>
      <c r="B40" s="2" t="s">
        <v>35</v>
      </c>
      <c r="C40" s="2" t="s">
        <v>43</v>
      </c>
      <c r="D40" s="2">
        <v>1</v>
      </c>
      <c r="E40" s="2">
        <v>8829335955</v>
      </c>
      <c r="F40" s="2" t="s">
        <v>13</v>
      </c>
      <c r="G40" s="2" t="s">
        <v>20</v>
      </c>
      <c r="H40" s="2" t="s">
        <v>21</v>
      </c>
      <c r="I40" s="2" t="s">
        <v>22</v>
      </c>
      <c r="J40" s="2" t="s">
        <v>23</v>
      </c>
    </row>
    <row r="41" spans="1:17" hidden="1" x14ac:dyDescent="0.3">
      <c r="A41" s="2" t="s">
        <v>70</v>
      </c>
      <c r="B41" s="2" t="s">
        <v>32</v>
      </c>
      <c r="C41" s="2" t="s">
        <v>33</v>
      </c>
      <c r="D41" s="2">
        <v>7</v>
      </c>
      <c r="E41" s="2">
        <v>9152172923</v>
      </c>
      <c r="F41" s="2" t="s">
        <v>19</v>
      </c>
      <c r="G41" s="2" t="s">
        <v>14</v>
      </c>
      <c r="H41" s="2" t="s">
        <v>15</v>
      </c>
      <c r="I41" s="2" t="s">
        <v>22</v>
      </c>
      <c r="J41" s="2" t="s">
        <v>23</v>
      </c>
    </row>
    <row r="42" spans="1:17" hidden="1" x14ac:dyDescent="0.3">
      <c r="A42" s="2" t="s">
        <v>71</v>
      </c>
      <c r="B42" s="2" t="s">
        <v>32</v>
      </c>
      <c r="C42" s="2" t="s">
        <v>26</v>
      </c>
      <c r="D42" s="2">
        <v>7</v>
      </c>
      <c r="E42" s="2">
        <v>9629974880</v>
      </c>
      <c r="F42" s="2" t="s">
        <v>19</v>
      </c>
      <c r="G42" s="2" t="s">
        <v>20</v>
      </c>
      <c r="H42" s="2" t="s">
        <v>15</v>
      </c>
      <c r="I42" s="2" t="s">
        <v>37</v>
      </c>
      <c r="J42" s="2" t="s">
        <v>23</v>
      </c>
    </row>
    <row r="43" spans="1:17" x14ac:dyDescent="0.3">
      <c r="A43" s="2" t="s">
        <v>55</v>
      </c>
      <c r="B43" s="2" t="s">
        <v>35</v>
      </c>
      <c r="C43" s="2" t="s">
        <v>12</v>
      </c>
      <c r="D43" s="2">
        <v>1</v>
      </c>
      <c r="E43" s="2">
        <v>6412964213</v>
      </c>
      <c r="F43" s="2" t="s">
        <v>13</v>
      </c>
      <c r="G43" s="2" t="s">
        <v>20</v>
      </c>
      <c r="H43" s="2" t="s">
        <v>15</v>
      </c>
      <c r="I43" s="2" t="s">
        <v>41</v>
      </c>
      <c r="J43" s="2" t="s">
        <v>22</v>
      </c>
      <c r="L43" t="s">
        <v>624</v>
      </c>
    </row>
    <row r="44" spans="1:17" x14ac:dyDescent="0.3">
      <c r="A44" s="2" t="s">
        <v>103</v>
      </c>
      <c r="B44" s="2" t="s">
        <v>11</v>
      </c>
      <c r="C44" s="2" t="s">
        <v>43</v>
      </c>
      <c r="D44" s="2">
        <v>3</v>
      </c>
      <c r="E44" s="2">
        <v>9576782874</v>
      </c>
      <c r="F44" s="2" t="s">
        <v>13</v>
      </c>
      <c r="G44" s="2" t="s">
        <v>14</v>
      </c>
      <c r="H44" s="2" t="s">
        <v>21</v>
      </c>
      <c r="I44" s="2" t="s">
        <v>41</v>
      </c>
      <c r="J44" s="2" t="s">
        <v>23</v>
      </c>
    </row>
    <row r="45" spans="1:17" x14ac:dyDescent="0.3">
      <c r="A45" s="2" t="s">
        <v>330</v>
      </c>
      <c r="B45" s="2" t="s">
        <v>11</v>
      </c>
      <c r="C45" s="2" t="s">
        <v>12</v>
      </c>
      <c r="D45" s="2">
        <v>3</v>
      </c>
      <c r="E45" s="2">
        <v>9015229272</v>
      </c>
      <c r="F45" s="2" t="s">
        <v>13</v>
      </c>
      <c r="G45" s="2" t="s">
        <v>14</v>
      </c>
      <c r="H45" s="2" t="s">
        <v>21</v>
      </c>
      <c r="I45" s="2" t="s">
        <v>41</v>
      </c>
      <c r="J45" s="2" t="s">
        <v>22</v>
      </c>
      <c r="L45" t="s">
        <v>607</v>
      </c>
    </row>
    <row r="46" spans="1:17" hidden="1" x14ac:dyDescent="0.3">
      <c r="A46" s="2" t="s">
        <v>75</v>
      </c>
      <c r="B46" s="2" t="s">
        <v>11</v>
      </c>
      <c r="C46" s="2" t="s">
        <v>12</v>
      </c>
      <c r="D46" s="2">
        <v>3</v>
      </c>
      <c r="E46" s="2">
        <v>9121272322</v>
      </c>
      <c r="F46" s="2" t="s">
        <v>19</v>
      </c>
      <c r="G46" s="2" t="s">
        <v>20</v>
      </c>
      <c r="H46" s="2" t="s">
        <v>21</v>
      </c>
      <c r="I46" s="2" t="s">
        <v>37</v>
      </c>
      <c r="J46" s="2" t="s">
        <v>22</v>
      </c>
    </row>
    <row r="47" spans="1:17" hidden="1" x14ac:dyDescent="0.3">
      <c r="A47" s="2" t="s">
        <v>76</v>
      </c>
      <c r="B47" s="2" t="s">
        <v>35</v>
      </c>
      <c r="C47" s="2" t="s">
        <v>12</v>
      </c>
      <c r="D47" s="2">
        <v>1</v>
      </c>
      <c r="E47" s="2">
        <v>6705996210</v>
      </c>
      <c r="F47" s="2" t="s">
        <v>19</v>
      </c>
      <c r="G47" s="2" t="s">
        <v>20</v>
      </c>
      <c r="H47" s="2" t="s">
        <v>21</v>
      </c>
      <c r="I47" s="2" t="s">
        <v>37</v>
      </c>
      <c r="J47" s="2" t="s">
        <v>22</v>
      </c>
    </row>
    <row r="48" spans="1:17" x14ac:dyDescent="0.3">
      <c r="A48" s="2" t="s">
        <v>464</v>
      </c>
      <c r="B48" s="2" t="s">
        <v>32</v>
      </c>
      <c r="C48" s="2" t="s">
        <v>33</v>
      </c>
      <c r="D48" s="2">
        <v>7</v>
      </c>
      <c r="E48" s="2">
        <v>9055636678</v>
      </c>
      <c r="F48" s="2" t="s">
        <v>13</v>
      </c>
      <c r="G48" s="2" t="s">
        <v>14</v>
      </c>
      <c r="H48" s="2" t="s">
        <v>21</v>
      </c>
      <c r="I48" s="2" t="s">
        <v>16</v>
      </c>
      <c r="J48" s="2" t="s">
        <v>22</v>
      </c>
    </row>
    <row r="49" spans="1:16" x14ac:dyDescent="0.3">
      <c r="A49" s="2" t="s">
        <v>223</v>
      </c>
      <c r="B49" s="2" t="s">
        <v>25</v>
      </c>
      <c r="C49" s="2" t="s">
        <v>43</v>
      </c>
      <c r="D49" s="2">
        <v>5</v>
      </c>
      <c r="E49" s="2">
        <v>7220972702</v>
      </c>
      <c r="F49" s="2" t="s">
        <v>13</v>
      </c>
      <c r="G49" s="2" t="s">
        <v>20</v>
      </c>
      <c r="H49" s="2" t="s">
        <v>21</v>
      </c>
      <c r="I49" s="2" t="s">
        <v>16</v>
      </c>
      <c r="J49" s="2" t="s">
        <v>22</v>
      </c>
      <c r="L49" s="5"/>
      <c r="M49" s="5"/>
      <c r="N49" s="17" t="s">
        <v>626</v>
      </c>
      <c r="O49" s="17"/>
      <c r="P49" s="5"/>
    </row>
    <row r="50" spans="1:16" x14ac:dyDescent="0.3">
      <c r="A50" s="2" t="s">
        <v>485</v>
      </c>
      <c r="B50" s="2" t="s">
        <v>25</v>
      </c>
      <c r="C50" s="2" t="s">
        <v>26</v>
      </c>
      <c r="D50" s="2">
        <v>5</v>
      </c>
      <c r="E50" s="2">
        <v>8938331095</v>
      </c>
      <c r="F50" s="2" t="s">
        <v>13</v>
      </c>
      <c r="G50" s="2" t="s">
        <v>20</v>
      </c>
      <c r="H50" s="2" t="s">
        <v>21</v>
      </c>
      <c r="I50" s="2" t="s">
        <v>41</v>
      </c>
      <c r="J50" s="2" t="s">
        <v>17</v>
      </c>
      <c r="L50" s="5"/>
      <c r="M50" s="2" t="s">
        <v>625</v>
      </c>
      <c r="N50" s="5">
        <f>COUNTIF(G2:G601,"No")</f>
        <v>325</v>
      </c>
      <c r="O50" s="5"/>
      <c r="P50" s="5"/>
    </row>
    <row r="51" spans="1:16" hidden="1" x14ac:dyDescent="0.3">
      <c r="A51" s="2" t="s">
        <v>80</v>
      </c>
      <c r="B51" s="2" t="s">
        <v>32</v>
      </c>
      <c r="C51" s="2" t="s">
        <v>43</v>
      </c>
      <c r="D51" s="2">
        <v>7</v>
      </c>
      <c r="E51" s="2">
        <v>9487563540</v>
      </c>
      <c r="F51" s="2" t="s">
        <v>19</v>
      </c>
      <c r="G51" s="2" t="s">
        <v>14</v>
      </c>
      <c r="H51" s="2" t="s">
        <v>21</v>
      </c>
      <c r="I51" s="2" t="s">
        <v>29</v>
      </c>
      <c r="J51" s="2" t="s">
        <v>17</v>
      </c>
    </row>
    <row r="52" spans="1:16" x14ac:dyDescent="0.3">
      <c r="A52" s="2" t="s">
        <v>366</v>
      </c>
      <c r="B52" s="2" t="s">
        <v>35</v>
      </c>
      <c r="C52" s="2" t="s">
        <v>43</v>
      </c>
      <c r="D52" s="2">
        <v>1</v>
      </c>
      <c r="E52" s="2">
        <v>9133319189</v>
      </c>
      <c r="F52" s="2" t="s">
        <v>13</v>
      </c>
      <c r="G52" s="2" t="s">
        <v>14</v>
      </c>
      <c r="H52" s="2" t="s">
        <v>15</v>
      </c>
      <c r="I52" s="2" t="s">
        <v>22</v>
      </c>
      <c r="J52" s="2" t="s">
        <v>22</v>
      </c>
    </row>
    <row r="53" spans="1:16" x14ac:dyDescent="0.3">
      <c r="A53" s="2" t="s">
        <v>393</v>
      </c>
      <c r="B53" s="2" t="s">
        <v>11</v>
      </c>
      <c r="C53" s="2" t="s">
        <v>26</v>
      </c>
      <c r="D53" s="2">
        <v>3</v>
      </c>
      <c r="E53" s="2">
        <v>6410931184</v>
      </c>
      <c r="F53" s="2" t="s">
        <v>13</v>
      </c>
      <c r="G53" s="2" t="s">
        <v>20</v>
      </c>
      <c r="H53" s="2" t="s">
        <v>15</v>
      </c>
      <c r="I53" s="2" t="s">
        <v>27</v>
      </c>
      <c r="J53" s="2" t="s">
        <v>23</v>
      </c>
    </row>
    <row r="54" spans="1:16" hidden="1" x14ac:dyDescent="0.3">
      <c r="A54" s="2" t="s">
        <v>82</v>
      </c>
      <c r="B54" s="2" t="s">
        <v>32</v>
      </c>
      <c r="C54" s="2" t="s">
        <v>26</v>
      </c>
      <c r="D54" s="2">
        <v>7</v>
      </c>
      <c r="E54" s="2">
        <v>6729820575</v>
      </c>
      <c r="F54" s="2" t="s">
        <v>19</v>
      </c>
      <c r="G54" s="2" t="s">
        <v>14</v>
      </c>
      <c r="H54" s="2" t="s">
        <v>21</v>
      </c>
      <c r="I54" s="2" t="s">
        <v>37</v>
      </c>
      <c r="J54" s="2" t="s">
        <v>23</v>
      </c>
    </row>
    <row r="55" spans="1:16" ht="15" x14ac:dyDescent="0.35">
      <c r="A55" s="2" t="s">
        <v>127</v>
      </c>
      <c r="B55" s="2" t="s">
        <v>11</v>
      </c>
      <c r="C55" s="2" t="s">
        <v>33</v>
      </c>
      <c r="D55" s="2">
        <v>3</v>
      </c>
      <c r="E55" s="2">
        <v>9532838511</v>
      </c>
      <c r="F55" s="2" t="s">
        <v>13</v>
      </c>
      <c r="G55" s="2" t="s">
        <v>20</v>
      </c>
      <c r="H55" s="2" t="s">
        <v>21</v>
      </c>
      <c r="I55" s="2" t="s">
        <v>41</v>
      </c>
      <c r="J55" s="2" t="s">
        <v>17</v>
      </c>
      <c r="L55" s="18" t="s">
        <v>629</v>
      </c>
    </row>
    <row r="56" spans="1:16" x14ac:dyDescent="0.3">
      <c r="A56" s="2" t="s">
        <v>256</v>
      </c>
      <c r="B56" s="2" t="s">
        <v>35</v>
      </c>
      <c r="C56" s="2" t="s">
        <v>43</v>
      </c>
      <c r="D56" s="2">
        <v>1</v>
      </c>
      <c r="E56" s="2">
        <v>8182528183</v>
      </c>
      <c r="F56" s="2" t="s">
        <v>13</v>
      </c>
      <c r="G56" s="2" t="s">
        <v>14</v>
      </c>
      <c r="H56" s="2" t="s">
        <v>21</v>
      </c>
      <c r="I56" s="2" t="s">
        <v>22</v>
      </c>
      <c r="J56" s="2" t="s">
        <v>23</v>
      </c>
    </row>
    <row r="57" spans="1:16" x14ac:dyDescent="0.3">
      <c r="A57" s="2" t="s">
        <v>460</v>
      </c>
      <c r="B57" s="2" t="s">
        <v>25</v>
      </c>
      <c r="C57" s="2" t="s">
        <v>43</v>
      </c>
      <c r="D57" s="2">
        <v>5</v>
      </c>
      <c r="E57" s="2">
        <v>9674474748</v>
      </c>
      <c r="F57" s="2" t="s">
        <v>13</v>
      </c>
      <c r="G57" s="2" t="s">
        <v>14</v>
      </c>
      <c r="H57" s="2" t="s">
        <v>21</v>
      </c>
      <c r="I57" s="2" t="s">
        <v>16</v>
      </c>
      <c r="J57" s="2" t="s">
        <v>22</v>
      </c>
      <c r="L57" s="27"/>
    </row>
    <row r="58" spans="1:16" x14ac:dyDescent="0.3">
      <c r="A58" s="2" t="s">
        <v>173</v>
      </c>
      <c r="B58" s="2" t="s">
        <v>25</v>
      </c>
      <c r="C58" s="2" t="s">
        <v>12</v>
      </c>
      <c r="D58" s="2">
        <v>5</v>
      </c>
      <c r="E58" s="2">
        <v>9668771037</v>
      </c>
      <c r="F58" s="2" t="s">
        <v>13</v>
      </c>
      <c r="G58" s="2" t="s">
        <v>14</v>
      </c>
      <c r="H58" s="2" t="s">
        <v>21</v>
      </c>
      <c r="I58" s="2" t="s">
        <v>41</v>
      </c>
      <c r="J58" s="2" t="s">
        <v>17</v>
      </c>
      <c r="L58" s="27"/>
    </row>
    <row r="59" spans="1:16" hidden="1" x14ac:dyDescent="0.3">
      <c r="A59" s="2" t="s">
        <v>87</v>
      </c>
      <c r="B59" s="2" t="s">
        <v>11</v>
      </c>
      <c r="C59" s="2" t="s">
        <v>33</v>
      </c>
      <c r="D59" s="2">
        <v>3</v>
      </c>
      <c r="E59" s="2">
        <v>8371487617</v>
      </c>
      <c r="F59" s="2" t="s">
        <v>19</v>
      </c>
      <c r="G59" s="2" t="s">
        <v>20</v>
      </c>
      <c r="H59" s="2" t="s">
        <v>21</v>
      </c>
      <c r="I59" s="2" t="s">
        <v>37</v>
      </c>
      <c r="J59" s="2" t="s">
        <v>22</v>
      </c>
    </row>
    <row r="60" spans="1:16" hidden="1" x14ac:dyDescent="0.3">
      <c r="A60" s="2" t="s">
        <v>88</v>
      </c>
      <c r="B60" s="2" t="s">
        <v>35</v>
      </c>
      <c r="C60" s="2" t="s">
        <v>43</v>
      </c>
      <c r="D60" s="2">
        <v>1</v>
      </c>
      <c r="E60" s="2">
        <v>9944199582</v>
      </c>
      <c r="F60" s="2" t="s">
        <v>19</v>
      </c>
      <c r="G60" s="2" t="s">
        <v>20</v>
      </c>
      <c r="H60" s="2" t="s">
        <v>15</v>
      </c>
      <c r="I60" s="2" t="s">
        <v>37</v>
      </c>
      <c r="J60" s="2" t="s">
        <v>23</v>
      </c>
    </row>
    <row r="61" spans="1:16" x14ac:dyDescent="0.3">
      <c r="A61" s="2" t="s">
        <v>331</v>
      </c>
      <c r="B61" s="2" t="s">
        <v>35</v>
      </c>
      <c r="C61" s="2" t="s">
        <v>26</v>
      </c>
      <c r="D61" s="2">
        <v>1</v>
      </c>
      <c r="E61" s="2">
        <v>7589063584</v>
      </c>
      <c r="F61" s="2" t="s">
        <v>13</v>
      </c>
      <c r="G61" s="2" t="s">
        <v>14</v>
      </c>
      <c r="H61" s="2" t="s">
        <v>21</v>
      </c>
      <c r="I61" s="2" t="s">
        <v>22</v>
      </c>
      <c r="J61" s="2" t="s">
        <v>17</v>
      </c>
    </row>
    <row r="62" spans="1:16" x14ac:dyDescent="0.3">
      <c r="A62" s="2" t="s">
        <v>233</v>
      </c>
      <c r="B62" s="2" t="s">
        <v>35</v>
      </c>
      <c r="C62" s="2" t="s">
        <v>43</v>
      </c>
      <c r="D62" s="2">
        <v>1</v>
      </c>
      <c r="E62" s="2">
        <v>8363850369</v>
      </c>
      <c r="F62" s="2" t="s">
        <v>13</v>
      </c>
      <c r="G62" s="2" t="s">
        <v>20</v>
      </c>
      <c r="H62" s="2" t="s">
        <v>21</v>
      </c>
      <c r="I62" s="2" t="s">
        <v>37</v>
      </c>
      <c r="J62" s="2" t="s">
        <v>17</v>
      </c>
    </row>
    <row r="63" spans="1:16" x14ac:dyDescent="0.3">
      <c r="A63" s="2" t="s">
        <v>338</v>
      </c>
      <c r="B63" s="2" t="s">
        <v>32</v>
      </c>
      <c r="C63" s="2" t="s">
        <v>12</v>
      </c>
      <c r="D63" s="2">
        <v>7</v>
      </c>
      <c r="E63" s="2">
        <v>9176378136</v>
      </c>
      <c r="F63" s="2" t="s">
        <v>13</v>
      </c>
      <c r="G63" s="2" t="s">
        <v>14</v>
      </c>
      <c r="H63" s="2" t="s">
        <v>15</v>
      </c>
      <c r="I63" s="2" t="s">
        <v>22</v>
      </c>
      <c r="J63" s="2" t="s">
        <v>23</v>
      </c>
    </row>
    <row r="64" spans="1:16" x14ac:dyDescent="0.3">
      <c r="A64" s="2" t="s">
        <v>155</v>
      </c>
      <c r="B64" s="2" t="s">
        <v>25</v>
      </c>
      <c r="C64" s="2" t="s">
        <v>12</v>
      </c>
      <c r="D64" s="2">
        <v>5</v>
      </c>
      <c r="E64" s="2">
        <v>7496307145</v>
      </c>
      <c r="F64" s="2" t="s">
        <v>13</v>
      </c>
      <c r="G64" s="2" t="s">
        <v>14</v>
      </c>
      <c r="H64" s="2" t="s">
        <v>15</v>
      </c>
      <c r="I64" s="2" t="s">
        <v>37</v>
      </c>
      <c r="J64" s="2" t="s">
        <v>23</v>
      </c>
    </row>
    <row r="65" spans="1:10" hidden="1" x14ac:dyDescent="0.3">
      <c r="A65" s="2" t="s">
        <v>93</v>
      </c>
      <c r="B65" s="2" t="s">
        <v>11</v>
      </c>
      <c r="C65" s="2" t="s">
        <v>26</v>
      </c>
      <c r="D65" s="2">
        <v>3</v>
      </c>
      <c r="E65" s="2">
        <v>9383367846</v>
      </c>
      <c r="F65" s="2" t="s">
        <v>19</v>
      </c>
      <c r="G65" s="2" t="s">
        <v>14</v>
      </c>
      <c r="H65" s="2" t="s">
        <v>15</v>
      </c>
      <c r="I65" s="2" t="s">
        <v>22</v>
      </c>
      <c r="J65" s="2" t="s">
        <v>23</v>
      </c>
    </row>
    <row r="66" spans="1:10" hidden="1" x14ac:dyDescent="0.3">
      <c r="A66" s="2" t="s">
        <v>94</v>
      </c>
      <c r="B66" s="2" t="s">
        <v>11</v>
      </c>
      <c r="C66" s="2" t="s">
        <v>33</v>
      </c>
      <c r="D66" s="2">
        <v>3</v>
      </c>
      <c r="E66" s="2">
        <v>6676790613</v>
      </c>
      <c r="F66" s="2" t="s">
        <v>19</v>
      </c>
      <c r="G66" s="2" t="s">
        <v>20</v>
      </c>
      <c r="H66" s="2" t="s">
        <v>15</v>
      </c>
      <c r="I66" s="2" t="s">
        <v>22</v>
      </c>
      <c r="J66" s="2" t="s">
        <v>22</v>
      </c>
    </row>
    <row r="67" spans="1:10" x14ac:dyDescent="0.3">
      <c r="A67" s="2" t="s">
        <v>58</v>
      </c>
      <c r="B67" s="2" t="s">
        <v>25</v>
      </c>
      <c r="C67" s="2" t="s">
        <v>33</v>
      </c>
      <c r="D67" s="2">
        <v>5</v>
      </c>
      <c r="E67" s="2">
        <v>9046695504</v>
      </c>
      <c r="F67" s="2" t="s">
        <v>13</v>
      </c>
      <c r="G67" s="2" t="s">
        <v>20</v>
      </c>
      <c r="H67" s="2" t="s">
        <v>15</v>
      </c>
      <c r="I67" s="2" t="s">
        <v>22</v>
      </c>
      <c r="J67" s="2" t="s">
        <v>17</v>
      </c>
    </row>
    <row r="68" spans="1:10" hidden="1" x14ac:dyDescent="0.3">
      <c r="A68" s="2" t="s">
        <v>96</v>
      </c>
      <c r="B68" s="2" t="s">
        <v>35</v>
      </c>
      <c r="C68" s="2" t="s">
        <v>26</v>
      </c>
      <c r="D68" s="2">
        <v>1</v>
      </c>
      <c r="E68" s="2">
        <v>6812154144</v>
      </c>
      <c r="F68" s="2" t="s">
        <v>19</v>
      </c>
      <c r="G68" s="2" t="s">
        <v>20</v>
      </c>
      <c r="H68" s="2" t="s">
        <v>15</v>
      </c>
      <c r="I68" s="2" t="s">
        <v>22</v>
      </c>
      <c r="J68" s="2" t="s">
        <v>17</v>
      </c>
    </row>
    <row r="69" spans="1:10" hidden="1" x14ac:dyDescent="0.3">
      <c r="A69" s="2" t="s">
        <v>97</v>
      </c>
      <c r="B69" s="2" t="s">
        <v>11</v>
      </c>
      <c r="C69" s="2" t="s">
        <v>33</v>
      </c>
      <c r="D69" s="2">
        <v>3</v>
      </c>
      <c r="E69" s="2">
        <v>8905105497</v>
      </c>
      <c r="F69" s="2" t="s">
        <v>19</v>
      </c>
      <c r="G69" s="2" t="s">
        <v>14</v>
      </c>
      <c r="H69" s="2" t="s">
        <v>21</v>
      </c>
      <c r="I69" s="2" t="s">
        <v>27</v>
      </c>
      <c r="J69" s="2" t="s">
        <v>17</v>
      </c>
    </row>
    <row r="70" spans="1:10" x14ac:dyDescent="0.3">
      <c r="A70" s="2" t="s">
        <v>529</v>
      </c>
      <c r="B70" s="2" t="s">
        <v>25</v>
      </c>
      <c r="C70" s="2" t="s">
        <v>26</v>
      </c>
      <c r="D70" s="2">
        <v>5</v>
      </c>
      <c r="E70" s="2">
        <v>8328043599</v>
      </c>
      <c r="F70" s="2" t="s">
        <v>13</v>
      </c>
      <c r="G70" s="2" t="s">
        <v>14</v>
      </c>
      <c r="H70" s="2" t="s">
        <v>15</v>
      </c>
      <c r="I70" s="2" t="s">
        <v>29</v>
      </c>
      <c r="J70" s="2" t="s">
        <v>23</v>
      </c>
    </row>
    <row r="71" spans="1:10" x14ac:dyDescent="0.3">
      <c r="A71" s="2" t="s">
        <v>305</v>
      </c>
      <c r="B71" s="2" t="s">
        <v>25</v>
      </c>
      <c r="C71" s="2" t="s">
        <v>36</v>
      </c>
      <c r="D71" s="2">
        <v>5</v>
      </c>
      <c r="E71" s="2">
        <v>9250606038</v>
      </c>
      <c r="F71" s="2" t="s">
        <v>13</v>
      </c>
      <c r="G71" s="2" t="s">
        <v>14</v>
      </c>
      <c r="H71" s="2" t="s">
        <v>15</v>
      </c>
      <c r="I71" s="2" t="s">
        <v>37</v>
      </c>
      <c r="J71" s="2" t="s">
        <v>23</v>
      </c>
    </row>
    <row r="72" spans="1:10" hidden="1" x14ac:dyDescent="0.3">
      <c r="A72" s="2" t="s">
        <v>100</v>
      </c>
      <c r="B72" s="2" t="s">
        <v>25</v>
      </c>
      <c r="C72" s="2" t="s">
        <v>12</v>
      </c>
      <c r="D72" s="2">
        <v>5</v>
      </c>
      <c r="E72" s="2">
        <v>8818744554</v>
      </c>
      <c r="F72" s="2" t="s">
        <v>19</v>
      </c>
      <c r="G72" s="2" t="s">
        <v>14</v>
      </c>
      <c r="H72" s="2" t="s">
        <v>21</v>
      </c>
      <c r="I72" s="2" t="s">
        <v>41</v>
      </c>
      <c r="J72" s="2" t="s">
        <v>23</v>
      </c>
    </row>
    <row r="73" spans="1:10" hidden="1" x14ac:dyDescent="0.3">
      <c r="A73" s="2" t="s">
        <v>101</v>
      </c>
      <c r="B73" s="2" t="s">
        <v>35</v>
      </c>
      <c r="C73" s="2" t="s">
        <v>43</v>
      </c>
      <c r="D73" s="2">
        <v>1</v>
      </c>
      <c r="E73" s="2">
        <v>9424927040</v>
      </c>
      <c r="F73" s="2" t="s">
        <v>19</v>
      </c>
      <c r="G73" s="2" t="s">
        <v>20</v>
      </c>
      <c r="H73" s="2" t="s">
        <v>15</v>
      </c>
      <c r="I73" s="2" t="s">
        <v>22</v>
      </c>
      <c r="J73" s="2" t="s">
        <v>22</v>
      </c>
    </row>
    <row r="74" spans="1:10" x14ac:dyDescent="0.3">
      <c r="A74" s="2" t="s">
        <v>599</v>
      </c>
      <c r="B74" s="2" t="s">
        <v>25</v>
      </c>
      <c r="C74" s="2" t="s">
        <v>33</v>
      </c>
      <c r="D74" s="2">
        <v>5</v>
      </c>
      <c r="E74" s="2">
        <v>8782214667</v>
      </c>
      <c r="F74" s="2" t="s">
        <v>13</v>
      </c>
      <c r="G74" s="2" t="s">
        <v>14</v>
      </c>
      <c r="H74" s="2" t="s">
        <v>21</v>
      </c>
      <c r="I74" s="2" t="s">
        <v>16</v>
      </c>
      <c r="J74" s="2" t="s">
        <v>17</v>
      </c>
    </row>
    <row r="75" spans="1:10" x14ac:dyDescent="0.3">
      <c r="A75" s="2" t="s">
        <v>216</v>
      </c>
      <c r="B75" s="2" t="s">
        <v>25</v>
      </c>
      <c r="C75" s="2" t="s">
        <v>12</v>
      </c>
      <c r="D75" s="2">
        <v>5</v>
      </c>
      <c r="E75" s="2">
        <v>6525704052</v>
      </c>
      <c r="F75" s="2" t="s">
        <v>13</v>
      </c>
      <c r="G75" s="2" t="s">
        <v>20</v>
      </c>
      <c r="H75" s="2" t="s">
        <v>21</v>
      </c>
      <c r="I75" s="2" t="s">
        <v>22</v>
      </c>
      <c r="J75" s="2" t="s">
        <v>23</v>
      </c>
    </row>
    <row r="76" spans="1:10" x14ac:dyDescent="0.3">
      <c r="A76" s="2" t="s">
        <v>101</v>
      </c>
      <c r="B76" s="2" t="s">
        <v>25</v>
      </c>
      <c r="C76" s="2" t="s">
        <v>26</v>
      </c>
      <c r="D76" s="2">
        <v>5</v>
      </c>
      <c r="E76" s="2">
        <v>9623694323</v>
      </c>
      <c r="F76" s="2" t="s">
        <v>13</v>
      </c>
      <c r="G76" s="2" t="s">
        <v>14</v>
      </c>
      <c r="H76" s="2" t="s">
        <v>15</v>
      </c>
      <c r="I76" s="2" t="s">
        <v>22</v>
      </c>
      <c r="J76" s="2" t="s">
        <v>22</v>
      </c>
    </row>
    <row r="77" spans="1:10" hidden="1" x14ac:dyDescent="0.3">
      <c r="A77" s="2" t="s">
        <v>105</v>
      </c>
      <c r="B77" s="2" t="s">
        <v>32</v>
      </c>
      <c r="C77" s="2" t="s">
        <v>36</v>
      </c>
      <c r="D77" s="2">
        <v>7</v>
      </c>
      <c r="E77" s="2">
        <v>6568918318</v>
      </c>
      <c r="F77" s="2" t="s">
        <v>19</v>
      </c>
      <c r="G77" s="2" t="s">
        <v>14</v>
      </c>
      <c r="H77" s="2" t="s">
        <v>15</v>
      </c>
      <c r="I77" s="2" t="s">
        <v>41</v>
      </c>
      <c r="J77" s="2" t="s">
        <v>23</v>
      </c>
    </row>
    <row r="78" spans="1:10" hidden="1" x14ac:dyDescent="0.3">
      <c r="A78" s="2" t="s">
        <v>106</v>
      </c>
      <c r="B78" s="2" t="s">
        <v>32</v>
      </c>
      <c r="C78" s="2" t="s">
        <v>26</v>
      </c>
      <c r="D78" s="2">
        <v>7</v>
      </c>
      <c r="E78" s="2">
        <v>8534088133</v>
      </c>
      <c r="F78" s="2" t="s">
        <v>19</v>
      </c>
      <c r="G78" s="2" t="s">
        <v>20</v>
      </c>
      <c r="H78" s="2" t="s">
        <v>21</v>
      </c>
      <c r="I78" s="2" t="s">
        <v>37</v>
      </c>
      <c r="J78" s="2" t="s">
        <v>22</v>
      </c>
    </row>
    <row r="79" spans="1:10" hidden="1" x14ac:dyDescent="0.3">
      <c r="A79" s="2" t="s">
        <v>107</v>
      </c>
      <c r="B79" s="2" t="s">
        <v>25</v>
      </c>
      <c r="C79" s="2" t="s">
        <v>43</v>
      </c>
      <c r="D79" s="2">
        <v>5</v>
      </c>
      <c r="E79" s="2">
        <v>9488762609</v>
      </c>
      <c r="F79" s="2" t="s">
        <v>19</v>
      </c>
      <c r="G79" s="2" t="s">
        <v>20</v>
      </c>
      <c r="H79" s="2" t="s">
        <v>15</v>
      </c>
      <c r="I79" s="2" t="s">
        <v>29</v>
      </c>
      <c r="J79" s="2" t="s">
        <v>23</v>
      </c>
    </row>
    <row r="80" spans="1:10" hidden="1" x14ac:dyDescent="0.3">
      <c r="A80" s="2" t="s">
        <v>108</v>
      </c>
      <c r="B80" s="2" t="s">
        <v>25</v>
      </c>
      <c r="C80" s="2" t="s">
        <v>26</v>
      </c>
      <c r="D80" s="2">
        <v>5</v>
      </c>
      <c r="E80" s="2">
        <v>6783558278</v>
      </c>
      <c r="F80" s="2" t="s">
        <v>19</v>
      </c>
      <c r="G80" s="2" t="s">
        <v>20</v>
      </c>
      <c r="H80" s="2" t="s">
        <v>21</v>
      </c>
      <c r="I80" s="2" t="s">
        <v>22</v>
      </c>
      <c r="J80" s="2" t="s">
        <v>23</v>
      </c>
    </row>
    <row r="81" spans="1:10" hidden="1" x14ac:dyDescent="0.3">
      <c r="A81" s="2" t="s">
        <v>109</v>
      </c>
      <c r="B81" s="2" t="s">
        <v>32</v>
      </c>
      <c r="C81" s="2" t="s">
        <v>43</v>
      </c>
      <c r="D81" s="2">
        <v>7</v>
      </c>
      <c r="E81" s="2">
        <v>7114639370</v>
      </c>
      <c r="F81" s="2" t="s">
        <v>19</v>
      </c>
      <c r="G81" s="2" t="s">
        <v>20</v>
      </c>
      <c r="H81" s="2" t="s">
        <v>15</v>
      </c>
      <c r="I81" s="2" t="s">
        <v>16</v>
      </c>
      <c r="J81" s="2" t="s">
        <v>22</v>
      </c>
    </row>
    <row r="82" spans="1:10" hidden="1" x14ac:dyDescent="0.3">
      <c r="A82" s="2" t="s">
        <v>110</v>
      </c>
      <c r="B82" s="2" t="s">
        <v>32</v>
      </c>
      <c r="C82" s="2" t="s">
        <v>43</v>
      </c>
      <c r="D82" s="2">
        <v>7</v>
      </c>
      <c r="E82" s="2">
        <v>6590416131</v>
      </c>
      <c r="F82" s="2" t="s">
        <v>19</v>
      </c>
      <c r="G82" s="2" t="s">
        <v>20</v>
      </c>
      <c r="H82" s="2" t="s">
        <v>21</v>
      </c>
      <c r="I82" s="2" t="s">
        <v>22</v>
      </c>
      <c r="J82" s="2" t="s">
        <v>22</v>
      </c>
    </row>
    <row r="83" spans="1:10" x14ac:dyDescent="0.3">
      <c r="A83" s="2" t="s">
        <v>457</v>
      </c>
      <c r="B83" s="2" t="s">
        <v>11</v>
      </c>
      <c r="C83" s="2" t="s">
        <v>12</v>
      </c>
      <c r="D83" s="2">
        <v>3</v>
      </c>
      <c r="E83" s="2">
        <v>7517974835</v>
      </c>
      <c r="F83" s="2" t="s">
        <v>13</v>
      </c>
      <c r="G83" s="2" t="s">
        <v>14</v>
      </c>
      <c r="H83" s="2" t="s">
        <v>15</v>
      </c>
      <c r="I83" s="2" t="s">
        <v>16</v>
      </c>
      <c r="J83" s="2" t="s">
        <v>22</v>
      </c>
    </row>
    <row r="84" spans="1:10" hidden="1" x14ac:dyDescent="0.3">
      <c r="A84" s="2" t="s">
        <v>112</v>
      </c>
      <c r="B84" s="2" t="s">
        <v>35</v>
      </c>
      <c r="C84" s="2" t="s">
        <v>43</v>
      </c>
      <c r="D84" s="2">
        <v>1</v>
      </c>
      <c r="E84" s="2">
        <v>9661950055</v>
      </c>
      <c r="F84" s="2" t="s">
        <v>19</v>
      </c>
      <c r="G84" s="2" t="s">
        <v>20</v>
      </c>
      <c r="H84" s="2" t="s">
        <v>15</v>
      </c>
      <c r="I84" s="2" t="s">
        <v>22</v>
      </c>
      <c r="J84" s="2" t="s">
        <v>22</v>
      </c>
    </row>
    <row r="85" spans="1:10" x14ac:dyDescent="0.3">
      <c r="A85" s="2" t="s">
        <v>317</v>
      </c>
      <c r="B85" s="2" t="s">
        <v>11</v>
      </c>
      <c r="C85" s="2" t="s">
        <v>33</v>
      </c>
      <c r="D85" s="2">
        <v>3</v>
      </c>
      <c r="E85" s="2">
        <v>9017213082</v>
      </c>
      <c r="F85" s="2" t="s">
        <v>13</v>
      </c>
      <c r="G85" s="2" t="s">
        <v>20</v>
      </c>
      <c r="H85" s="2" t="s">
        <v>21</v>
      </c>
      <c r="I85" s="2" t="s">
        <v>22</v>
      </c>
      <c r="J85" s="2" t="s">
        <v>22</v>
      </c>
    </row>
    <row r="86" spans="1:10" hidden="1" x14ac:dyDescent="0.3">
      <c r="A86" s="2" t="s">
        <v>114</v>
      </c>
      <c r="B86" s="2" t="s">
        <v>32</v>
      </c>
      <c r="C86" s="2" t="s">
        <v>43</v>
      </c>
      <c r="D86" s="2">
        <v>7</v>
      </c>
      <c r="E86" s="2">
        <v>9402112728</v>
      </c>
      <c r="F86" s="2" t="s">
        <v>19</v>
      </c>
      <c r="G86" s="2" t="s">
        <v>20</v>
      </c>
      <c r="H86" s="2" t="s">
        <v>21</v>
      </c>
      <c r="I86" s="2" t="s">
        <v>27</v>
      </c>
      <c r="J86" s="2" t="s">
        <v>22</v>
      </c>
    </row>
    <row r="87" spans="1:10" hidden="1" x14ac:dyDescent="0.3">
      <c r="A87" s="2" t="s">
        <v>115</v>
      </c>
      <c r="B87" s="2" t="s">
        <v>25</v>
      </c>
      <c r="C87" s="2" t="s">
        <v>26</v>
      </c>
      <c r="D87" s="2">
        <v>5</v>
      </c>
      <c r="E87" s="2">
        <v>8957856655</v>
      </c>
      <c r="F87" s="2" t="s">
        <v>19</v>
      </c>
      <c r="G87" s="2" t="s">
        <v>14</v>
      </c>
      <c r="H87" s="2" t="s">
        <v>21</v>
      </c>
      <c r="I87" s="2" t="s">
        <v>27</v>
      </c>
      <c r="J87" s="2" t="s">
        <v>23</v>
      </c>
    </row>
    <row r="88" spans="1:10" hidden="1" x14ac:dyDescent="0.3">
      <c r="A88" s="2" t="s">
        <v>116</v>
      </c>
      <c r="B88" s="2" t="s">
        <v>35</v>
      </c>
      <c r="C88" s="2" t="s">
        <v>12</v>
      </c>
      <c r="D88" s="2">
        <v>1</v>
      </c>
      <c r="E88" s="2">
        <v>9703547982</v>
      </c>
      <c r="F88" s="2" t="s">
        <v>19</v>
      </c>
      <c r="G88" s="2" t="s">
        <v>20</v>
      </c>
      <c r="H88" s="2" t="s">
        <v>21</v>
      </c>
      <c r="I88" s="2" t="s">
        <v>29</v>
      </c>
      <c r="J88" s="2" t="s">
        <v>22</v>
      </c>
    </row>
    <row r="89" spans="1:10" x14ac:dyDescent="0.3">
      <c r="A89" s="2" t="s">
        <v>552</v>
      </c>
      <c r="B89" s="2" t="s">
        <v>35</v>
      </c>
      <c r="C89" s="2" t="s">
        <v>36</v>
      </c>
      <c r="D89" s="2">
        <v>1</v>
      </c>
      <c r="E89" s="2">
        <v>9800791989</v>
      </c>
      <c r="F89" s="2" t="s">
        <v>13</v>
      </c>
      <c r="G89" s="2" t="s">
        <v>20</v>
      </c>
      <c r="H89" s="2" t="s">
        <v>21</v>
      </c>
      <c r="I89" s="2" t="s">
        <v>37</v>
      </c>
      <c r="J89" s="2" t="s">
        <v>22</v>
      </c>
    </row>
    <row r="90" spans="1:10" hidden="1" x14ac:dyDescent="0.3">
      <c r="A90" s="2" t="s">
        <v>118</v>
      </c>
      <c r="B90" s="2" t="s">
        <v>35</v>
      </c>
      <c r="C90" s="2" t="s">
        <v>43</v>
      </c>
      <c r="D90" s="2">
        <v>1</v>
      </c>
      <c r="E90" s="2">
        <v>8880845684</v>
      </c>
      <c r="F90" s="2" t="s">
        <v>19</v>
      </c>
      <c r="G90" s="2" t="s">
        <v>14</v>
      </c>
      <c r="H90" s="2" t="s">
        <v>15</v>
      </c>
      <c r="I90" s="2" t="s">
        <v>22</v>
      </c>
      <c r="J90" s="2" t="s">
        <v>17</v>
      </c>
    </row>
    <row r="91" spans="1:10" x14ac:dyDescent="0.3">
      <c r="A91" s="2" t="s">
        <v>72</v>
      </c>
      <c r="B91" s="2" t="s">
        <v>35</v>
      </c>
      <c r="C91" s="2" t="s">
        <v>26</v>
      </c>
      <c r="D91" s="2">
        <v>1</v>
      </c>
      <c r="E91" s="2">
        <v>6510874876</v>
      </c>
      <c r="F91" s="2" t="s">
        <v>13</v>
      </c>
      <c r="G91" s="2" t="s">
        <v>14</v>
      </c>
      <c r="H91" s="2" t="s">
        <v>15</v>
      </c>
      <c r="I91" s="2" t="s">
        <v>41</v>
      </c>
      <c r="J91" s="2" t="s">
        <v>22</v>
      </c>
    </row>
    <row r="92" spans="1:10" hidden="1" x14ac:dyDescent="0.3">
      <c r="A92" s="2" t="s">
        <v>119</v>
      </c>
      <c r="B92" s="2" t="s">
        <v>35</v>
      </c>
      <c r="C92" s="2" t="s">
        <v>36</v>
      </c>
      <c r="D92" s="2">
        <v>1</v>
      </c>
      <c r="E92" s="2">
        <v>7932129220</v>
      </c>
      <c r="F92" s="2" t="s">
        <v>19</v>
      </c>
      <c r="G92" s="2" t="s">
        <v>20</v>
      </c>
      <c r="H92" s="2" t="s">
        <v>15</v>
      </c>
      <c r="I92" s="2" t="s">
        <v>22</v>
      </c>
      <c r="J92" s="2" t="s">
        <v>22</v>
      </c>
    </row>
    <row r="93" spans="1:10" x14ac:dyDescent="0.3">
      <c r="A93" s="2" t="s">
        <v>257</v>
      </c>
      <c r="B93" s="2" t="s">
        <v>35</v>
      </c>
      <c r="C93" s="2" t="s">
        <v>26</v>
      </c>
      <c r="D93" s="2">
        <v>1</v>
      </c>
      <c r="E93" s="2">
        <v>9082299989</v>
      </c>
      <c r="F93" s="2" t="s">
        <v>13</v>
      </c>
      <c r="G93" s="2" t="s">
        <v>14</v>
      </c>
      <c r="H93" s="2" t="s">
        <v>15</v>
      </c>
      <c r="I93" s="2" t="s">
        <v>22</v>
      </c>
      <c r="J93" s="2" t="s">
        <v>22</v>
      </c>
    </row>
    <row r="94" spans="1:10" hidden="1" x14ac:dyDescent="0.3">
      <c r="A94" s="2" t="s">
        <v>121</v>
      </c>
      <c r="B94" s="2" t="s">
        <v>11</v>
      </c>
      <c r="C94" s="2" t="s">
        <v>12</v>
      </c>
      <c r="D94" s="2">
        <v>3</v>
      </c>
      <c r="E94" s="2">
        <v>9212516858</v>
      </c>
      <c r="F94" s="2" t="s">
        <v>19</v>
      </c>
      <c r="G94" s="2" t="s">
        <v>20</v>
      </c>
      <c r="H94" s="2" t="s">
        <v>15</v>
      </c>
      <c r="I94" s="2" t="s">
        <v>27</v>
      </c>
      <c r="J94" s="2" t="s">
        <v>22</v>
      </c>
    </row>
    <row r="95" spans="1:10" x14ac:dyDescent="0.3">
      <c r="A95" s="2" t="s">
        <v>197</v>
      </c>
      <c r="B95" s="2" t="s">
        <v>11</v>
      </c>
      <c r="C95" s="2" t="s">
        <v>33</v>
      </c>
      <c r="D95" s="2">
        <v>3</v>
      </c>
      <c r="E95" s="2">
        <v>9822401303</v>
      </c>
      <c r="F95" s="2" t="s">
        <v>13</v>
      </c>
      <c r="G95" s="2" t="s">
        <v>14</v>
      </c>
      <c r="H95" s="2" t="s">
        <v>21</v>
      </c>
      <c r="I95" s="2" t="s">
        <v>37</v>
      </c>
      <c r="J95" s="2" t="s">
        <v>23</v>
      </c>
    </row>
    <row r="96" spans="1:10" x14ac:dyDescent="0.3">
      <c r="A96" s="2" t="s">
        <v>420</v>
      </c>
      <c r="B96" s="2" t="s">
        <v>32</v>
      </c>
      <c r="C96" s="2" t="s">
        <v>36</v>
      </c>
      <c r="D96" s="2">
        <v>7</v>
      </c>
      <c r="E96" s="2">
        <v>8442835198</v>
      </c>
      <c r="F96" s="2" t="s">
        <v>13</v>
      </c>
      <c r="G96" s="2" t="s">
        <v>20</v>
      </c>
      <c r="H96" s="2" t="s">
        <v>15</v>
      </c>
      <c r="I96" s="2" t="s">
        <v>22</v>
      </c>
      <c r="J96" s="2" t="s">
        <v>17</v>
      </c>
    </row>
    <row r="97" spans="1:10" hidden="1" x14ac:dyDescent="0.3">
      <c r="A97" s="2" t="s">
        <v>124</v>
      </c>
      <c r="B97" s="2" t="s">
        <v>35</v>
      </c>
      <c r="C97" s="2" t="s">
        <v>33</v>
      </c>
      <c r="D97" s="2">
        <v>1</v>
      </c>
      <c r="E97" s="2">
        <v>7687706194</v>
      </c>
      <c r="F97" s="2" t="s">
        <v>19</v>
      </c>
      <c r="G97" s="2" t="s">
        <v>14</v>
      </c>
      <c r="H97" s="2" t="s">
        <v>15</v>
      </c>
      <c r="I97" s="2" t="s">
        <v>29</v>
      </c>
      <c r="J97" s="2" t="s">
        <v>23</v>
      </c>
    </row>
    <row r="98" spans="1:10" hidden="1" x14ac:dyDescent="0.3">
      <c r="A98" s="2" t="s">
        <v>125</v>
      </c>
      <c r="B98" s="2" t="s">
        <v>11</v>
      </c>
      <c r="C98" s="2" t="s">
        <v>43</v>
      </c>
      <c r="D98" s="2">
        <v>3</v>
      </c>
      <c r="E98" s="2">
        <v>8276143334</v>
      </c>
      <c r="F98" s="2" t="s">
        <v>19</v>
      </c>
      <c r="G98" s="2" t="s">
        <v>20</v>
      </c>
      <c r="H98" s="2" t="s">
        <v>21</v>
      </c>
      <c r="I98" s="2" t="s">
        <v>37</v>
      </c>
      <c r="J98" s="2" t="s">
        <v>17</v>
      </c>
    </row>
    <row r="99" spans="1:10" x14ac:dyDescent="0.3">
      <c r="A99" s="2" t="s">
        <v>147</v>
      </c>
      <c r="B99" s="2" t="s">
        <v>25</v>
      </c>
      <c r="C99" s="2" t="s">
        <v>26</v>
      </c>
      <c r="D99" s="2">
        <v>5</v>
      </c>
      <c r="E99" s="2">
        <v>8908130483</v>
      </c>
      <c r="F99" s="2" t="s">
        <v>13</v>
      </c>
      <c r="G99" s="2" t="s">
        <v>14</v>
      </c>
      <c r="H99" s="2" t="s">
        <v>15</v>
      </c>
      <c r="I99" s="2" t="s">
        <v>41</v>
      </c>
      <c r="J99" s="2" t="s">
        <v>17</v>
      </c>
    </row>
    <row r="100" spans="1:10" x14ac:dyDescent="0.3">
      <c r="A100" s="2" t="s">
        <v>589</v>
      </c>
      <c r="B100" s="2" t="s">
        <v>25</v>
      </c>
      <c r="C100" s="2" t="s">
        <v>33</v>
      </c>
      <c r="D100" s="2">
        <v>5</v>
      </c>
      <c r="E100" s="2">
        <v>8856174190</v>
      </c>
      <c r="F100" s="2" t="s">
        <v>13</v>
      </c>
      <c r="G100" s="2" t="s">
        <v>14</v>
      </c>
      <c r="H100" s="2" t="s">
        <v>15</v>
      </c>
      <c r="I100" s="2" t="s">
        <v>22</v>
      </c>
      <c r="J100" s="2" t="s">
        <v>22</v>
      </c>
    </row>
    <row r="101" spans="1:10" hidden="1" x14ac:dyDescent="0.3">
      <c r="A101" s="2" t="s">
        <v>128</v>
      </c>
      <c r="B101" s="2" t="s">
        <v>11</v>
      </c>
      <c r="C101" s="2" t="s">
        <v>43</v>
      </c>
      <c r="D101" s="2">
        <v>3</v>
      </c>
      <c r="E101" s="2">
        <v>6887653316</v>
      </c>
      <c r="F101" s="2" t="s">
        <v>19</v>
      </c>
      <c r="G101" s="2" t="s">
        <v>20</v>
      </c>
      <c r="H101" s="2" t="s">
        <v>15</v>
      </c>
      <c r="I101" s="2" t="s">
        <v>27</v>
      </c>
      <c r="J101" s="2" t="s">
        <v>17</v>
      </c>
    </row>
    <row r="102" spans="1:10" hidden="1" x14ac:dyDescent="0.3">
      <c r="A102" s="2" t="s">
        <v>69</v>
      </c>
      <c r="B102" s="2" t="s">
        <v>11</v>
      </c>
      <c r="C102" s="2" t="s">
        <v>26</v>
      </c>
      <c r="D102" s="2">
        <v>3</v>
      </c>
      <c r="E102" s="2">
        <v>7361517482</v>
      </c>
      <c r="F102" s="2" t="s">
        <v>19</v>
      </c>
      <c r="G102" s="2" t="s">
        <v>14</v>
      </c>
      <c r="H102" s="2" t="s">
        <v>21</v>
      </c>
      <c r="I102" s="2" t="s">
        <v>22</v>
      </c>
      <c r="J102" s="2" t="s">
        <v>17</v>
      </c>
    </row>
    <row r="103" spans="1:10" hidden="1" x14ac:dyDescent="0.3">
      <c r="A103" s="2" t="s">
        <v>129</v>
      </c>
      <c r="B103" s="2" t="s">
        <v>35</v>
      </c>
      <c r="C103" s="2" t="s">
        <v>12</v>
      </c>
      <c r="D103" s="2">
        <v>1</v>
      </c>
      <c r="E103" s="2">
        <v>8498773128</v>
      </c>
      <c r="F103" s="2" t="s">
        <v>19</v>
      </c>
      <c r="G103" s="2" t="s">
        <v>14</v>
      </c>
      <c r="H103" s="2" t="s">
        <v>21</v>
      </c>
      <c r="I103" s="2" t="s">
        <v>22</v>
      </c>
      <c r="J103" s="2" t="s">
        <v>17</v>
      </c>
    </row>
    <row r="104" spans="1:10" x14ac:dyDescent="0.3">
      <c r="A104" s="2" t="s">
        <v>543</v>
      </c>
      <c r="B104" s="2" t="s">
        <v>11</v>
      </c>
      <c r="C104" s="2" t="s">
        <v>43</v>
      </c>
      <c r="D104" s="2">
        <v>3</v>
      </c>
      <c r="E104" s="2">
        <v>8943284099</v>
      </c>
      <c r="F104" s="2" t="s">
        <v>13</v>
      </c>
      <c r="G104" s="2" t="s">
        <v>14</v>
      </c>
      <c r="H104" s="2" t="s">
        <v>15</v>
      </c>
      <c r="I104" s="2" t="s">
        <v>22</v>
      </c>
      <c r="J104" s="2" t="s">
        <v>22</v>
      </c>
    </row>
    <row r="105" spans="1:10" hidden="1" x14ac:dyDescent="0.3">
      <c r="A105" s="2" t="s">
        <v>131</v>
      </c>
      <c r="B105" s="2" t="s">
        <v>25</v>
      </c>
      <c r="C105" s="2" t="s">
        <v>36</v>
      </c>
      <c r="D105" s="2">
        <v>5</v>
      </c>
      <c r="E105" s="2">
        <v>9734558695</v>
      </c>
      <c r="F105" s="2" t="s">
        <v>19</v>
      </c>
      <c r="G105" s="2" t="s">
        <v>14</v>
      </c>
      <c r="H105" s="2" t="s">
        <v>21</v>
      </c>
      <c r="I105" s="2" t="s">
        <v>29</v>
      </c>
      <c r="J105" s="2" t="s">
        <v>22</v>
      </c>
    </row>
    <row r="106" spans="1:10" hidden="1" x14ac:dyDescent="0.3">
      <c r="A106" s="2" t="s">
        <v>132</v>
      </c>
      <c r="B106" s="2" t="s">
        <v>11</v>
      </c>
      <c r="C106" s="2" t="s">
        <v>26</v>
      </c>
      <c r="D106" s="2">
        <v>3</v>
      </c>
      <c r="E106" s="2">
        <v>6157105091</v>
      </c>
      <c r="F106" s="2" t="s">
        <v>19</v>
      </c>
      <c r="G106" s="2" t="s">
        <v>14</v>
      </c>
      <c r="H106" s="2" t="s">
        <v>21</v>
      </c>
      <c r="I106" s="2" t="s">
        <v>22</v>
      </c>
      <c r="J106" s="2" t="s">
        <v>17</v>
      </c>
    </row>
    <row r="107" spans="1:10" x14ac:dyDescent="0.3">
      <c r="A107" s="2" t="s">
        <v>278</v>
      </c>
      <c r="B107" s="2" t="s">
        <v>11</v>
      </c>
      <c r="C107" s="2" t="s">
        <v>12</v>
      </c>
      <c r="D107" s="2">
        <v>3</v>
      </c>
      <c r="E107" s="2">
        <v>7805019973</v>
      </c>
      <c r="F107" s="2" t="s">
        <v>13</v>
      </c>
      <c r="G107" s="2" t="s">
        <v>14</v>
      </c>
      <c r="H107" s="2" t="s">
        <v>21</v>
      </c>
      <c r="I107" s="2" t="s">
        <v>29</v>
      </c>
      <c r="J107" s="2" t="s">
        <v>23</v>
      </c>
    </row>
    <row r="108" spans="1:10" hidden="1" x14ac:dyDescent="0.3">
      <c r="A108" s="2" t="s">
        <v>134</v>
      </c>
      <c r="B108" s="2" t="s">
        <v>32</v>
      </c>
      <c r="C108" s="2" t="s">
        <v>36</v>
      </c>
      <c r="D108" s="2">
        <v>7</v>
      </c>
      <c r="E108" s="2">
        <v>6178349156</v>
      </c>
      <c r="F108" s="2" t="s">
        <v>19</v>
      </c>
      <c r="G108" s="2" t="s">
        <v>14</v>
      </c>
      <c r="H108" s="2" t="s">
        <v>15</v>
      </c>
      <c r="I108" s="2" t="s">
        <v>29</v>
      </c>
      <c r="J108" s="2" t="s">
        <v>17</v>
      </c>
    </row>
    <row r="109" spans="1:10" x14ac:dyDescent="0.3">
      <c r="A109" s="2" t="s">
        <v>178</v>
      </c>
      <c r="B109" s="2" t="s">
        <v>35</v>
      </c>
      <c r="C109" s="2" t="s">
        <v>36</v>
      </c>
      <c r="D109" s="2">
        <v>1</v>
      </c>
      <c r="E109" s="2">
        <v>7068670117</v>
      </c>
      <c r="F109" s="2" t="s">
        <v>13</v>
      </c>
      <c r="G109" s="2" t="s">
        <v>20</v>
      </c>
      <c r="H109" s="2" t="s">
        <v>15</v>
      </c>
      <c r="I109" s="2" t="s">
        <v>22</v>
      </c>
      <c r="J109" s="2" t="s">
        <v>17</v>
      </c>
    </row>
    <row r="110" spans="1:10" hidden="1" x14ac:dyDescent="0.3">
      <c r="A110" s="2" t="s">
        <v>136</v>
      </c>
      <c r="B110" s="2" t="s">
        <v>35</v>
      </c>
      <c r="C110" s="2" t="s">
        <v>43</v>
      </c>
      <c r="D110" s="2">
        <v>1</v>
      </c>
      <c r="E110" s="2">
        <v>7540656138</v>
      </c>
      <c r="F110" s="2" t="s">
        <v>19</v>
      </c>
      <c r="G110" s="2" t="s">
        <v>20</v>
      </c>
      <c r="H110" s="2" t="s">
        <v>21</v>
      </c>
      <c r="I110" s="2" t="s">
        <v>22</v>
      </c>
      <c r="J110" s="2" t="s">
        <v>23</v>
      </c>
    </row>
    <row r="111" spans="1:10" x14ac:dyDescent="0.3">
      <c r="A111" s="2" t="s">
        <v>520</v>
      </c>
      <c r="B111" s="2" t="s">
        <v>11</v>
      </c>
      <c r="C111" s="2" t="s">
        <v>33</v>
      </c>
      <c r="D111" s="2">
        <v>3</v>
      </c>
      <c r="E111" s="2">
        <v>6868890909</v>
      </c>
      <c r="F111" s="2" t="s">
        <v>13</v>
      </c>
      <c r="G111" s="2" t="s">
        <v>14</v>
      </c>
      <c r="H111" s="2" t="s">
        <v>15</v>
      </c>
      <c r="I111" s="2" t="s">
        <v>22</v>
      </c>
      <c r="J111" s="2" t="s">
        <v>23</v>
      </c>
    </row>
    <row r="112" spans="1:10" hidden="1" x14ac:dyDescent="0.3">
      <c r="A112" s="2" t="s">
        <v>138</v>
      </c>
      <c r="B112" s="2" t="s">
        <v>35</v>
      </c>
      <c r="C112" s="2" t="s">
        <v>12</v>
      </c>
      <c r="D112" s="2">
        <v>1</v>
      </c>
      <c r="E112" s="2">
        <v>9145866386</v>
      </c>
      <c r="F112" s="2" t="s">
        <v>19</v>
      </c>
      <c r="G112" s="2" t="s">
        <v>14</v>
      </c>
      <c r="H112" s="2" t="s">
        <v>21</v>
      </c>
      <c r="I112" s="2" t="s">
        <v>29</v>
      </c>
      <c r="J112" s="2" t="s">
        <v>22</v>
      </c>
    </row>
    <row r="113" spans="1:10" hidden="1" x14ac:dyDescent="0.3">
      <c r="A113" s="2" t="s">
        <v>139</v>
      </c>
      <c r="B113" s="2" t="s">
        <v>11</v>
      </c>
      <c r="C113" s="2" t="s">
        <v>36</v>
      </c>
      <c r="D113" s="2">
        <v>3</v>
      </c>
      <c r="E113" s="2">
        <v>7125620888</v>
      </c>
      <c r="F113" s="2" t="s">
        <v>19</v>
      </c>
      <c r="G113" s="2" t="s">
        <v>14</v>
      </c>
      <c r="H113" s="2" t="s">
        <v>21</v>
      </c>
      <c r="I113" s="2" t="s">
        <v>29</v>
      </c>
      <c r="J113" s="2" t="s">
        <v>23</v>
      </c>
    </row>
    <row r="114" spans="1:10" x14ac:dyDescent="0.3">
      <c r="A114" s="2" t="s">
        <v>402</v>
      </c>
      <c r="B114" s="2" t="s">
        <v>32</v>
      </c>
      <c r="C114" s="2" t="s">
        <v>12</v>
      </c>
      <c r="D114" s="2">
        <v>7</v>
      </c>
      <c r="E114" s="2">
        <v>6001798181</v>
      </c>
      <c r="F114" s="2" t="s">
        <v>13</v>
      </c>
      <c r="G114" s="2" t="s">
        <v>20</v>
      </c>
      <c r="H114" s="2" t="s">
        <v>15</v>
      </c>
      <c r="I114" s="2" t="s">
        <v>27</v>
      </c>
      <c r="J114" s="2" t="s">
        <v>23</v>
      </c>
    </row>
    <row r="115" spans="1:10" hidden="1" x14ac:dyDescent="0.3">
      <c r="A115" s="2" t="s">
        <v>140</v>
      </c>
      <c r="B115" s="2" t="s">
        <v>11</v>
      </c>
      <c r="C115" s="2" t="s">
        <v>36</v>
      </c>
      <c r="D115" s="2">
        <v>3</v>
      </c>
      <c r="E115" s="2">
        <v>6223507926</v>
      </c>
      <c r="F115" s="2" t="s">
        <v>19</v>
      </c>
      <c r="G115" s="2" t="s">
        <v>14</v>
      </c>
      <c r="H115" s="2" t="s">
        <v>15</v>
      </c>
      <c r="I115" s="2" t="s">
        <v>41</v>
      </c>
      <c r="J115" s="2" t="s">
        <v>22</v>
      </c>
    </row>
    <row r="116" spans="1:10" x14ac:dyDescent="0.3">
      <c r="A116" s="2" t="s">
        <v>579</v>
      </c>
      <c r="B116" s="2" t="s">
        <v>25</v>
      </c>
      <c r="C116" s="2" t="s">
        <v>12</v>
      </c>
      <c r="D116" s="2">
        <v>5</v>
      </c>
      <c r="E116" s="2">
        <v>9121064857</v>
      </c>
      <c r="F116" s="2" t="s">
        <v>13</v>
      </c>
      <c r="G116" s="2" t="s">
        <v>20</v>
      </c>
      <c r="H116" s="2" t="s">
        <v>15</v>
      </c>
      <c r="I116" s="2" t="s">
        <v>41</v>
      </c>
      <c r="J116" s="2" t="s">
        <v>23</v>
      </c>
    </row>
    <row r="117" spans="1:10" hidden="1" x14ac:dyDescent="0.3">
      <c r="A117" s="2" t="s">
        <v>142</v>
      </c>
      <c r="B117" s="2" t="s">
        <v>11</v>
      </c>
      <c r="C117" s="2" t="s">
        <v>36</v>
      </c>
      <c r="D117" s="2">
        <v>3</v>
      </c>
      <c r="E117" s="2">
        <v>6250787339</v>
      </c>
      <c r="F117" s="2" t="s">
        <v>19</v>
      </c>
      <c r="G117" s="2" t="s">
        <v>14</v>
      </c>
      <c r="H117" s="2" t="s">
        <v>15</v>
      </c>
      <c r="I117" s="2" t="s">
        <v>27</v>
      </c>
      <c r="J117" s="2" t="s">
        <v>23</v>
      </c>
    </row>
    <row r="118" spans="1:10" hidden="1" x14ac:dyDescent="0.3">
      <c r="A118" s="2" t="s">
        <v>143</v>
      </c>
      <c r="B118" s="2" t="s">
        <v>25</v>
      </c>
      <c r="C118" s="2" t="s">
        <v>12</v>
      </c>
      <c r="D118" s="2">
        <v>5</v>
      </c>
      <c r="E118" s="2">
        <v>9353099314</v>
      </c>
      <c r="F118" s="2" t="s">
        <v>19</v>
      </c>
      <c r="G118" s="2" t="s">
        <v>20</v>
      </c>
      <c r="H118" s="2" t="s">
        <v>15</v>
      </c>
      <c r="I118" s="2" t="s">
        <v>27</v>
      </c>
      <c r="J118" s="2" t="s">
        <v>17</v>
      </c>
    </row>
    <row r="119" spans="1:10" hidden="1" x14ac:dyDescent="0.3">
      <c r="A119" s="2" t="s">
        <v>144</v>
      </c>
      <c r="B119" s="2" t="s">
        <v>35</v>
      </c>
      <c r="C119" s="2" t="s">
        <v>33</v>
      </c>
      <c r="D119" s="2">
        <v>1</v>
      </c>
      <c r="E119" s="2">
        <v>9328278943</v>
      </c>
      <c r="F119" s="2" t="s">
        <v>19</v>
      </c>
      <c r="G119" s="2" t="s">
        <v>20</v>
      </c>
      <c r="H119" s="2" t="s">
        <v>21</v>
      </c>
      <c r="I119" s="2" t="s">
        <v>27</v>
      </c>
      <c r="J119" s="2" t="s">
        <v>23</v>
      </c>
    </row>
    <row r="120" spans="1:10" hidden="1" x14ac:dyDescent="0.3">
      <c r="A120" s="2" t="s">
        <v>145</v>
      </c>
      <c r="B120" s="2" t="s">
        <v>25</v>
      </c>
      <c r="C120" s="2" t="s">
        <v>26</v>
      </c>
      <c r="D120" s="2">
        <v>5</v>
      </c>
      <c r="E120" s="2">
        <v>8859283949</v>
      </c>
      <c r="F120" s="2" t="s">
        <v>19</v>
      </c>
      <c r="G120" s="2" t="s">
        <v>20</v>
      </c>
      <c r="H120" s="2" t="s">
        <v>15</v>
      </c>
      <c r="I120" s="2" t="s">
        <v>37</v>
      </c>
      <c r="J120" s="2" t="s">
        <v>22</v>
      </c>
    </row>
    <row r="121" spans="1:10" x14ac:dyDescent="0.3">
      <c r="A121" s="2" t="s">
        <v>551</v>
      </c>
      <c r="B121" s="2" t="s">
        <v>35</v>
      </c>
      <c r="C121" s="2" t="s">
        <v>12</v>
      </c>
      <c r="D121" s="2">
        <v>1</v>
      </c>
      <c r="E121" s="2">
        <v>8901463651</v>
      </c>
      <c r="F121" s="2" t="s">
        <v>13</v>
      </c>
      <c r="G121" s="2" t="s">
        <v>14</v>
      </c>
      <c r="H121" s="2" t="s">
        <v>21</v>
      </c>
      <c r="I121" s="2" t="s">
        <v>22</v>
      </c>
      <c r="J121" s="2" t="s">
        <v>23</v>
      </c>
    </row>
    <row r="122" spans="1:10" x14ac:dyDescent="0.3">
      <c r="A122" s="2" t="s">
        <v>407</v>
      </c>
      <c r="B122" s="2" t="s">
        <v>25</v>
      </c>
      <c r="C122" s="2" t="s">
        <v>12</v>
      </c>
      <c r="D122" s="2">
        <v>5</v>
      </c>
      <c r="E122" s="2">
        <v>7670512345</v>
      </c>
      <c r="F122" s="2" t="s">
        <v>13</v>
      </c>
      <c r="G122" s="2" t="s">
        <v>14</v>
      </c>
      <c r="H122" s="2" t="s">
        <v>15</v>
      </c>
      <c r="I122" s="2" t="s">
        <v>16</v>
      </c>
      <c r="J122" s="2" t="s">
        <v>22</v>
      </c>
    </row>
    <row r="123" spans="1:10" hidden="1" x14ac:dyDescent="0.3">
      <c r="A123" s="2" t="s">
        <v>148</v>
      </c>
      <c r="B123" s="2" t="s">
        <v>11</v>
      </c>
      <c r="C123" s="2" t="s">
        <v>12</v>
      </c>
      <c r="D123" s="2">
        <v>3</v>
      </c>
      <c r="E123" s="2">
        <v>9647080659</v>
      </c>
      <c r="F123" s="2" t="s">
        <v>19</v>
      </c>
      <c r="G123" s="2" t="s">
        <v>14</v>
      </c>
      <c r="H123" s="2" t="s">
        <v>21</v>
      </c>
      <c r="I123" s="2" t="s">
        <v>22</v>
      </c>
      <c r="J123" s="2" t="s">
        <v>23</v>
      </c>
    </row>
    <row r="124" spans="1:10" hidden="1" x14ac:dyDescent="0.3">
      <c r="A124" s="2" t="s">
        <v>149</v>
      </c>
      <c r="B124" s="2" t="s">
        <v>11</v>
      </c>
      <c r="C124" s="2" t="s">
        <v>43</v>
      </c>
      <c r="D124" s="2">
        <v>3</v>
      </c>
      <c r="E124" s="2">
        <v>7637570444</v>
      </c>
      <c r="F124" s="2" t="s">
        <v>19</v>
      </c>
      <c r="G124" s="2" t="s">
        <v>14</v>
      </c>
      <c r="H124" s="2" t="s">
        <v>21</v>
      </c>
      <c r="I124" s="2" t="s">
        <v>41</v>
      </c>
      <c r="J124" s="2" t="s">
        <v>22</v>
      </c>
    </row>
    <row r="125" spans="1:10" hidden="1" x14ac:dyDescent="0.3">
      <c r="A125" s="2" t="s">
        <v>150</v>
      </c>
      <c r="B125" s="2" t="s">
        <v>11</v>
      </c>
      <c r="C125" s="2" t="s">
        <v>43</v>
      </c>
      <c r="D125" s="2">
        <v>3</v>
      </c>
      <c r="E125" s="2">
        <v>8293855360</v>
      </c>
      <c r="F125" s="2" t="s">
        <v>19</v>
      </c>
      <c r="G125" s="2" t="s">
        <v>20</v>
      </c>
      <c r="H125" s="2" t="s">
        <v>15</v>
      </c>
      <c r="I125" s="2" t="s">
        <v>22</v>
      </c>
      <c r="J125" s="2" t="s">
        <v>22</v>
      </c>
    </row>
    <row r="126" spans="1:10" hidden="1" x14ac:dyDescent="0.3">
      <c r="A126" s="2" t="s">
        <v>151</v>
      </c>
      <c r="B126" s="2" t="s">
        <v>11</v>
      </c>
      <c r="C126" s="2" t="s">
        <v>33</v>
      </c>
      <c r="D126" s="2">
        <v>3</v>
      </c>
      <c r="E126" s="2">
        <v>8653670336</v>
      </c>
      <c r="F126" s="2" t="s">
        <v>19</v>
      </c>
      <c r="G126" s="2" t="s">
        <v>20</v>
      </c>
      <c r="H126" s="2" t="s">
        <v>15</v>
      </c>
      <c r="I126" s="2" t="s">
        <v>41</v>
      </c>
      <c r="J126" s="2" t="s">
        <v>17</v>
      </c>
    </row>
    <row r="127" spans="1:10" x14ac:dyDescent="0.3">
      <c r="A127" s="2" t="s">
        <v>293</v>
      </c>
      <c r="B127" s="2" t="s">
        <v>32</v>
      </c>
      <c r="C127" s="2" t="s">
        <v>26</v>
      </c>
      <c r="D127" s="2">
        <v>7</v>
      </c>
      <c r="E127" s="2">
        <v>7453021693</v>
      </c>
      <c r="F127" s="2" t="s">
        <v>13</v>
      </c>
      <c r="G127" s="2" t="s">
        <v>20</v>
      </c>
      <c r="H127" s="2" t="s">
        <v>15</v>
      </c>
      <c r="I127" s="2" t="s">
        <v>29</v>
      </c>
      <c r="J127" s="2" t="s">
        <v>22</v>
      </c>
    </row>
    <row r="128" spans="1:10" hidden="1" x14ac:dyDescent="0.3">
      <c r="A128" s="2" t="s">
        <v>153</v>
      </c>
      <c r="B128" s="2" t="s">
        <v>25</v>
      </c>
      <c r="C128" s="2" t="s">
        <v>12</v>
      </c>
      <c r="D128" s="2">
        <v>5</v>
      </c>
      <c r="E128" s="2">
        <v>8451262589</v>
      </c>
      <c r="F128" s="2" t="s">
        <v>19</v>
      </c>
      <c r="G128" s="2" t="s">
        <v>14</v>
      </c>
      <c r="H128" s="2" t="s">
        <v>15</v>
      </c>
      <c r="I128" s="2" t="s">
        <v>41</v>
      </c>
      <c r="J128" s="2" t="s">
        <v>17</v>
      </c>
    </row>
    <row r="129" spans="1:10" x14ac:dyDescent="0.3">
      <c r="A129" s="2" t="s">
        <v>163</v>
      </c>
      <c r="B129" s="2" t="s">
        <v>35</v>
      </c>
      <c r="C129" s="2" t="s">
        <v>33</v>
      </c>
      <c r="D129" s="2">
        <v>1</v>
      </c>
      <c r="E129" s="2">
        <v>8103405826</v>
      </c>
      <c r="F129" s="2" t="s">
        <v>13</v>
      </c>
      <c r="G129" s="2" t="s">
        <v>20</v>
      </c>
      <c r="H129" s="2" t="s">
        <v>15</v>
      </c>
      <c r="I129" s="2" t="s">
        <v>27</v>
      </c>
      <c r="J129" s="2" t="s">
        <v>22</v>
      </c>
    </row>
    <row r="130" spans="1:10" x14ac:dyDescent="0.3">
      <c r="A130" s="2" t="s">
        <v>334</v>
      </c>
      <c r="B130" s="2" t="s">
        <v>32</v>
      </c>
      <c r="C130" s="2" t="s">
        <v>43</v>
      </c>
      <c r="D130" s="2">
        <v>7</v>
      </c>
      <c r="E130" s="2">
        <v>7901230518</v>
      </c>
      <c r="F130" s="2" t="s">
        <v>13</v>
      </c>
      <c r="G130" s="2" t="s">
        <v>20</v>
      </c>
      <c r="H130" s="2" t="s">
        <v>21</v>
      </c>
      <c r="I130" s="2" t="s">
        <v>29</v>
      </c>
      <c r="J130" s="2" t="s">
        <v>22</v>
      </c>
    </row>
    <row r="131" spans="1:10" hidden="1" x14ac:dyDescent="0.3">
      <c r="A131" s="2" t="s">
        <v>156</v>
      </c>
      <c r="B131" s="2" t="s">
        <v>35</v>
      </c>
      <c r="C131" s="2" t="s">
        <v>33</v>
      </c>
      <c r="D131" s="2">
        <v>1</v>
      </c>
      <c r="E131" s="2">
        <v>6238874101</v>
      </c>
      <c r="F131" s="2" t="s">
        <v>19</v>
      </c>
      <c r="G131" s="2" t="s">
        <v>14</v>
      </c>
      <c r="H131" s="2" t="s">
        <v>15</v>
      </c>
      <c r="I131" s="2" t="s">
        <v>37</v>
      </c>
      <c r="J131" s="2" t="s">
        <v>23</v>
      </c>
    </row>
    <row r="132" spans="1:10" hidden="1" x14ac:dyDescent="0.3">
      <c r="A132" s="2" t="s">
        <v>157</v>
      </c>
      <c r="B132" s="2" t="s">
        <v>35</v>
      </c>
      <c r="C132" s="2" t="s">
        <v>43</v>
      </c>
      <c r="D132" s="2">
        <v>1</v>
      </c>
      <c r="E132" s="2">
        <v>9755659587</v>
      </c>
      <c r="F132" s="2" t="s">
        <v>19</v>
      </c>
      <c r="G132" s="2" t="s">
        <v>14</v>
      </c>
      <c r="H132" s="2" t="s">
        <v>21</v>
      </c>
      <c r="I132" s="2" t="s">
        <v>22</v>
      </c>
      <c r="J132" s="2" t="s">
        <v>17</v>
      </c>
    </row>
    <row r="133" spans="1:10" hidden="1" x14ac:dyDescent="0.3">
      <c r="A133" s="2" t="s">
        <v>158</v>
      </c>
      <c r="B133" s="2" t="s">
        <v>35</v>
      </c>
      <c r="C133" s="2" t="s">
        <v>12</v>
      </c>
      <c r="D133" s="2">
        <v>1</v>
      </c>
      <c r="E133" s="2">
        <v>7600829031</v>
      </c>
      <c r="F133" s="2" t="s">
        <v>19</v>
      </c>
      <c r="G133" s="2" t="s">
        <v>14</v>
      </c>
      <c r="H133" s="2" t="s">
        <v>15</v>
      </c>
      <c r="I133" s="2" t="s">
        <v>37</v>
      </c>
      <c r="J133" s="2" t="s">
        <v>23</v>
      </c>
    </row>
    <row r="134" spans="1:10" hidden="1" x14ac:dyDescent="0.3">
      <c r="A134" s="2" t="s">
        <v>159</v>
      </c>
      <c r="B134" s="2" t="s">
        <v>25</v>
      </c>
      <c r="C134" s="2" t="s">
        <v>12</v>
      </c>
      <c r="D134" s="2">
        <v>5</v>
      </c>
      <c r="E134" s="2">
        <v>7811790353</v>
      </c>
      <c r="F134" s="2" t="s">
        <v>19</v>
      </c>
      <c r="G134" s="2" t="s">
        <v>20</v>
      </c>
      <c r="H134" s="2" t="s">
        <v>21</v>
      </c>
      <c r="I134" s="2" t="s">
        <v>27</v>
      </c>
      <c r="J134" s="2" t="s">
        <v>22</v>
      </c>
    </row>
    <row r="135" spans="1:10" x14ac:dyDescent="0.3">
      <c r="A135" s="2" t="s">
        <v>123</v>
      </c>
      <c r="B135" s="2" t="s">
        <v>35</v>
      </c>
      <c r="C135" s="2" t="s">
        <v>12</v>
      </c>
      <c r="D135" s="2">
        <v>1</v>
      </c>
      <c r="E135" s="2">
        <v>6901412110</v>
      </c>
      <c r="F135" s="2" t="s">
        <v>13</v>
      </c>
      <c r="G135" s="2" t="s">
        <v>20</v>
      </c>
      <c r="H135" s="2" t="s">
        <v>21</v>
      </c>
      <c r="I135" s="2" t="s">
        <v>37</v>
      </c>
      <c r="J135" s="2" t="s">
        <v>22</v>
      </c>
    </row>
    <row r="136" spans="1:10" hidden="1" x14ac:dyDescent="0.3">
      <c r="A136" s="2" t="s">
        <v>161</v>
      </c>
      <c r="B136" s="2" t="s">
        <v>25</v>
      </c>
      <c r="C136" s="2" t="s">
        <v>33</v>
      </c>
      <c r="D136" s="2">
        <v>5</v>
      </c>
      <c r="E136" s="2">
        <v>6446944373</v>
      </c>
      <c r="F136" s="2" t="s">
        <v>19</v>
      </c>
      <c r="G136" s="2" t="s">
        <v>20</v>
      </c>
      <c r="H136" s="2" t="s">
        <v>15</v>
      </c>
      <c r="I136" s="2" t="s">
        <v>37</v>
      </c>
      <c r="J136" s="2" t="s">
        <v>22</v>
      </c>
    </row>
    <row r="137" spans="1:10" x14ac:dyDescent="0.3">
      <c r="A137" s="2" t="s">
        <v>333</v>
      </c>
      <c r="B137" s="2" t="s">
        <v>32</v>
      </c>
      <c r="C137" s="2" t="s">
        <v>26</v>
      </c>
      <c r="D137" s="2">
        <v>7</v>
      </c>
      <c r="E137" s="2">
        <v>9703709139</v>
      </c>
      <c r="F137" s="2" t="s">
        <v>13</v>
      </c>
      <c r="G137" s="2" t="s">
        <v>20</v>
      </c>
      <c r="H137" s="2" t="s">
        <v>21</v>
      </c>
      <c r="I137" s="2" t="s">
        <v>41</v>
      </c>
      <c r="J137" s="2" t="s">
        <v>23</v>
      </c>
    </row>
    <row r="138" spans="1:10" x14ac:dyDescent="0.3">
      <c r="A138" s="2" t="s">
        <v>386</v>
      </c>
      <c r="B138" s="2" t="s">
        <v>32</v>
      </c>
      <c r="C138" s="2" t="s">
        <v>36</v>
      </c>
      <c r="D138" s="2">
        <v>7</v>
      </c>
      <c r="E138" s="2">
        <v>9720218003</v>
      </c>
      <c r="F138" s="2" t="s">
        <v>13</v>
      </c>
      <c r="G138" s="2" t="s">
        <v>20</v>
      </c>
      <c r="H138" s="2" t="s">
        <v>21</v>
      </c>
      <c r="I138" s="2" t="s">
        <v>37</v>
      </c>
      <c r="J138" s="2" t="s">
        <v>22</v>
      </c>
    </row>
    <row r="139" spans="1:10" x14ac:dyDescent="0.3">
      <c r="A139" s="2" t="s">
        <v>386</v>
      </c>
      <c r="B139" s="2" t="s">
        <v>25</v>
      </c>
      <c r="C139" s="2" t="s">
        <v>12</v>
      </c>
      <c r="D139" s="2">
        <v>5</v>
      </c>
      <c r="E139" s="2">
        <v>7153814034</v>
      </c>
      <c r="F139" s="2" t="s">
        <v>13</v>
      </c>
      <c r="G139" s="2" t="s">
        <v>20</v>
      </c>
      <c r="H139" s="2" t="s">
        <v>21</v>
      </c>
      <c r="I139" s="2" t="s">
        <v>22</v>
      </c>
      <c r="J139" s="2" t="s">
        <v>17</v>
      </c>
    </row>
    <row r="140" spans="1:10" hidden="1" x14ac:dyDescent="0.3">
      <c r="A140" s="2" t="s">
        <v>165</v>
      </c>
      <c r="B140" s="2" t="s">
        <v>32</v>
      </c>
      <c r="C140" s="2" t="s">
        <v>26</v>
      </c>
      <c r="D140" s="2">
        <v>7</v>
      </c>
      <c r="E140" s="2">
        <v>7907620877</v>
      </c>
      <c r="F140" s="2" t="s">
        <v>19</v>
      </c>
      <c r="G140" s="2" t="s">
        <v>20</v>
      </c>
      <c r="H140" s="2" t="s">
        <v>15</v>
      </c>
      <c r="I140" s="2" t="s">
        <v>41</v>
      </c>
      <c r="J140" s="2" t="s">
        <v>22</v>
      </c>
    </row>
    <row r="141" spans="1:10" hidden="1" x14ac:dyDescent="0.3">
      <c r="A141" s="2" t="s">
        <v>166</v>
      </c>
      <c r="B141" s="2" t="s">
        <v>35</v>
      </c>
      <c r="C141" s="2" t="s">
        <v>36</v>
      </c>
      <c r="D141" s="2">
        <v>1</v>
      </c>
      <c r="E141" s="2">
        <v>9565776106</v>
      </c>
      <c r="F141" s="2" t="s">
        <v>19</v>
      </c>
      <c r="G141" s="2" t="s">
        <v>20</v>
      </c>
      <c r="H141" s="2" t="s">
        <v>15</v>
      </c>
      <c r="I141" s="2" t="s">
        <v>27</v>
      </c>
      <c r="J141" s="2" t="s">
        <v>17</v>
      </c>
    </row>
    <row r="142" spans="1:10" hidden="1" x14ac:dyDescent="0.3">
      <c r="A142" s="2" t="s">
        <v>167</v>
      </c>
      <c r="B142" s="2" t="s">
        <v>11</v>
      </c>
      <c r="C142" s="2" t="s">
        <v>36</v>
      </c>
      <c r="D142" s="2">
        <v>3</v>
      </c>
      <c r="E142" s="2">
        <v>8764974317</v>
      </c>
      <c r="F142" s="2" t="s">
        <v>19</v>
      </c>
      <c r="G142" s="2" t="s">
        <v>20</v>
      </c>
      <c r="H142" s="2" t="s">
        <v>21</v>
      </c>
      <c r="I142" s="2" t="s">
        <v>27</v>
      </c>
      <c r="J142" s="2" t="s">
        <v>22</v>
      </c>
    </row>
    <row r="143" spans="1:10" x14ac:dyDescent="0.3">
      <c r="A143" s="2" t="s">
        <v>348</v>
      </c>
      <c r="B143" s="2" t="s">
        <v>32</v>
      </c>
      <c r="C143" s="2" t="s">
        <v>36</v>
      </c>
      <c r="D143" s="2">
        <v>7</v>
      </c>
      <c r="E143" s="2">
        <v>9935742634</v>
      </c>
      <c r="F143" s="2" t="s">
        <v>13</v>
      </c>
      <c r="G143" s="2" t="s">
        <v>14</v>
      </c>
      <c r="H143" s="2" t="s">
        <v>21</v>
      </c>
      <c r="I143" s="2" t="s">
        <v>22</v>
      </c>
      <c r="J143" s="2" t="s">
        <v>22</v>
      </c>
    </row>
    <row r="144" spans="1:10" x14ac:dyDescent="0.3">
      <c r="A144" s="2" t="s">
        <v>154</v>
      </c>
      <c r="B144" s="2" t="s">
        <v>32</v>
      </c>
      <c r="C144" s="2" t="s">
        <v>43</v>
      </c>
      <c r="D144" s="2">
        <v>7</v>
      </c>
      <c r="E144" s="2">
        <v>9047283200</v>
      </c>
      <c r="F144" s="2" t="s">
        <v>13</v>
      </c>
      <c r="G144" s="2" t="s">
        <v>20</v>
      </c>
      <c r="H144" s="2" t="s">
        <v>15</v>
      </c>
      <c r="I144" s="2" t="s">
        <v>41</v>
      </c>
      <c r="J144" s="2" t="s">
        <v>17</v>
      </c>
    </row>
    <row r="145" spans="1:10" x14ac:dyDescent="0.3">
      <c r="A145" s="2" t="s">
        <v>328</v>
      </c>
      <c r="B145" s="2" t="s">
        <v>35</v>
      </c>
      <c r="C145" s="2" t="s">
        <v>26</v>
      </c>
      <c r="D145" s="2">
        <v>1</v>
      </c>
      <c r="E145" s="2">
        <v>9419907098</v>
      </c>
      <c r="F145" s="2" t="s">
        <v>13</v>
      </c>
      <c r="G145" s="2" t="s">
        <v>14</v>
      </c>
      <c r="H145" s="2" t="s">
        <v>21</v>
      </c>
      <c r="I145" s="2" t="s">
        <v>41</v>
      </c>
      <c r="J145" s="2" t="s">
        <v>23</v>
      </c>
    </row>
    <row r="146" spans="1:10" x14ac:dyDescent="0.3">
      <c r="A146" s="2" t="s">
        <v>140</v>
      </c>
      <c r="B146" s="2" t="s">
        <v>32</v>
      </c>
      <c r="C146" s="2" t="s">
        <v>36</v>
      </c>
      <c r="D146" s="2">
        <v>7</v>
      </c>
      <c r="E146" s="2">
        <v>8454879720</v>
      </c>
      <c r="F146" s="2" t="s">
        <v>13</v>
      </c>
      <c r="G146" s="2" t="s">
        <v>14</v>
      </c>
      <c r="H146" s="2" t="s">
        <v>15</v>
      </c>
      <c r="I146" s="2" t="s">
        <v>41</v>
      </c>
      <c r="J146" s="2" t="s">
        <v>23</v>
      </c>
    </row>
    <row r="147" spans="1:10" hidden="1" x14ac:dyDescent="0.3">
      <c r="A147" s="2" t="s">
        <v>172</v>
      </c>
      <c r="B147" s="2" t="s">
        <v>32</v>
      </c>
      <c r="C147" s="2" t="s">
        <v>43</v>
      </c>
      <c r="D147" s="2">
        <v>7</v>
      </c>
      <c r="E147" s="2">
        <v>7871019475</v>
      </c>
      <c r="F147" s="2" t="s">
        <v>19</v>
      </c>
      <c r="G147" s="2" t="s">
        <v>20</v>
      </c>
      <c r="H147" s="2" t="s">
        <v>15</v>
      </c>
      <c r="I147" s="2" t="s">
        <v>29</v>
      </c>
      <c r="J147" s="2" t="s">
        <v>22</v>
      </c>
    </row>
    <row r="148" spans="1:10" x14ac:dyDescent="0.3">
      <c r="A148" s="2" t="s">
        <v>422</v>
      </c>
      <c r="B148" s="2" t="s">
        <v>35</v>
      </c>
      <c r="C148" s="2" t="s">
        <v>26</v>
      </c>
      <c r="D148" s="2">
        <v>1</v>
      </c>
      <c r="E148" s="2">
        <v>6224064382</v>
      </c>
      <c r="F148" s="2" t="s">
        <v>13</v>
      </c>
      <c r="G148" s="2" t="s">
        <v>20</v>
      </c>
      <c r="H148" s="2" t="s">
        <v>15</v>
      </c>
      <c r="I148" s="2" t="s">
        <v>37</v>
      </c>
      <c r="J148" s="2" t="s">
        <v>22</v>
      </c>
    </row>
    <row r="149" spans="1:10" x14ac:dyDescent="0.3">
      <c r="A149" s="2" t="s">
        <v>242</v>
      </c>
      <c r="B149" s="2" t="s">
        <v>35</v>
      </c>
      <c r="C149" s="2" t="s">
        <v>36</v>
      </c>
      <c r="D149" s="2">
        <v>1</v>
      </c>
      <c r="E149" s="2">
        <v>7997041169</v>
      </c>
      <c r="F149" s="2" t="s">
        <v>13</v>
      </c>
      <c r="G149" s="2" t="s">
        <v>14</v>
      </c>
      <c r="H149" s="2" t="s">
        <v>15</v>
      </c>
      <c r="I149" s="2" t="s">
        <v>16</v>
      </c>
      <c r="J149" s="2" t="s">
        <v>23</v>
      </c>
    </row>
    <row r="150" spans="1:10" hidden="1" x14ac:dyDescent="0.3">
      <c r="A150" s="2" t="s">
        <v>175</v>
      </c>
      <c r="B150" s="2" t="s">
        <v>11</v>
      </c>
      <c r="C150" s="2" t="s">
        <v>12</v>
      </c>
      <c r="D150" s="2">
        <v>3</v>
      </c>
      <c r="E150" s="2">
        <v>9164811063</v>
      </c>
      <c r="F150" s="2" t="s">
        <v>19</v>
      </c>
      <c r="G150" s="2" t="s">
        <v>20</v>
      </c>
      <c r="H150" s="2" t="s">
        <v>15</v>
      </c>
      <c r="I150" s="2" t="s">
        <v>22</v>
      </c>
      <c r="J150" s="2" t="s">
        <v>22</v>
      </c>
    </row>
    <row r="151" spans="1:10" x14ac:dyDescent="0.3">
      <c r="A151" s="2" t="s">
        <v>89</v>
      </c>
      <c r="B151" s="2" t="s">
        <v>25</v>
      </c>
      <c r="C151" s="2" t="s">
        <v>43</v>
      </c>
      <c r="D151" s="2">
        <v>5</v>
      </c>
      <c r="E151" s="2">
        <v>7198699361</v>
      </c>
      <c r="F151" s="2" t="s">
        <v>13</v>
      </c>
      <c r="G151" s="2" t="s">
        <v>14</v>
      </c>
      <c r="H151" s="2" t="s">
        <v>15</v>
      </c>
      <c r="I151" s="2" t="s">
        <v>22</v>
      </c>
      <c r="J151" s="2" t="s">
        <v>17</v>
      </c>
    </row>
    <row r="152" spans="1:10" x14ac:dyDescent="0.3">
      <c r="A152" s="2" t="s">
        <v>356</v>
      </c>
      <c r="B152" s="2" t="s">
        <v>11</v>
      </c>
      <c r="C152" s="2" t="s">
        <v>33</v>
      </c>
      <c r="D152" s="2">
        <v>3</v>
      </c>
      <c r="E152" s="2">
        <v>6505490679</v>
      </c>
      <c r="F152" s="2" t="s">
        <v>13</v>
      </c>
      <c r="G152" s="2" t="s">
        <v>20</v>
      </c>
      <c r="H152" s="2" t="s">
        <v>21</v>
      </c>
      <c r="I152" s="2" t="s">
        <v>22</v>
      </c>
      <c r="J152" s="2" t="s">
        <v>22</v>
      </c>
    </row>
    <row r="153" spans="1:10" x14ac:dyDescent="0.3">
      <c r="A153" s="2" t="s">
        <v>62</v>
      </c>
      <c r="B153" s="2" t="s">
        <v>32</v>
      </c>
      <c r="C153" s="2" t="s">
        <v>36</v>
      </c>
      <c r="D153" s="2">
        <v>7</v>
      </c>
      <c r="E153" s="2">
        <v>6680106355</v>
      </c>
      <c r="F153" s="2" t="s">
        <v>13</v>
      </c>
      <c r="G153" s="2" t="s">
        <v>14</v>
      </c>
      <c r="H153" s="2" t="s">
        <v>21</v>
      </c>
      <c r="I153" s="2" t="s">
        <v>16</v>
      </c>
      <c r="J153" s="2" t="s">
        <v>22</v>
      </c>
    </row>
    <row r="154" spans="1:10" x14ac:dyDescent="0.3">
      <c r="A154" s="2" t="s">
        <v>195</v>
      </c>
      <c r="B154" s="2" t="s">
        <v>25</v>
      </c>
      <c r="C154" s="2" t="s">
        <v>26</v>
      </c>
      <c r="D154" s="2">
        <v>5</v>
      </c>
      <c r="E154" s="2">
        <v>8247327953</v>
      </c>
      <c r="F154" s="2" t="s">
        <v>13</v>
      </c>
      <c r="G154" s="2" t="s">
        <v>20</v>
      </c>
      <c r="H154" s="2" t="s">
        <v>15</v>
      </c>
      <c r="I154" s="2" t="s">
        <v>22</v>
      </c>
      <c r="J154" s="2" t="s">
        <v>17</v>
      </c>
    </row>
    <row r="155" spans="1:10" hidden="1" x14ac:dyDescent="0.3">
      <c r="A155" s="2" t="s">
        <v>180</v>
      </c>
      <c r="B155" s="2" t="s">
        <v>35</v>
      </c>
      <c r="C155" s="2" t="s">
        <v>12</v>
      </c>
      <c r="D155" s="2">
        <v>1</v>
      </c>
      <c r="E155" s="2">
        <v>7314717194</v>
      </c>
      <c r="F155" s="2" t="s">
        <v>19</v>
      </c>
      <c r="G155" s="2" t="s">
        <v>20</v>
      </c>
      <c r="H155" s="2" t="s">
        <v>21</v>
      </c>
      <c r="I155" s="2" t="s">
        <v>29</v>
      </c>
      <c r="J155" s="2" t="s">
        <v>22</v>
      </c>
    </row>
    <row r="156" spans="1:10" hidden="1" x14ac:dyDescent="0.3">
      <c r="A156" s="2" t="s">
        <v>181</v>
      </c>
      <c r="B156" s="2" t="s">
        <v>11</v>
      </c>
      <c r="C156" s="2" t="s">
        <v>26</v>
      </c>
      <c r="D156" s="2">
        <v>3</v>
      </c>
      <c r="E156" s="2">
        <v>7334286231</v>
      </c>
      <c r="F156" s="2" t="s">
        <v>19</v>
      </c>
      <c r="G156" s="2" t="s">
        <v>20</v>
      </c>
      <c r="H156" s="2" t="s">
        <v>15</v>
      </c>
      <c r="I156" s="2" t="s">
        <v>22</v>
      </c>
      <c r="J156" s="2" t="s">
        <v>22</v>
      </c>
    </row>
    <row r="157" spans="1:10" x14ac:dyDescent="0.3">
      <c r="A157" s="2" t="s">
        <v>363</v>
      </c>
      <c r="B157" s="2" t="s">
        <v>35</v>
      </c>
      <c r="C157" s="2" t="s">
        <v>26</v>
      </c>
      <c r="D157" s="2">
        <v>1</v>
      </c>
      <c r="E157" s="2">
        <v>9292138042</v>
      </c>
      <c r="F157" s="2" t="s">
        <v>13</v>
      </c>
      <c r="G157" s="2" t="s">
        <v>14</v>
      </c>
      <c r="H157" s="2" t="s">
        <v>21</v>
      </c>
      <c r="I157" s="2" t="s">
        <v>29</v>
      </c>
      <c r="J157" s="2" t="s">
        <v>22</v>
      </c>
    </row>
    <row r="158" spans="1:10" hidden="1" x14ac:dyDescent="0.3">
      <c r="A158" s="2" t="s">
        <v>183</v>
      </c>
      <c r="B158" s="2" t="s">
        <v>35</v>
      </c>
      <c r="C158" s="2" t="s">
        <v>43</v>
      </c>
      <c r="D158" s="2">
        <v>1</v>
      </c>
      <c r="E158" s="2">
        <v>6063070983</v>
      </c>
      <c r="F158" s="2" t="s">
        <v>19</v>
      </c>
      <c r="G158" s="2" t="s">
        <v>14</v>
      </c>
      <c r="H158" s="2" t="s">
        <v>15</v>
      </c>
      <c r="I158" s="2" t="s">
        <v>27</v>
      </c>
      <c r="J158" s="2" t="s">
        <v>22</v>
      </c>
    </row>
    <row r="159" spans="1:10" hidden="1" x14ac:dyDescent="0.3">
      <c r="A159" s="2" t="s">
        <v>184</v>
      </c>
      <c r="B159" s="2" t="s">
        <v>11</v>
      </c>
      <c r="C159" s="2" t="s">
        <v>36</v>
      </c>
      <c r="D159" s="2">
        <v>3</v>
      </c>
      <c r="E159" s="2">
        <v>9407431266</v>
      </c>
      <c r="F159" s="2" t="s">
        <v>19</v>
      </c>
      <c r="G159" s="2" t="s">
        <v>20</v>
      </c>
      <c r="H159" s="2" t="s">
        <v>15</v>
      </c>
      <c r="I159" s="2" t="s">
        <v>29</v>
      </c>
      <c r="J159" s="2" t="s">
        <v>23</v>
      </c>
    </row>
    <row r="160" spans="1:10" x14ac:dyDescent="0.3">
      <c r="A160" s="2" t="s">
        <v>571</v>
      </c>
      <c r="B160" s="2" t="s">
        <v>11</v>
      </c>
      <c r="C160" s="2" t="s">
        <v>36</v>
      </c>
      <c r="D160" s="2">
        <v>3</v>
      </c>
      <c r="E160" s="2">
        <v>6891077641</v>
      </c>
      <c r="F160" s="2" t="s">
        <v>13</v>
      </c>
      <c r="G160" s="2" t="s">
        <v>20</v>
      </c>
      <c r="H160" s="2" t="s">
        <v>15</v>
      </c>
      <c r="I160" s="2" t="s">
        <v>22</v>
      </c>
      <c r="J160" s="2" t="s">
        <v>22</v>
      </c>
    </row>
    <row r="161" spans="1:10" hidden="1" x14ac:dyDescent="0.3">
      <c r="A161" s="2" t="s">
        <v>186</v>
      </c>
      <c r="B161" s="2" t="s">
        <v>11</v>
      </c>
      <c r="C161" s="2" t="s">
        <v>36</v>
      </c>
      <c r="D161" s="2">
        <v>3</v>
      </c>
      <c r="E161" s="2">
        <v>9879545883</v>
      </c>
      <c r="F161" s="2" t="s">
        <v>19</v>
      </c>
      <c r="G161" s="2" t="s">
        <v>20</v>
      </c>
      <c r="H161" s="2" t="s">
        <v>21</v>
      </c>
      <c r="I161" s="2" t="s">
        <v>22</v>
      </c>
      <c r="J161" s="2" t="s">
        <v>17</v>
      </c>
    </row>
    <row r="162" spans="1:10" hidden="1" x14ac:dyDescent="0.3">
      <c r="A162" s="2" t="s">
        <v>187</v>
      </c>
      <c r="B162" s="2" t="s">
        <v>35</v>
      </c>
      <c r="C162" s="2" t="s">
        <v>33</v>
      </c>
      <c r="D162" s="2">
        <v>1</v>
      </c>
      <c r="E162" s="2">
        <v>6954326748</v>
      </c>
      <c r="F162" s="2" t="s">
        <v>19</v>
      </c>
      <c r="G162" s="2" t="s">
        <v>20</v>
      </c>
      <c r="H162" s="2" t="s">
        <v>15</v>
      </c>
      <c r="I162" s="2" t="s">
        <v>29</v>
      </c>
      <c r="J162" s="2" t="s">
        <v>23</v>
      </c>
    </row>
    <row r="163" spans="1:10" hidden="1" x14ac:dyDescent="0.3">
      <c r="A163" s="2" t="s">
        <v>188</v>
      </c>
      <c r="B163" s="2" t="s">
        <v>25</v>
      </c>
      <c r="C163" s="2" t="s">
        <v>36</v>
      </c>
      <c r="D163" s="2">
        <v>5</v>
      </c>
      <c r="E163" s="2">
        <v>8606376171</v>
      </c>
      <c r="F163" s="2" t="s">
        <v>19</v>
      </c>
      <c r="G163" s="2" t="s">
        <v>20</v>
      </c>
      <c r="H163" s="2" t="s">
        <v>15</v>
      </c>
      <c r="I163" s="2" t="s">
        <v>29</v>
      </c>
      <c r="J163" s="2" t="s">
        <v>23</v>
      </c>
    </row>
    <row r="164" spans="1:10" x14ac:dyDescent="0.3">
      <c r="A164" s="2" t="s">
        <v>86</v>
      </c>
      <c r="B164" s="2" t="s">
        <v>25</v>
      </c>
      <c r="C164" s="2" t="s">
        <v>36</v>
      </c>
      <c r="D164" s="2">
        <v>5</v>
      </c>
      <c r="E164" s="2">
        <v>9896116034</v>
      </c>
      <c r="F164" s="2" t="s">
        <v>13</v>
      </c>
      <c r="G164" s="2" t="s">
        <v>20</v>
      </c>
      <c r="H164" s="2" t="s">
        <v>15</v>
      </c>
      <c r="I164" s="2" t="s">
        <v>27</v>
      </c>
      <c r="J164" s="2" t="s">
        <v>22</v>
      </c>
    </row>
    <row r="165" spans="1:10" x14ac:dyDescent="0.3">
      <c r="A165" s="2" t="s">
        <v>78</v>
      </c>
      <c r="B165" s="2" t="s">
        <v>35</v>
      </c>
      <c r="C165" s="2" t="s">
        <v>12</v>
      </c>
      <c r="D165" s="2">
        <v>1</v>
      </c>
      <c r="E165" s="2">
        <v>7416527689</v>
      </c>
      <c r="F165" s="2" t="s">
        <v>13</v>
      </c>
      <c r="G165" s="2" t="s">
        <v>14</v>
      </c>
      <c r="H165" s="2" t="s">
        <v>15</v>
      </c>
      <c r="I165" s="2" t="s">
        <v>37</v>
      </c>
      <c r="J165" s="2" t="s">
        <v>23</v>
      </c>
    </row>
    <row r="166" spans="1:10" hidden="1" x14ac:dyDescent="0.3">
      <c r="A166" s="2" t="s">
        <v>191</v>
      </c>
      <c r="B166" s="2" t="s">
        <v>25</v>
      </c>
      <c r="C166" s="2" t="s">
        <v>43</v>
      </c>
      <c r="D166" s="2">
        <v>5</v>
      </c>
      <c r="E166" s="2">
        <v>7292782057</v>
      </c>
      <c r="F166" s="2" t="s">
        <v>19</v>
      </c>
      <c r="G166" s="2" t="s">
        <v>14</v>
      </c>
      <c r="H166" s="2" t="s">
        <v>21</v>
      </c>
      <c r="I166" s="2" t="s">
        <v>27</v>
      </c>
      <c r="J166" s="2" t="s">
        <v>23</v>
      </c>
    </row>
    <row r="167" spans="1:10" hidden="1" x14ac:dyDescent="0.3">
      <c r="A167" s="2" t="s">
        <v>192</v>
      </c>
      <c r="B167" s="2" t="s">
        <v>11</v>
      </c>
      <c r="C167" s="2" t="s">
        <v>12</v>
      </c>
      <c r="D167" s="2">
        <v>3</v>
      </c>
      <c r="E167" s="2">
        <v>9639956501</v>
      </c>
      <c r="F167" s="2" t="s">
        <v>19</v>
      </c>
      <c r="G167" s="2" t="s">
        <v>20</v>
      </c>
      <c r="H167" s="2" t="s">
        <v>15</v>
      </c>
      <c r="I167" s="2" t="s">
        <v>22</v>
      </c>
      <c r="J167" s="2" t="s">
        <v>23</v>
      </c>
    </row>
    <row r="168" spans="1:10" x14ac:dyDescent="0.3">
      <c r="A168" s="2" t="s">
        <v>381</v>
      </c>
      <c r="B168" s="2" t="s">
        <v>25</v>
      </c>
      <c r="C168" s="2" t="s">
        <v>26</v>
      </c>
      <c r="D168" s="2">
        <v>5</v>
      </c>
      <c r="E168" s="2">
        <v>9557479819</v>
      </c>
      <c r="F168" s="2" t="s">
        <v>13</v>
      </c>
      <c r="G168" s="2" t="s">
        <v>20</v>
      </c>
      <c r="H168" s="2" t="s">
        <v>15</v>
      </c>
      <c r="I168" s="2" t="s">
        <v>41</v>
      </c>
      <c r="J168" s="2" t="s">
        <v>17</v>
      </c>
    </row>
    <row r="169" spans="1:10" x14ac:dyDescent="0.3">
      <c r="A169" s="2" t="s">
        <v>320</v>
      </c>
      <c r="B169" s="2" t="s">
        <v>25</v>
      </c>
      <c r="C169" s="2" t="s">
        <v>33</v>
      </c>
      <c r="D169" s="2">
        <v>5</v>
      </c>
      <c r="E169" s="2">
        <v>9041231436</v>
      </c>
      <c r="F169" s="2" t="s">
        <v>13</v>
      </c>
      <c r="G169" s="2" t="s">
        <v>14</v>
      </c>
      <c r="H169" s="2" t="s">
        <v>21</v>
      </c>
      <c r="I169" s="2" t="s">
        <v>37</v>
      </c>
      <c r="J169" s="2" t="s">
        <v>22</v>
      </c>
    </row>
    <row r="170" spans="1:10" x14ac:dyDescent="0.3">
      <c r="A170" s="2" t="s">
        <v>593</v>
      </c>
      <c r="B170" s="2" t="s">
        <v>32</v>
      </c>
      <c r="C170" s="2" t="s">
        <v>33</v>
      </c>
      <c r="D170" s="2">
        <v>7</v>
      </c>
      <c r="E170" s="2">
        <v>8306373241</v>
      </c>
      <c r="F170" s="2" t="s">
        <v>13</v>
      </c>
      <c r="G170" s="2" t="s">
        <v>14</v>
      </c>
      <c r="H170" s="2" t="s">
        <v>21</v>
      </c>
      <c r="I170" s="2" t="s">
        <v>27</v>
      </c>
      <c r="J170" s="2" t="s">
        <v>23</v>
      </c>
    </row>
    <row r="171" spans="1:10" hidden="1" x14ac:dyDescent="0.3">
      <c r="A171" s="2" t="s">
        <v>196</v>
      </c>
      <c r="B171" s="2" t="s">
        <v>11</v>
      </c>
      <c r="C171" s="2" t="s">
        <v>43</v>
      </c>
      <c r="D171" s="2">
        <v>3</v>
      </c>
      <c r="E171" s="2">
        <v>6794903931</v>
      </c>
      <c r="F171" s="2" t="s">
        <v>19</v>
      </c>
      <c r="G171" s="2" t="s">
        <v>14</v>
      </c>
      <c r="H171" s="2" t="s">
        <v>15</v>
      </c>
      <c r="I171" s="2" t="s">
        <v>22</v>
      </c>
      <c r="J171" s="2" t="s">
        <v>22</v>
      </c>
    </row>
    <row r="172" spans="1:10" x14ac:dyDescent="0.3">
      <c r="A172" s="2" t="s">
        <v>298</v>
      </c>
      <c r="B172" s="2" t="s">
        <v>25</v>
      </c>
      <c r="C172" s="2" t="s">
        <v>33</v>
      </c>
      <c r="D172" s="2">
        <v>5</v>
      </c>
      <c r="E172" s="2">
        <v>6175040360</v>
      </c>
      <c r="F172" s="2" t="s">
        <v>13</v>
      </c>
      <c r="G172" s="2" t="s">
        <v>14</v>
      </c>
      <c r="H172" s="2" t="s">
        <v>15</v>
      </c>
      <c r="I172" s="2" t="s">
        <v>22</v>
      </c>
      <c r="J172" s="2" t="s">
        <v>23</v>
      </c>
    </row>
    <row r="173" spans="1:10" hidden="1" x14ac:dyDescent="0.3">
      <c r="A173" s="2" t="s">
        <v>198</v>
      </c>
      <c r="B173" s="2" t="s">
        <v>11</v>
      </c>
      <c r="C173" s="2" t="s">
        <v>33</v>
      </c>
      <c r="D173" s="2">
        <v>3</v>
      </c>
      <c r="E173" s="2">
        <v>9508773883</v>
      </c>
      <c r="F173" s="2" t="s">
        <v>19</v>
      </c>
      <c r="G173" s="2" t="s">
        <v>20</v>
      </c>
      <c r="H173" s="2" t="s">
        <v>15</v>
      </c>
      <c r="I173" s="2" t="s">
        <v>27</v>
      </c>
      <c r="J173" s="2" t="s">
        <v>22</v>
      </c>
    </row>
    <row r="174" spans="1:10" x14ac:dyDescent="0.3">
      <c r="A174" s="2" t="s">
        <v>137</v>
      </c>
      <c r="B174" s="2" t="s">
        <v>35</v>
      </c>
      <c r="C174" s="2" t="s">
        <v>36</v>
      </c>
      <c r="D174" s="2">
        <v>1</v>
      </c>
      <c r="E174" s="2">
        <v>7415594741</v>
      </c>
      <c r="F174" s="2" t="s">
        <v>13</v>
      </c>
      <c r="G174" s="2" t="s">
        <v>20</v>
      </c>
      <c r="H174" s="2" t="s">
        <v>21</v>
      </c>
      <c r="I174" s="2" t="s">
        <v>29</v>
      </c>
      <c r="J174" s="2" t="s">
        <v>22</v>
      </c>
    </row>
    <row r="175" spans="1:10" hidden="1" x14ac:dyDescent="0.3">
      <c r="A175" s="2" t="s">
        <v>200</v>
      </c>
      <c r="B175" s="2" t="s">
        <v>11</v>
      </c>
      <c r="C175" s="2" t="s">
        <v>33</v>
      </c>
      <c r="D175" s="2">
        <v>3</v>
      </c>
      <c r="E175" s="2">
        <v>9998783356</v>
      </c>
      <c r="F175" s="2" t="s">
        <v>19</v>
      </c>
      <c r="G175" s="2" t="s">
        <v>14</v>
      </c>
      <c r="H175" s="2" t="s">
        <v>15</v>
      </c>
      <c r="I175" s="2" t="s">
        <v>22</v>
      </c>
      <c r="J175" s="2" t="s">
        <v>17</v>
      </c>
    </row>
    <row r="176" spans="1:10" x14ac:dyDescent="0.3">
      <c r="A176" s="2" t="s">
        <v>276</v>
      </c>
      <c r="B176" s="2" t="s">
        <v>35</v>
      </c>
      <c r="C176" s="2" t="s">
        <v>12</v>
      </c>
      <c r="D176" s="2">
        <v>1</v>
      </c>
      <c r="E176" s="2">
        <v>9124302350</v>
      </c>
      <c r="F176" s="2" t="s">
        <v>13</v>
      </c>
      <c r="G176" s="2" t="s">
        <v>20</v>
      </c>
      <c r="H176" s="2" t="s">
        <v>15</v>
      </c>
      <c r="I176" s="2" t="s">
        <v>29</v>
      </c>
      <c r="J176" s="2" t="s">
        <v>17</v>
      </c>
    </row>
    <row r="177" spans="1:10" hidden="1" x14ac:dyDescent="0.3">
      <c r="A177" s="2" t="s">
        <v>202</v>
      </c>
      <c r="B177" s="2" t="s">
        <v>32</v>
      </c>
      <c r="C177" s="2" t="s">
        <v>12</v>
      </c>
      <c r="D177" s="2">
        <v>7</v>
      </c>
      <c r="E177" s="2">
        <v>8420516381</v>
      </c>
      <c r="F177" s="2" t="s">
        <v>19</v>
      </c>
      <c r="G177" s="2" t="s">
        <v>20</v>
      </c>
      <c r="H177" s="2" t="s">
        <v>21</v>
      </c>
      <c r="I177" s="2" t="s">
        <v>41</v>
      </c>
      <c r="J177" s="2" t="s">
        <v>23</v>
      </c>
    </row>
    <row r="178" spans="1:10" hidden="1" x14ac:dyDescent="0.3">
      <c r="A178" s="2" t="s">
        <v>203</v>
      </c>
      <c r="B178" s="2" t="s">
        <v>35</v>
      </c>
      <c r="C178" s="2" t="s">
        <v>12</v>
      </c>
      <c r="D178" s="2">
        <v>1</v>
      </c>
      <c r="E178" s="2">
        <v>8396038611</v>
      </c>
      <c r="F178" s="2" t="s">
        <v>19</v>
      </c>
      <c r="G178" s="2" t="s">
        <v>14</v>
      </c>
      <c r="H178" s="2" t="s">
        <v>21</v>
      </c>
      <c r="I178" s="2" t="s">
        <v>22</v>
      </c>
      <c r="J178" s="2" t="s">
        <v>23</v>
      </c>
    </row>
    <row r="179" spans="1:10" x14ac:dyDescent="0.3">
      <c r="A179" s="2" t="s">
        <v>199</v>
      </c>
      <c r="B179" s="2" t="s">
        <v>32</v>
      </c>
      <c r="C179" s="2" t="s">
        <v>12</v>
      </c>
      <c r="D179" s="2">
        <v>7</v>
      </c>
      <c r="E179" s="2">
        <v>7683981022</v>
      </c>
      <c r="F179" s="2" t="s">
        <v>13</v>
      </c>
      <c r="G179" s="2" t="s">
        <v>20</v>
      </c>
      <c r="H179" s="2" t="s">
        <v>21</v>
      </c>
      <c r="I179" s="2" t="s">
        <v>37</v>
      </c>
      <c r="J179" s="2" t="s">
        <v>23</v>
      </c>
    </row>
    <row r="180" spans="1:10" hidden="1" x14ac:dyDescent="0.3">
      <c r="A180" s="2" t="s">
        <v>205</v>
      </c>
      <c r="B180" s="2" t="s">
        <v>11</v>
      </c>
      <c r="C180" s="2" t="s">
        <v>12</v>
      </c>
      <c r="D180" s="2">
        <v>3</v>
      </c>
      <c r="E180" s="2">
        <v>8334003743</v>
      </c>
      <c r="F180" s="2" t="s">
        <v>19</v>
      </c>
      <c r="G180" s="2" t="s">
        <v>20</v>
      </c>
      <c r="H180" s="2" t="s">
        <v>21</v>
      </c>
      <c r="I180" s="2" t="s">
        <v>22</v>
      </c>
      <c r="J180" s="2" t="s">
        <v>23</v>
      </c>
    </row>
    <row r="181" spans="1:10" hidden="1" x14ac:dyDescent="0.3">
      <c r="A181" s="2" t="s">
        <v>206</v>
      </c>
      <c r="B181" s="2" t="s">
        <v>25</v>
      </c>
      <c r="C181" s="2" t="s">
        <v>26</v>
      </c>
      <c r="D181" s="2">
        <v>5</v>
      </c>
      <c r="E181" s="2">
        <v>6549299163</v>
      </c>
      <c r="F181" s="2" t="s">
        <v>19</v>
      </c>
      <c r="G181" s="2" t="s">
        <v>20</v>
      </c>
      <c r="H181" s="2" t="s">
        <v>21</v>
      </c>
      <c r="I181" s="2" t="s">
        <v>16</v>
      </c>
      <c r="J181" s="2" t="s">
        <v>17</v>
      </c>
    </row>
    <row r="182" spans="1:10" x14ac:dyDescent="0.3">
      <c r="A182" s="2" t="s">
        <v>390</v>
      </c>
      <c r="B182" s="2" t="s">
        <v>11</v>
      </c>
      <c r="C182" s="2" t="s">
        <v>36</v>
      </c>
      <c r="D182" s="2">
        <v>3</v>
      </c>
      <c r="E182" s="2">
        <v>9759899733</v>
      </c>
      <c r="F182" s="2" t="s">
        <v>13</v>
      </c>
      <c r="G182" s="2" t="s">
        <v>14</v>
      </c>
      <c r="H182" s="2" t="s">
        <v>21</v>
      </c>
      <c r="I182" s="2" t="s">
        <v>22</v>
      </c>
      <c r="J182" s="2" t="s">
        <v>22</v>
      </c>
    </row>
    <row r="183" spans="1:10" x14ac:dyDescent="0.3">
      <c r="A183" s="2" t="s">
        <v>231</v>
      </c>
      <c r="B183" s="2" t="s">
        <v>35</v>
      </c>
      <c r="C183" s="2" t="s">
        <v>26</v>
      </c>
      <c r="D183" s="2">
        <v>1</v>
      </c>
      <c r="E183" s="2">
        <v>7266693099</v>
      </c>
      <c r="F183" s="2" t="s">
        <v>13</v>
      </c>
      <c r="G183" s="2" t="s">
        <v>14</v>
      </c>
      <c r="H183" s="2" t="s">
        <v>15</v>
      </c>
      <c r="I183" s="2" t="s">
        <v>16</v>
      </c>
      <c r="J183" s="2" t="s">
        <v>17</v>
      </c>
    </row>
    <row r="184" spans="1:10" hidden="1" x14ac:dyDescent="0.3">
      <c r="A184" s="2" t="s">
        <v>209</v>
      </c>
      <c r="B184" s="2" t="s">
        <v>25</v>
      </c>
      <c r="C184" s="2" t="s">
        <v>12</v>
      </c>
      <c r="D184" s="2">
        <v>5</v>
      </c>
      <c r="E184" s="2">
        <v>6350611883</v>
      </c>
      <c r="F184" s="2" t="s">
        <v>19</v>
      </c>
      <c r="G184" s="2" t="s">
        <v>20</v>
      </c>
      <c r="H184" s="2" t="s">
        <v>21</v>
      </c>
      <c r="I184" s="2" t="s">
        <v>37</v>
      </c>
      <c r="J184" s="2" t="s">
        <v>17</v>
      </c>
    </row>
    <row r="185" spans="1:10" hidden="1" x14ac:dyDescent="0.3">
      <c r="A185" s="2" t="s">
        <v>210</v>
      </c>
      <c r="B185" s="2" t="s">
        <v>25</v>
      </c>
      <c r="C185" s="2" t="s">
        <v>33</v>
      </c>
      <c r="D185" s="2">
        <v>5</v>
      </c>
      <c r="E185" s="2">
        <v>9644626288</v>
      </c>
      <c r="F185" s="2" t="s">
        <v>19</v>
      </c>
      <c r="G185" s="2" t="s">
        <v>14</v>
      </c>
      <c r="H185" s="2" t="s">
        <v>15</v>
      </c>
      <c r="I185" s="2" t="s">
        <v>22</v>
      </c>
      <c r="J185" s="2" t="s">
        <v>23</v>
      </c>
    </row>
    <row r="186" spans="1:10" hidden="1" x14ac:dyDescent="0.3">
      <c r="A186" s="2" t="s">
        <v>211</v>
      </c>
      <c r="B186" s="2" t="s">
        <v>32</v>
      </c>
      <c r="C186" s="2" t="s">
        <v>26</v>
      </c>
      <c r="D186" s="2">
        <v>7</v>
      </c>
      <c r="E186" s="2">
        <v>9648394647</v>
      </c>
      <c r="F186" s="2" t="s">
        <v>19</v>
      </c>
      <c r="G186" s="2" t="s">
        <v>20</v>
      </c>
      <c r="H186" s="2" t="s">
        <v>21</v>
      </c>
      <c r="I186" s="2" t="s">
        <v>22</v>
      </c>
      <c r="J186" s="2" t="s">
        <v>23</v>
      </c>
    </row>
    <row r="187" spans="1:10" hidden="1" x14ac:dyDescent="0.3">
      <c r="A187" s="2" t="s">
        <v>212</v>
      </c>
      <c r="B187" s="2" t="s">
        <v>32</v>
      </c>
      <c r="C187" s="2" t="s">
        <v>26</v>
      </c>
      <c r="D187" s="2">
        <v>7</v>
      </c>
      <c r="E187" s="2">
        <v>8823168499</v>
      </c>
      <c r="F187" s="2" t="s">
        <v>19</v>
      </c>
      <c r="G187" s="2" t="s">
        <v>20</v>
      </c>
      <c r="H187" s="2" t="s">
        <v>15</v>
      </c>
      <c r="I187" s="2" t="s">
        <v>22</v>
      </c>
      <c r="J187" s="2" t="s">
        <v>22</v>
      </c>
    </row>
    <row r="188" spans="1:10" hidden="1" x14ac:dyDescent="0.3">
      <c r="A188" s="2" t="s">
        <v>213</v>
      </c>
      <c r="B188" s="2" t="s">
        <v>32</v>
      </c>
      <c r="C188" s="2" t="s">
        <v>33</v>
      </c>
      <c r="D188" s="2">
        <v>7</v>
      </c>
      <c r="E188" s="2">
        <v>8258272626</v>
      </c>
      <c r="F188" s="2" t="s">
        <v>19</v>
      </c>
      <c r="G188" s="2" t="s">
        <v>20</v>
      </c>
      <c r="H188" s="2" t="s">
        <v>15</v>
      </c>
      <c r="I188" s="2" t="s">
        <v>22</v>
      </c>
      <c r="J188" s="2" t="s">
        <v>17</v>
      </c>
    </row>
    <row r="189" spans="1:10" x14ac:dyDescent="0.3">
      <c r="A189" s="2" t="s">
        <v>113</v>
      </c>
      <c r="B189" s="2" t="s">
        <v>25</v>
      </c>
      <c r="C189" s="2" t="s">
        <v>33</v>
      </c>
      <c r="D189" s="2">
        <v>5</v>
      </c>
      <c r="E189" s="2">
        <v>7224290632</v>
      </c>
      <c r="F189" s="2" t="s">
        <v>13</v>
      </c>
      <c r="G189" s="2" t="s">
        <v>14</v>
      </c>
      <c r="H189" s="2" t="s">
        <v>21</v>
      </c>
      <c r="I189" s="2" t="s">
        <v>22</v>
      </c>
      <c r="J189" s="2" t="s">
        <v>22</v>
      </c>
    </row>
    <row r="190" spans="1:10" x14ac:dyDescent="0.3">
      <c r="A190" s="2" t="s">
        <v>518</v>
      </c>
      <c r="B190" s="2" t="s">
        <v>25</v>
      </c>
      <c r="C190" s="2" t="s">
        <v>26</v>
      </c>
      <c r="D190" s="2">
        <v>5</v>
      </c>
      <c r="E190" s="2">
        <v>8566880913</v>
      </c>
      <c r="F190" s="2" t="s">
        <v>13</v>
      </c>
      <c r="G190" s="2" t="s">
        <v>14</v>
      </c>
      <c r="H190" s="2" t="s">
        <v>21</v>
      </c>
      <c r="I190" s="2" t="s">
        <v>27</v>
      </c>
      <c r="J190" s="2" t="s">
        <v>17</v>
      </c>
    </row>
    <row r="191" spans="1:10" x14ac:dyDescent="0.3">
      <c r="A191" s="2" t="s">
        <v>466</v>
      </c>
      <c r="B191" s="2" t="s">
        <v>11</v>
      </c>
      <c r="C191" s="2" t="s">
        <v>12</v>
      </c>
      <c r="D191" s="2">
        <v>3</v>
      </c>
      <c r="E191" s="2">
        <v>8241218520</v>
      </c>
      <c r="F191" s="2" t="s">
        <v>13</v>
      </c>
      <c r="G191" s="2" t="s">
        <v>14</v>
      </c>
      <c r="H191" s="2" t="s">
        <v>15</v>
      </c>
      <c r="I191" s="2" t="s">
        <v>29</v>
      </c>
      <c r="J191" s="2" t="s">
        <v>23</v>
      </c>
    </row>
    <row r="192" spans="1:10" x14ac:dyDescent="0.3">
      <c r="A192" s="2" t="s">
        <v>219</v>
      </c>
      <c r="B192" s="2" t="s">
        <v>11</v>
      </c>
      <c r="C192" s="2" t="s">
        <v>33</v>
      </c>
      <c r="D192" s="2">
        <v>3</v>
      </c>
      <c r="E192" s="2">
        <v>9957523367</v>
      </c>
      <c r="F192" s="2" t="s">
        <v>13</v>
      </c>
      <c r="G192" s="2" t="s">
        <v>20</v>
      </c>
      <c r="H192" s="2" t="s">
        <v>21</v>
      </c>
      <c r="I192" s="2" t="s">
        <v>22</v>
      </c>
      <c r="J192" s="2" t="s">
        <v>17</v>
      </c>
    </row>
    <row r="193" spans="1:10" hidden="1" x14ac:dyDescent="0.3">
      <c r="A193" s="2" t="s">
        <v>218</v>
      </c>
      <c r="B193" s="2" t="s">
        <v>11</v>
      </c>
      <c r="C193" s="2" t="s">
        <v>43</v>
      </c>
      <c r="D193" s="2">
        <v>3</v>
      </c>
      <c r="E193" s="2">
        <v>6041928240</v>
      </c>
      <c r="F193" s="2" t="s">
        <v>19</v>
      </c>
      <c r="G193" s="2" t="s">
        <v>20</v>
      </c>
      <c r="H193" s="2" t="s">
        <v>21</v>
      </c>
      <c r="I193" s="2" t="s">
        <v>22</v>
      </c>
      <c r="J193" s="2" t="s">
        <v>23</v>
      </c>
    </row>
    <row r="194" spans="1:10" x14ac:dyDescent="0.3">
      <c r="A194" s="2" t="s">
        <v>490</v>
      </c>
      <c r="B194" s="2" t="s">
        <v>35</v>
      </c>
      <c r="C194" s="2" t="s">
        <v>36</v>
      </c>
      <c r="D194" s="2">
        <v>1</v>
      </c>
      <c r="E194" s="2">
        <v>7244604939</v>
      </c>
      <c r="F194" s="2" t="s">
        <v>13</v>
      </c>
      <c r="G194" s="2" t="s">
        <v>20</v>
      </c>
      <c r="H194" s="2" t="s">
        <v>15</v>
      </c>
      <c r="I194" s="2" t="s">
        <v>16</v>
      </c>
      <c r="J194" s="2" t="s">
        <v>17</v>
      </c>
    </row>
    <row r="195" spans="1:10" x14ac:dyDescent="0.3">
      <c r="A195" s="2" t="s">
        <v>215</v>
      </c>
      <c r="B195" s="2" t="s">
        <v>11</v>
      </c>
      <c r="C195" s="2" t="s">
        <v>33</v>
      </c>
      <c r="D195" s="2">
        <v>3</v>
      </c>
      <c r="E195" s="2">
        <v>9897094064</v>
      </c>
      <c r="F195" s="2" t="s">
        <v>13</v>
      </c>
      <c r="G195" s="2" t="s">
        <v>14</v>
      </c>
      <c r="H195" s="2" t="s">
        <v>21</v>
      </c>
      <c r="I195" s="2" t="s">
        <v>29</v>
      </c>
      <c r="J195" s="2" t="s">
        <v>17</v>
      </c>
    </row>
    <row r="196" spans="1:10" hidden="1" x14ac:dyDescent="0.3">
      <c r="A196" s="2" t="s">
        <v>221</v>
      </c>
      <c r="B196" s="2" t="s">
        <v>32</v>
      </c>
      <c r="C196" s="2" t="s">
        <v>43</v>
      </c>
      <c r="D196" s="2">
        <v>7</v>
      </c>
      <c r="E196" s="2">
        <v>6167025734</v>
      </c>
      <c r="F196" s="2" t="s">
        <v>19</v>
      </c>
      <c r="G196" s="2" t="s">
        <v>20</v>
      </c>
      <c r="H196" s="2" t="s">
        <v>21</v>
      </c>
      <c r="I196" s="2" t="s">
        <v>29</v>
      </c>
      <c r="J196" s="2" t="s">
        <v>22</v>
      </c>
    </row>
    <row r="197" spans="1:10" hidden="1" x14ac:dyDescent="0.3">
      <c r="A197" s="2" t="s">
        <v>222</v>
      </c>
      <c r="B197" s="2" t="s">
        <v>11</v>
      </c>
      <c r="C197" s="2" t="s">
        <v>43</v>
      </c>
      <c r="D197" s="2">
        <v>3</v>
      </c>
      <c r="E197" s="2">
        <v>6262727617</v>
      </c>
      <c r="F197" s="2" t="s">
        <v>19</v>
      </c>
      <c r="G197" s="2" t="s">
        <v>20</v>
      </c>
      <c r="H197" s="2" t="s">
        <v>21</v>
      </c>
      <c r="I197" s="2" t="s">
        <v>22</v>
      </c>
      <c r="J197" s="2" t="s">
        <v>23</v>
      </c>
    </row>
    <row r="198" spans="1:10" x14ac:dyDescent="0.3">
      <c r="A198" s="2" t="s">
        <v>556</v>
      </c>
      <c r="B198" s="2" t="s">
        <v>25</v>
      </c>
      <c r="C198" s="2" t="s">
        <v>12</v>
      </c>
      <c r="D198" s="2">
        <v>5</v>
      </c>
      <c r="E198" s="2">
        <v>9537103484</v>
      </c>
      <c r="F198" s="2" t="s">
        <v>13</v>
      </c>
      <c r="G198" s="2" t="s">
        <v>20</v>
      </c>
      <c r="H198" s="2" t="s">
        <v>21</v>
      </c>
      <c r="I198" s="2" t="s">
        <v>22</v>
      </c>
      <c r="J198" s="2" t="s">
        <v>22</v>
      </c>
    </row>
    <row r="199" spans="1:10" hidden="1" x14ac:dyDescent="0.3">
      <c r="A199" s="2" t="s">
        <v>224</v>
      </c>
      <c r="B199" s="2" t="s">
        <v>11</v>
      </c>
      <c r="C199" s="2" t="s">
        <v>26</v>
      </c>
      <c r="D199" s="2">
        <v>3</v>
      </c>
      <c r="E199" s="2">
        <v>8429504300</v>
      </c>
      <c r="F199" s="2" t="s">
        <v>19</v>
      </c>
      <c r="G199" s="2" t="s">
        <v>20</v>
      </c>
      <c r="H199" s="2" t="s">
        <v>21</v>
      </c>
      <c r="I199" s="2" t="s">
        <v>37</v>
      </c>
      <c r="J199" s="2" t="s">
        <v>17</v>
      </c>
    </row>
    <row r="200" spans="1:10" hidden="1" x14ac:dyDescent="0.3">
      <c r="A200" s="2" t="s">
        <v>225</v>
      </c>
      <c r="B200" s="2" t="s">
        <v>32</v>
      </c>
      <c r="C200" s="2" t="s">
        <v>26</v>
      </c>
      <c r="D200" s="2">
        <v>7</v>
      </c>
      <c r="E200" s="2">
        <v>7295585678</v>
      </c>
      <c r="F200" s="2" t="s">
        <v>19</v>
      </c>
      <c r="G200" s="2" t="s">
        <v>14</v>
      </c>
      <c r="H200" s="2" t="s">
        <v>15</v>
      </c>
      <c r="I200" s="2" t="s">
        <v>27</v>
      </c>
      <c r="J200" s="2" t="s">
        <v>17</v>
      </c>
    </row>
    <row r="201" spans="1:10" hidden="1" x14ac:dyDescent="0.3">
      <c r="A201" s="2" t="s">
        <v>226</v>
      </c>
      <c r="B201" s="2" t="s">
        <v>35</v>
      </c>
      <c r="C201" s="2" t="s">
        <v>26</v>
      </c>
      <c r="D201" s="2">
        <v>1</v>
      </c>
      <c r="E201" s="2">
        <v>8083959508</v>
      </c>
      <c r="F201" s="2" t="s">
        <v>19</v>
      </c>
      <c r="G201" s="2" t="s">
        <v>20</v>
      </c>
      <c r="H201" s="2" t="s">
        <v>15</v>
      </c>
      <c r="I201" s="2" t="s">
        <v>22</v>
      </c>
      <c r="J201" s="2" t="s">
        <v>22</v>
      </c>
    </row>
    <row r="202" spans="1:10" hidden="1" x14ac:dyDescent="0.3">
      <c r="A202" s="2" t="s">
        <v>227</v>
      </c>
      <c r="B202" s="2" t="s">
        <v>32</v>
      </c>
      <c r="C202" s="2" t="s">
        <v>36</v>
      </c>
      <c r="D202" s="2">
        <v>7</v>
      </c>
      <c r="E202" s="2">
        <v>8407487849</v>
      </c>
      <c r="F202" s="2" t="s">
        <v>19</v>
      </c>
      <c r="G202" s="2" t="s">
        <v>14</v>
      </c>
      <c r="H202" s="2" t="s">
        <v>15</v>
      </c>
      <c r="I202" s="2" t="s">
        <v>22</v>
      </c>
      <c r="J202" s="2" t="s">
        <v>23</v>
      </c>
    </row>
    <row r="203" spans="1:10" hidden="1" x14ac:dyDescent="0.3">
      <c r="A203" s="2" t="s">
        <v>228</v>
      </c>
      <c r="B203" s="2" t="s">
        <v>32</v>
      </c>
      <c r="C203" s="2" t="s">
        <v>43</v>
      </c>
      <c r="D203" s="2">
        <v>7</v>
      </c>
      <c r="E203" s="2">
        <v>8386575048</v>
      </c>
      <c r="F203" s="2" t="s">
        <v>19</v>
      </c>
      <c r="G203" s="2" t="s">
        <v>20</v>
      </c>
      <c r="H203" s="2" t="s">
        <v>21</v>
      </c>
      <c r="I203" s="2" t="s">
        <v>37</v>
      </c>
      <c r="J203" s="2" t="s">
        <v>23</v>
      </c>
    </row>
    <row r="204" spans="1:10" hidden="1" x14ac:dyDescent="0.3">
      <c r="A204" s="2" t="s">
        <v>229</v>
      </c>
      <c r="B204" s="2" t="s">
        <v>11</v>
      </c>
      <c r="C204" s="2" t="s">
        <v>12</v>
      </c>
      <c r="D204" s="2">
        <v>3</v>
      </c>
      <c r="E204" s="2">
        <v>7959427548</v>
      </c>
      <c r="F204" s="2" t="s">
        <v>19</v>
      </c>
      <c r="G204" s="2" t="s">
        <v>20</v>
      </c>
      <c r="H204" s="2" t="s">
        <v>21</v>
      </c>
      <c r="I204" s="2" t="s">
        <v>27</v>
      </c>
      <c r="J204" s="2" t="s">
        <v>17</v>
      </c>
    </row>
    <row r="205" spans="1:10" x14ac:dyDescent="0.3">
      <c r="A205" s="2" t="s">
        <v>133</v>
      </c>
      <c r="B205" s="2" t="s">
        <v>32</v>
      </c>
      <c r="C205" s="2" t="s">
        <v>43</v>
      </c>
      <c r="D205" s="2">
        <v>7</v>
      </c>
      <c r="E205" s="2">
        <v>9448379542</v>
      </c>
      <c r="F205" s="2" t="s">
        <v>13</v>
      </c>
      <c r="G205" s="2" t="s">
        <v>20</v>
      </c>
      <c r="H205" s="2" t="s">
        <v>15</v>
      </c>
      <c r="I205" s="2" t="s">
        <v>27</v>
      </c>
      <c r="J205" s="2" t="s">
        <v>22</v>
      </c>
    </row>
    <row r="206" spans="1:10" x14ac:dyDescent="0.3">
      <c r="A206" s="2" t="s">
        <v>591</v>
      </c>
      <c r="B206" s="2" t="s">
        <v>11</v>
      </c>
      <c r="C206" s="2" t="s">
        <v>36</v>
      </c>
      <c r="D206" s="2">
        <v>3</v>
      </c>
      <c r="E206" s="2">
        <v>8508206749</v>
      </c>
      <c r="F206" s="2" t="s">
        <v>13</v>
      </c>
      <c r="G206" s="2" t="s">
        <v>20</v>
      </c>
      <c r="H206" s="2" t="s">
        <v>15</v>
      </c>
      <c r="I206" s="2" t="s">
        <v>27</v>
      </c>
      <c r="J206" s="2" t="s">
        <v>22</v>
      </c>
    </row>
    <row r="207" spans="1:10" hidden="1" x14ac:dyDescent="0.3">
      <c r="A207" s="2" t="s">
        <v>232</v>
      </c>
      <c r="B207" s="2" t="s">
        <v>32</v>
      </c>
      <c r="C207" s="2" t="s">
        <v>36</v>
      </c>
      <c r="D207" s="2">
        <v>7</v>
      </c>
      <c r="E207" s="2">
        <v>6967100195</v>
      </c>
      <c r="F207" s="2" t="s">
        <v>19</v>
      </c>
      <c r="G207" s="2" t="s">
        <v>20</v>
      </c>
      <c r="H207" s="2" t="s">
        <v>21</v>
      </c>
      <c r="I207" s="2" t="s">
        <v>22</v>
      </c>
      <c r="J207" s="2" t="s">
        <v>22</v>
      </c>
    </row>
    <row r="208" spans="1:10" x14ac:dyDescent="0.3">
      <c r="A208" s="2" t="s">
        <v>10</v>
      </c>
      <c r="B208" s="2" t="s">
        <v>11</v>
      </c>
      <c r="C208" s="2" t="s">
        <v>12</v>
      </c>
      <c r="D208" s="2">
        <v>3</v>
      </c>
      <c r="E208" s="2">
        <v>9706233821</v>
      </c>
      <c r="F208" s="2" t="s">
        <v>13</v>
      </c>
      <c r="G208" s="2" t="s">
        <v>14</v>
      </c>
      <c r="H208" s="2" t="s">
        <v>15</v>
      </c>
      <c r="I208" s="2" t="s">
        <v>16</v>
      </c>
      <c r="J208" s="2" t="s">
        <v>17</v>
      </c>
    </row>
    <row r="209" spans="1:10" x14ac:dyDescent="0.3">
      <c r="A209" s="2" t="s">
        <v>569</v>
      </c>
      <c r="B209" s="2" t="s">
        <v>32</v>
      </c>
      <c r="C209" s="2" t="s">
        <v>43</v>
      </c>
      <c r="D209" s="2">
        <v>7</v>
      </c>
      <c r="E209" s="2">
        <v>7941047717</v>
      </c>
      <c r="F209" s="2" t="s">
        <v>13</v>
      </c>
      <c r="G209" s="2" t="s">
        <v>20</v>
      </c>
      <c r="H209" s="2" t="s">
        <v>21</v>
      </c>
      <c r="I209" s="2" t="s">
        <v>41</v>
      </c>
      <c r="J209" s="2" t="s">
        <v>22</v>
      </c>
    </row>
    <row r="210" spans="1:10" x14ac:dyDescent="0.3">
      <c r="A210" s="2" t="s">
        <v>362</v>
      </c>
      <c r="B210" s="2" t="s">
        <v>35</v>
      </c>
      <c r="C210" s="2" t="s">
        <v>43</v>
      </c>
      <c r="D210" s="2">
        <v>1</v>
      </c>
      <c r="E210" s="2">
        <v>9377927796</v>
      </c>
      <c r="F210" s="2" t="s">
        <v>13</v>
      </c>
      <c r="G210" s="2" t="s">
        <v>20</v>
      </c>
      <c r="H210" s="2" t="s">
        <v>15</v>
      </c>
      <c r="I210" s="2" t="s">
        <v>27</v>
      </c>
      <c r="J210" s="2" t="s">
        <v>22</v>
      </c>
    </row>
    <row r="211" spans="1:10" hidden="1" x14ac:dyDescent="0.3">
      <c r="A211" s="2" t="s">
        <v>236</v>
      </c>
      <c r="B211" s="2" t="s">
        <v>11</v>
      </c>
      <c r="C211" s="2" t="s">
        <v>33</v>
      </c>
      <c r="D211" s="2">
        <v>3</v>
      </c>
      <c r="E211" s="2">
        <v>7222501355</v>
      </c>
      <c r="F211" s="2" t="s">
        <v>19</v>
      </c>
      <c r="G211" s="2" t="s">
        <v>14</v>
      </c>
      <c r="H211" s="2" t="s">
        <v>21</v>
      </c>
      <c r="I211" s="2" t="s">
        <v>27</v>
      </c>
      <c r="J211" s="2" t="s">
        <v>22</v>
      </c>
    </row>
    <row r="212" spans="1:10" hidden="1" x14ac:dyDescent="0.3">
      <c r="A212" s="2" t="s">
        <v>237</v>
      </c>
      <c r="B212" s="2" t="s">
        <v>25</v>
      </c>
      <c r="C212" s="2" t="s">
        <v>43</v>
      </c>
      <c r="D212" s="2">
        <v>5</v>
      </c>
      <c r="E212" s="2">
        <v>9611732855</v>
      </c>
      <c r="F212" s="2" t="s">
        <v>19</v>
      </c>
      <c r="G212" s="2" t="s">
        <v>14</v>
      </c>
      <c r="H212" s="2" t="s">
        <v>15</v>
      </c>
      <c r="I212" s="2" t="s">
        <v>37</v>
      </c>
      <c r="J212" s="2" t="s">
        <v>23</v>
      </c>
    </row>
    <row r="213" spans="1:10" hidden="1" x14ac:dyDescent="0.3">
      <c r="A213" s="2" t="s">
        <v>238</v>
      </c>
      <c r="B213" s="2" t="s">
        <v>25</v>
      </c>
      <c r="C213" s="2" t="s">
        <v>43</v>
      </c>
      <c r="D213" s="2">
        <v>5</v>
      </c>
      <c r="E213" s="2">
        <v>9725796636</v>
      </c>
      <c r="F213" s="2" t="s">
        <v>19</v>
      </c>
      <c r="G213" s="2" t="s">
        <v>14</v>
      </c>
      <c r="H213" s="2" t="s">
        <v>21</v>
      </c>
      <c r="I213" s="2" t="s">
        <v>16</v>
      </c>
      <c r="J213" s="2" t="s">
        <v>23</v>
      </c>
    </row>
    <row r="214" spans="1:10" hidden="1" x14ac:dyDescent="0.3">
      <c r="A214" s="2" t="s">
        <v>239</v>
      </c>
      <c r="B214" s="2" t="s">
        <v>32</v>
      </c>
      <c r="C214" s="2" t="s">
        <v>26</v>
      </c>
      <c r="D214" s="2">
        <v>7</v>
      </c>
      <c r="E214" s="2">
        <v>9502345108</v>
      </c>
      <c r="F214" s="2" t="s">
        <v>19</v>
      </c>
      <c r="G214" s="2" t="s">
        <v>14</v>
      </c>
      <c r="H214" s="2" t="s">
        <v>21</v>
      </c>
      <c r="I214" s="2" t="s">
        <v>27</v>
      </c>
      <c r="J214" s="2" t="s">
        <v>17</v>
      </c>
    </row>
    <row r="215" spans="1:10" x14ac:dyDescent="0.3">
      <c r="A215" s="2" t="s">
        <v>122</v>
      </c>
      <c r="B215" s="2" t="s">
        <v>25</v>
      </c>
      <c r="C215" s="2" t="s">
        <v>36</v>
      </c>
      <c r="D215" s="2">
        <v>5</v>
      </c>
      <c r="E215" s="2">
        <v>6682518690</v>
      </c>
      <c r="F215" s="2" t="s">
        <v>13</v>
      </c>
      <c r="G215" s="2" t="s">
        <v>20</v>
      </c>
      <c r="H215" s="2" t="s">
        <v>15</v>
      </c>
      <c r="I215" s="2" t="s">
        <v>37</v>
      </c>
      <c r="J215" s="2" t="s">
        <v>22</v>
      </c>
    </row>
    <row r="216" spans="1:10" hidden="1" x14ac:dyDescent="0.3">
      <c r="A216" s="2" t="s">
        <v>241</v>
      </c>
      <c r="B216" s="2" t="s">
        <v>11</v>
      </c>
      <c r="C216" s="2" t="s">
        <v>26</v>
      </c>
      <c r="D216" s="2">
        <v>3</v>
      </c>
      <c r="E216" s="2">
        <v>8514209100</v>
      </c>
      <c r="F216" s="2" t="s">
        <v>19</v>
      </c>
      <c r="G216" s="2" t="s">
        <v>20</v>
      </c>
      <c r="H216" s="2" t="s">
        <v>21</v>
      </c>
      <c r="I216" s="2" t="s">
        <v>22</v>
      </c>
      <c r="J216" s="2" t="s">
        <v>22</v>
      </c>
    </row>
    <row r="217" spans="1:10" x14ac:dyDescent="0.3">
      <c r="A217" s="2" t="s">
        <v>311</v>
      </c>
      <c r="B217" s="2" t="s">
        <v>35</v>
      </c>
      <c r="C217" s="2" t="s">
        <v>12</v>
      </c>
      <c r="D217" s="2">
        <v>1</v>
      </c>
      <c r="E217" s="2">
        <v>6214259466</v>
      </c>
      <c r="F217" s="2" t="s">
        <v>13</v>
      </c>
      <c r="G217" s="2" t="s">
        <v>14</v>
      </c>
      <c r="H217" s="2" t="s">
        <v>15</v>
      </c>
      <c r="I217" s="2" t="s">
        <v>22</v>
      </c>
      <c r="J217" s="2" t="s">
        <v>23</v>
      </c>
    </row>
    <row r="218" spans="1:10" hidden="1" x14ac:dyDescent="0.3">
      <c r="A218" s="2" t="s">
        <v>243</v>
      </c>
      <c r="B218" s="2" t="s">
        <v>35</v>
      </c>
      <c r="C218" s="2" t="s">
        <v>26</v>
      </c>
      <c r="D218" s="2">
        <v>1</v>
      </c>
      <c r="E218" s="2">
        <v>8892986939</v>
      </c>
      <c r="F218" s="2" t="s">
        <v>19</v>
      </c>
      <c r="G218" s="2" t="s">
        <v>14</v>
      </c>
      <c r="H218" s="2" t="s">
        <v>21</v>
      </c>
      <c r="I218" s="2" t="s">
        <v>16</v>
      </c>
      <c r="J218" s="2" t="s">
        <v>17</v>
      </c>
    </row>
    <row r="219" spans="1:10" hidden="1" x14ac:dyDescent="0.3">
      <c r="A219" s="2" t="s">
        <v>244</v>
      </c>
      <c r="B219" s="2" t="s">
        <v>32</v>
      </c>
      <c r="C219" s="2" t="s">
        <v>33</v>
      </c>
      <c r="D219" s="2">
        <v>7</v>
      </c>
      <c r="E219" s="2">
        <v>7811731818</v>
      </c>
      <c r="F219" s="2" t="s">
        <v>19</v>
      </c>
      <c r="G219" s="2" t="s">
        <v>20</v>
      </c>
      <c r="H219" s="2" t="s">
        <v>15</v>
      </c>
      <c r="I219" s="2" t="s">
        <v>29</v>
      </c>
      <c r="J219" s="2" t="s">
        <v>22</v>
      </c>
    </row>
    <row r="220" spans="1:10" hidden="1" x14ac:dyDescent="0.3">
      <c r="A220" s="2" t="s">
        <v>245</v>
      </c>
      <c r="B220" s="2" t="s">
        <v>32</v>
      </c>
      <c r="C220" s="2" t="s">
        <v>36</v>
      </c>
      <c r="D220" s="2">
        <v>7</v>
      </c>
      <c r="E220" s="2">
        <v>6442387570</v>
      </c>
      <c r="F220" s="2" t="s">
        <v>19</v>
      </c>
      <c r="G220" s="2" t="s">
        <v>20</v>
      </c>
      <c r="H220" s="2" t="s">
        <v>15</v>
      </c>
      <c r="I220" s="2" t="s">
        <v>22</v>
      </c>
      <c r="J220" s="2" t="s">
        <v>17</v>
      </c>
    </row>
    <row r="221" spans="1:10" hidden="1" x14ac:dyDescent="0.3">
      <c r="A221" s="2" t="s">
        <v>246</v>
      </c>
      <c r="B221" s="2" t="s">
        <v>32</v>
      </c>
      <c r="C221" s="2" t="s">
        <v>33</v>
      </c>
      <c r="D221" s="2">
        <v>7</v>
      </c>
      <c r="E221" s="2">
        <v>7503032656</v>
      </c>
      <c r="F221" s="2" t="s">
        <v>19</v>
      </c>
      <c r="G221" s="2" t="s">
        <v>14</v>
      </c>
      <c r="H221" s="2" t="s">
        <v>15</v>
      </c>
      <c r="I221" s="2" t="s">
        <v>27</v>
      </c>
      <c r="J221" s="2" t="s">
        <v>23</v>
      </c>
    </row>
    <row r="222" spans="1:10" x14ac:dyDescent="0.3">
      <c r="A222" s="2" t="s">
        <v>426</v>
      </c>
      <c r="B222" s="2" t="s">
        <v>25</v>
      </c>
      <c r="C222" s="2" t="s">
        <v>36</v>
      </c>
      <c r="D222" s="2">
        <v>5</v>
      </c>
      <c r="E222" s="2">
        <v>6842400297</v>
      </c>
      <c r="F222" s="2" t="s">
        <v>13</v>
      </c>
      <c r="G222" s="2" t="s">
        <v>20</v>
      </c>
      <c r="H222" s="2" t="s">
        <v>21</v>
      </c>
      <c r="I222" s="2" t="s">
        <v>16</v>
      </c>
      <c r="J222" s="2" t="s">
        <v>22</v>
      </c>
    </row>
    <row r="223" spans="1:10" hidden="1" x14ac:dyDescent="0.3">
      <c r="A223" s="2" t="s">
        <v>248</v>
      </c>
      <c r="B223" s="2" t="s">
        <v>32</v>
      </c>
      <c r="C223" s="2" t="s">
        <v>33</v>
      </c>
      <c r="D223" s="2">
        <v>7</v>
      </c>
      <c r="E223" s="2">
        <v>6760935768</v>
      </c>
      <c r="F223" s="2" t="s">
        <v>19</v>
      </c>
      <c r="G223" s="2" t="s">
        <v>14</v>
      </c>
      <c r="H223" s="2" t="s">
        <v>15</v>
      </c>
      <c r="I223" s="2" t="s">
        <v>22</v>
      </c>
      <c r="J223" s="2" t="s">
        <v>22</v>
      </c>
    </row>
    <row r="224" spans="1:10" x14ac:dyDescent="0.3">
      <c r="A224" s="2" t="s">
        <v>170</v>
      </c>
      <c r="B224" s="2" t="s">
        <v>35</v>
      </c>
      <c r="C224" s="2" t="s">
        <v>12</v>
      </c>
      <c r="D224" s="2">
        <v>1</v>
      </c>
      <c r="E224" s="2">
        <v>6841136105</v>
      </c>
      <c r="F224" s="2" t="s">
        <v>13</v>
      </c>
      <c r="G224" s="2" t="s">
        <v>20</v>
      </c>
      <c r="H224" s="2" t="s">
        <v>15</v>
      </c>
      <c r="I224" s="2" t="s">
        <v>22</v>
      </c>
      <c r="J224" s="2" t="s">
        <v>17</v>
      </c>
    </row>
    <row r="225" spans="1:10" hidden="1" x14ac:dyDescent="0.3">
      <c r="A225" s="2" t="s">
        <v>250</v>
      </c>
      <c r="B225" s="2" t="s">
        <v>32</v>
      </c>
      <c r="C225" s="2" t="s">
        <v>43</v>
      </c>
      <c r="D225" s="2">
        <v>7</v>
      </c>
      <c r="E225" s="2">
        <v>8008795602</v>
      </c>
      <c r="F225" s="2" t="s">
        <v>19</v>
      </c>
      <c r="G225" s="2" t="s">
        <v>14</v>
      </c>
      <c r="H225" s="2" t="s">
        <v>15</v>
      </c>
      <c r="I225" s="2" t="s">
        <v>22</v>
      </c>
      <c r="J225" s="2" t="s">
        <v>17</v>
      </c>
    </row>
    <row r="226" spans="1:10" hidden="1" x14ac:dyDescent="0.3">
      <c r="A226" s="2" t="s">
        <v>251</v>
      </c>
      <c r="B226" s="2" t="s">
        <v>32</v>
      </c>
      <c r="C226" s="2" t="s">
        <v>33</v>
      </c>
      <c r="D226" s="2">
        <v>7</v>
      </c>
      <c r="E226" s="2">
        <v>7354403246</v>
      </c>
      <c r="F226" s="2" t="s">
        <v>19</v>
      </c>
      <c r="G226" s="2" t="s">
        <v>20</v>
      </c>
      <c r="H226" s="2" t="s">
        <v>15</v>
      </c>
      <c r="I226" s="2" t="s">
        <v>22</v>
      </c>
      <c r="J226" s="2" t="s">
        <v>17</v>
      </c>
    </row>
    <row r="227" spans="1:10" x14ac:dyDescent="0.3">
      <c r="A227" s="2" t="s">
        <v>382</v>
      </c>
      <c r="B227" s="2" t="s">
        <v>25</v>
      </c>
      <c r="C227" s="2" t="s">
        <v>36</v>
      </c>
      <c r="D227" s="2">
        <v>5</v>
      </c>
      <c r="E227" s="2">
        <v>6041006304</v>
      </c>
      <c r="F227" s="2" t="s">
        <v>13</v>
      </c>
      <c r="G227" s="2" t="s">
        <v>14</v>
      </c>
      <c r="H227" s="2" t="s">
        <v>21</v>
      </c>
      <c r="I227" s="2" t="s">
        <v>22</v>
      </c>
      <c r="J227" s="2" t="s">
        <v>22</v>
      </c>
    </row>
    <row r="228" spans="1:10" x14ac:dyDescent="0.3">
      <c r="A228" s="2" t="s">
        <v>39</v>
      </c>
      <c r="B228" s="2" t="s">
        <v>35</v>
      </c>
      <c r="C228" s="2" t="s">
        <v>36</v>
      </c>
      <c r="D228" s="2">
        <v>1</v>
      </c>
      <c r="E228" s="2">
        <v>6429670666</v>
      </c>
      <c r="F228" s="2" t="s">
        <v>13</v>
      </c>
      <c r="G228" s="2" t="s">
        <v>20</v>
      </c>
      <c r="H228" s="2" t="s">
        <v>15</v>
      </c>
      <c r="I228" s="2" t="s">
        <v>27</v>
      </c>
      <c r="J228" s="2" t="s">
        <v>17</v>
      </c>
    </row>
    <row r="229" spans="1:10" hidden="1" x14ac:dyDescent="0.3">
      <c r="A229" s="2" t="s">
        <v>254</v>
      </c>
      <c r="B229" s="2" t="s">
        <v>11</v>
      </c>
      <c r="C229" s="2" t="s">
        <v>33</v>
      </c>
      <c r="D229" s="2">
        <v>3</v>
      </c>
      <c r="E229" s="2">
        <v>6119945810</v>
      </c>
      <c r="F229" s="2" t="s">
        <v>19</v>
      </c>
      <c r="G229" s="2" t="s">
        <v>14</v>
      </c>
      <c r="H229" s="2" t="s">
        <v>21</v>
      </c>
      <c r="I229" s="2" t="s">
        <v>22</v>
      </c>
      <c r="J229" s="2" t="s">
        <v>23</v>
      </c>
    </row>
    <row r="230" spans="1:10" hidden="1" x14ac:dyDescent="0.3">
      <c r="A230" s="2" t="s">
        <v>255</v>
      </c>
      <c r="B230" s="2" t="s">
        <v>25</v>
      </c>
      <c r="C230" s="2" t="s">
        <v>12</v>
      </c>
      <c r="D230" s="2">
        <v>5</v>
      </c>
      <c r="E230" s="2">
        <v>6063974507</v>
      </c>
      <c r="F230" s="2" t="s">
        <v>19</v>
      </c>
      <c r="G230" s="2" t="s">
        <v>14</v>
      </c>
      <c r="H230" s="2" t="s">
        <v>15</v>
      </c>
      <c r="I230" s="2" t="s">
        <v>37</v>
      </c>
      <c r="J230" s="2" t="s">
        <v>22</v>
      </c>
    </row>
    <row r="231" spans="1:10" x14ac:dyDescent="0.3">
      <c r="A231" s="2" t="s">
        <v>92</v>
      </c>
      <c r="B231" s="2" t="s">
        <v>11</v>
      </c>
      <c r="C231" s="2" t="s">
        <v>36</v>
      </c>
      <c r="D231" s="2">
        <v>3</v>
      </c>
      <c r="E231" s="2">
        <v>8111844125</v>
      </c>
      <c r="F231" s="2" t="s">
        <v>13</v>
      </c>
      <c r="G231" s="2" t="s">
        <v>14</v>
      </c>
      <c r="H231" s="2" t="s">
        <v>15</v>
      </c>
      <c r="I231" s="2" t="s">
        <v>41</v>
      </c>
      <c r="J231" s="2" t="s">
        <v>17</v>
      </c>
    </row>
    <row r="232" spans="1:10" x14ac:dyDescent="0.3">
      <c r="A232" s="2" t="s">
        <v>92</v>
      </c>
      <c r="B232" s="2" t="s">
        <v>25</v>
      </c>
      <c r="C232" s="2" t="s">
        <v>26</v>
      </c>
      <c r="D232" s="2">
        <v>5</v>
      </c>
      <c r="E232" s="2">
        <v>8033326799</v>
      </c>
      <c r="F232" s="2" t="s">
        <v>13</v>
      </c>
      <c r="G232" s="2" t="s">
        <v>14</v>
      </c>
      <c r="H232" s="2" t="s">
        <v>21</v>
      </c>
      <c r="I232" s="2" t="s">
        <v>22</v>
      </c>
      <c r="J232" s="2" t="s">
        <v>17</v>
      </c>
    </row>
    <row r="233" spans="1:10" x14ac:dyDescent="0.3">
      <c r="A233" s="2" t="s">
        <v>561</v>
      </c>
      <c r="B233" s="2" t="s">
        <v>11</v>
      </c>
      <c r="C233" s="2" t="s">
        <v>26</v>
      </c>
      <c r="D233" s="2">
        <v>3</v>
      </c>
      <c r="E233" s="2">
        <v>9470306834</v>
      </c>
      <c r="F233" s="2" t="s">
        <v>13</v>
      </c>
      <c r="G233" s="2" t="s">
        <v>20</v>
      </c>
      <c r="H233" s="2" t="s">
        <v>21</v>
      </c>
      <c r="I233" s="2" t="s">
        <v>22</v>
      </c>
      <c r="J233" s="2" t="s">
        <v>23</v>
      </c>
    </row>
    <row r="234" spans="1:10" hidden="1" x14ac:dyDescent="0.3">
      <c r="A234" s="2" t="s">
        <v>259</v>
      </c>
      <c r="B234" s="2" t="s">
        <v>11</v>
      </c>
      <c r="C234" s="2" t="s">
        <v>12</v>
      </c>
      <c r="D234" s="2">
        <v>3</v>
      </c>
      <c r="E234" s="2">
        <v>7112911090</v>
      </c>
      <c r="F234" s="2" t="s">
        <v>19</v>
      </c>
      <c r="G234" s="2" t="s">
        <v>20</v>
      </c>
      <c r="H234" s="2" t="s">
        <v>21</v>
      </c>
      <c r="I234" s="2" t="s">
        <v>41</v>
      </c>
      <c r="J234" s="2" t="s">
        <v>23</v>
      </c>
    </row>
    <row r="235" spans="1:10" hidden="1" x14ac:dyDescent="0.3">
      <c r="A235" s="2" t="s">
        <v>260</v>
      </c>
      <c r="B235" s="2" t="s">
        <v>25</v>
      </c>
      <c r="C235" s="2" t="s">
        <v>43</v>
      </c>
      <c r="D235" s="2">
        <v>5</v>
      </c>
      <c r="E235" s="2">
        <v>7615308856</v>
      </c>
      <c r="F235" s="2" t="s">
        <v>19</v>
      </c>
      <c r="G235" s="2" t="s">
        <v>14</v>
      </c>
      <c r="H235" s="2" t="s">
        <v>21</v>
      </c>
      <c r="I235" s="2" t="s">
        <v>41</v>
      </c>
      <c r="J235" s="2" t="s">
        <v>23</v>
      </c>
    </row>
    <row r="236" spans="1:10" hidden="1" x14ac:dyDescent="0.3">
      <c r="A236" s="2" t="s">
        <v>261</v>
      </c>
      <c r="B236" s="2" t="s">
        <v>25</v>
      </c>
      <c r="C236" s="2" t="s">
        <v>33</v>
      </c>
      <c r="D236" s="2">
        <v>5</v>
      </c>
      <c r="E236" s="2">
        <v>9847899395</v>
      </c>
      <c r="F236" s="2" t="s">
        <v>19</v>
      </c>
      <c r="G236" s="2" t="s">
        <v>14</v>
      </c>
      <c r="H236" s="2" t="s">
        <v>15</v>
      </c>
      <c r="I236" s="2" t="s">
        <v>37</v>
      </c>
      <c r="J236" s="2" t="s">
        <v>22</v>
      </c>
    </row>
    <row r="237" spans="1:10" hidden="1" x14ac:dyDescent="0.3">
      <c r="A237" s="2" t="s">
        <v>262</v>
      </c>
      <c r="B237" s="2" t="s">
        <v>11</v>
      </c>
      <c r="C237" s="2" t="s">
        <v>33</v>
      </c>
      <c r="D237" s="2">
        <v>3</v>
      </c>
      <c r="E237" s="2">
        <v>7902422598</v>
      </c>
      <c r="F237" s="2" t="s">
        <v>19</v>
      </c>
      <c r="G237" s="2" t="s">
        <v>14</v>
      </c>
      <c r="H237" s="2" t="s">
        <v>15</v>
      </c>
      <c r="I237" s="2" t="s">
        <v>22</v>
      </c>
      <c r="J237" s="2" t="s">
        <v>23</v>
      </c>
    </row>
    <row r="238" spans="1:10" x14ac:dyDescent="0.3">
      <c r="A238" s="2" t="s">
        <v>102</v>
      </c>
      <c r="B238" s="2" t="s">
        <v>32</v>
      </c>
      <c r="C238" s="2" t="s">
        <v>43</v>
      </c>
      <c r="D238" s="2">
        <v>7</v>
      </c>
      <c r="E238" s="2">
        <v>7598011615</v>
      </c>
      <c r="F238" s="2" t="s">
        <v>13</v>
      </c>
      <c r="G238" s="2" t="s">
        <v>20</v>
      </c>
      <c r="H238" s="2" t="s">
        <v>15</v>
      </c>
      <c r="I238" s="2" t="s">
        <v>29</v>
      </c>
      <c r="J238" s="2" t="s">
        <v>22</v>
      </c>
    </row>
    <row r="239" spans="1:10" hidden="1" x14ac:dyDescent="0.3">
      <c r="A239" s="2" t="s">
        <v>264</v>
      </c>
      <c r="B239" s="2" t="s">
        <v>32</v>
      </c>
      <c r="C239" s="2" t="s">
        <v>12</v>
      </c>
      <c r="D239" s="2">
        <v>7</v>
      </c>
      <c r="E239" s="2">
        <v>6538891921</v>
      </c>
      <c r="F239" s="2" t="s">
        <v>19</v>
      </c>
      <c r="G239" s="2" t="s">
        <v>20</v>
      </c>
      <c r="H239" s="2" t="s">
        <v>21</v>
      </c>
      <c r="I239" s="2" t="s">
        <v>22</v>
      </c>
      <c r="J239" s="2" t="s">
        <v>17</v>
      </c>
    </row>
    <row r="240" spans="1:10" hidden="1" x14ac:dyDescent="0.3">
      <c r="A240" s="2" t="s">
        <v>265</v>
      </c>
      <c r="B240" s="2" t="s">
        <v>11</v>
      </c>
      <c r="C240" s="2" t="s">
        <v>12</v>
      </c>
      <c r="D240" s="2">
        <v>3</v>
      </c>
      <c r="E240" s="2">
        <v>6764981615</v>
      </c>
      <c r="F240" s="2" t="s">
        <v>19</v>
      </c>
      <c r="G240" s="2" t="s">
        <v>14</v>
      </c>
      <c r="H240" s="2" t="s">
        <v>21</v>
      </c>
      <c r="I240" s="2" t="s">
        <v>37</v>
      </c>
      <c r="J240" s="2" t="s">
        <v>22</v>
      </c>
    </row>
    <row r="241" spans="1:10" hidden="1" x14ac:dyDescent="0.3">
      <c r="A241" s="2" t="s">
        <v>127</v>
      </c>
      <c r="B241" s="2" t="s">
        <v>25</v>
      </c>
      <c r="C241" s="2" t="s">
        <v>26</v>
      </c>
      <c r="D241" s="2">
        <v>5</v>
      </c>
      <c r="E241" s="2">
        <v>6897919819</v>
      </c>
      <c r="F241" s="2" t="s">
        <v>19</v>
      </c>
      <c r="G241" s="2" t="s">
        <v>20</v>
      </c>
      <c r="H241" s="2" t="s">
        <v>15</v>
      </c>
      <c r="I241" s="2" t="s">
        <v>41</v>
      </c>
      <c r="J241" s="2" t="s">
        <v>22</v>
      </c>
    </row>
    <row r="242" spans="1:10" hidden="1" x14ac:dyDescent="0.3">
      <c r="A242" s="2" t="s">
        <v>266</v>
      </c>
      <c r="B242" s="2" t="s">
        <v>25</v>
      </c>
      <c r="C242" s="2" t="s">
        <v>12</v>
      </c>
      <c r="D242" s="2">
        <v>5</v>
      </c>
      <c r="E242" s="2">
        <v>7147300176</v>
      </c>
      <c r="F242" s="2" t="s">
        <v>19</v>
      </c>
      <c r="G242" s="2" t="s">
        <v>20</v>
      </c>
      <c r="H242" s="2" t="s">
        <v>15</v>
      </c>
      <c r="I242" s="2" t="s">
        <v>22</v>
      </c>
      <c r="J242" s="2" t="s">
        <v>23</v>
      </c>
    </row>
    <row r="243" spans="1:10" x14ac:dyDescent="0.3">
      <c r="A243" s="2" t="s">
        <v>435</v>
      </c>
      <c r="B243" s="2" t="s">
        <v>11</v>
      </c>
      <c r="C243" s="2" t="s">
        <v>36</v>
      </c>
      <c r="D243" s="2">
        <v>3</v>
      </c>
      <c r="E243" s="2">
        <v>8425499906</v>
      </c>
      <c r="F243" s="2" t="s">
        <v>13</v>
      </c>
      <c r="G243" s="2" t="s">
        <v>20</v>
      </c>
      <c r="H243" s="2" t="s">
        <v>15</v>
      </c>
      <c r="I243" s="2" t="s">
        <v>37</v>
      </c>
      <c r="J243" s="2" t="s">
        <v>22</v>
      </c>
    </row>
    <row r="244" spans="1:10" x14ac:dyDescent="0.3">
      <c r="A244" s="2" t="s">
        <v>160</v>
      </c>
      <c r="B244" s="2" t="s">
        <v>25</v>
      </c>
      <c r="C244" s="2" t="s">
        <v>12</v>
      </c>
      <c r="D244" s="2">
        <v>5</v>
      </c>
      <c r="E244" s="2">
        <v>6374361460</v>
      </c>
      <c r="F244" s="2" t="s">
        <v>13</v>
      </c>
      <c r="G244" s="2" t="s">
        <v>20</v>
      </c>
      <c r="H244" s="2" t="s">
        <v>21</v>
      </c>
      <c r="I244" s="2" t="s">
        <v>22</v>
      </c>
      <c r="J244" s="2" t="s">
        <v>22</v>
      </c>
    </row>
    <row r="245" spans="1:10" hidden="1" x14ac:dyDescent="0.3">
      <c r="A245" s="2" t="s">
        <v>269</v>
      </c>
      <c r="B245" s="2" t="s">
        <v>32</v>
      </c>
      <c r="C245" s="2" t="s">
        <v>26</v>
      </c>
      <c r="D245" s="2">
        <v>7</v>
      </c>
      <c r="E245" s="2">
        <v>8003475837</v>
      </c>
      <c r="F245" s="2" t="s">
        <v>19</v>
      </c>
      <c r="G245" s="2" t="s">
        <v>20</v>
      </c>
      <c r="H245" s="2" t="s">
        <v>15</v>
      </c>
      <c r="I245" s="2" t="s">
        <v>41</v>
      </c>
      <c r="J245" s="2" t="s">
        <v>23</v>
      </c>
    </row>
    <row r="246" spans="1:10" hidden="1" x14ac:dyDescent="0.3">
      <c r="A246" s="2" t="s">
        <v>270</v>
      </c>
      <c r="B246" s="2" t="s">
        <v>32</v>
      </c>
      <c r="C246" s="2" t="s">
        <v>43</v>
      </c>
      <c r="D246" s="2">
        <v>7</v>
      </c>
      <c r="E246" s="2">
        <v>8705613636</v>
      </c>
      <c r="F246" s="2" t="s">
        <v>19</v>
      </c>
      <c r="G246" s="2" t="s">
        <v>20</v>
      </c>
      <c r="H246" s="2" t="s">
        <v>21</v>
      </c>
      <c r="I246" s="2" t="s">
        <v>16</v>
      </c>
      <c r="J246" s="2" t="s">
        <v>22</v>
      </c>
    </row>
    <row r="247" spans="1:10" x14ac:dyDescent="0.3">
      <c r="A247" s="2" t="s">
        <v>565</v>
      </c>
      <c r="B247" s="2" t="s">
        <v>25</v>
      </c>
      <c r="C247" s="2" t="s">
        <v>26</v>
      </c>
      <c r="D247" s="2">
        <v>5</v>
      </c>
      <c r="E247" s="2">
        <v>8571037427</v>
      </c>
      <c r="F247" s="2" t="s">
        <v>13</v>
      </c>
      <c r="G247" s="2" t="s">
        <v>20</v>
      </c>
      <c r="H247" s="2" t="s">
        <v>21</v>
      </c>
      <c r="I247" s="2" t="s">
        <v>22</v>
      </c>
      <c r="J247" s="2" t="s">
        <v>17</v>
      </c>
    </row>
    <row r="248" spans="1:10" x14ac:dyDescent="0.3">
      <c r="A248" s="2" t="s">
        <v>168</v>
      </c>
      <c r="B248" s="2" t="s">
        <v>11</v>
      </c>
      <c r="C248" s="2" t="s">
        <v>36</v>
      </c>
      <c r="D248" s="2">
        <v>3</v>
      </c>
      <c r="E248" s="2">
        <v>8614255190</v>
      </c>
      <c r="F248" s="2" t="s">
        <v>13</v>
      </c>
      <c r="G248" s="2" t="s">
        <v>20</v>
      </c>
      <c r="H248" s="2" t="s">
        <v>15</v>
      </c>
      <c r="I248" s="2" t="s">
        <v>41</v>
      </c>
      <c r="J248" s="2" t="s">
        <v>17</v>
      </c>
    </row>
    <row r="249" spans="1:10" x14ac:dyDescent="0.3">
      <c r="A249" s="2" t="s">
        <v>595</v>
      </c>
      <c r="B249" s="2" t="s">
        <v>11</v>
      </c>
      <c r="C249" s="2" t="s">
        <v>36</v>
      </c>
      <c r="D249" s="2">
        <v>3</v>
      </c>
      <c r="E249" s="2">
        <v>6326243264</v>
      </c>
      <c r="F249" s="2" t="s">
        <v>13</v>
      </c>
      <c r="G249" s="2" t="s">
        <v>20</v>
      </c>
      <c r="H249" s="2" t="s">
        <v>15</v>
      </c>
      <c r="I249" s="2" t="s">
        <v>16</v>
      </c>
      <c r="J249" s="2" t="s">
        <v>17</v>
      </c>
    </row>
    <row r="250" spans="1:10" x14ac:dyDescent="0.3">
      <c r="A250" s="2" t="s">
        <v>307</v>
      </c>
      <c r="B250" s="2" t="s">
        <v>11</v>
      </c>
      <c r="C250" s="2" t="s">
        <v>12</v>
      </c>
      <c r="D250" s="2">
        <v>3</v>
      </c>
      <c r="E250" s="2">
        <v>9581677026</v>
      </c>
      <c r="F250" s="2" t="s">
        <v>13</v>
      </c>
      <c r="G250" s="2" t="s">
        <v>14</v>
      </c>
      <c r="H250" s="2" t="s">
        <v>21</v>
      </c>
      <c r="I250" s="2" t="s">
        <v>22</v>
      </c>
      <c r="J250" s="2" t="s">
        <v>23</v>
      </c>
    </row>
    <row r="251" spans="1:10" x14ac:dyDescent="0.3">
      <c r="A251" s="2" t="s">
        <v>546</v>
      </c>
      <c r="B251" s="2" t="s">
        <v>11</v>
      </c>
      <c r="C251" s="2" t="s">
        <v>26</v>
      </c>
      <c r="D251" s="2">
        <v>3</v>
      </c>
      <c r="E251" s="2">
        <v>7691732993</v>
      </c>
      <c r="F251" s="2" t="s">
        <v>13</v>
      </c>
      <c r="G251" s="2" t="s">
        <v>14</v>
      </c>
      <c r="H251" s="2" t="s">
        <v>21</v>
      </c>
      <c r="I251" s="2" t="s">
        <v>16</v>
      </c>
      <c r="J251" s="2" t="s">
        <v>23</v>
      </c>
    </row>
    <row r="252" spans="1:10" x14ac:dyDescent="0.3">
      <c r="A252" s="2" t="s">
        <v>214</v>
      </c>
      <c r="B252" s="2" t="s">
        <v>25</v>
      </c>
      <c r="C252" s="2" t="s">
        <v>33</v>
      </c>
      <c r="D252" s="2">
        <v>5</v>
      </c>
      <c r="E252" s="2">
        <v>6705599047</v>
      </c>
      <c r="F252" s="2" t="s">
        <v>13</v>
      </c>
      <c r="G252" s="2" t="s">
        <v>20</v>
      </c>
      <c r="H252" s="2" t="s">
        <v>21</v>
      </c>
      <c r="I252" s="2" t="s">
        <v>22</v>
      </c>
      <c r="J252" s="2" t="s">
        <v>23</v>
      </c>
    </row>
    <row r="253" spans="1:10" x14ac:dyDescent="0.3">
      <c r="A253" s="2" t="s">
        <v>104</v>
      </c>
      <c r="B253" s="2" t="s">
        <v>25</v>
      </c>
      <c r="C253" s="2" t="s">
        <v>36</v>
      </c>
      <c r="D253" s="2">
        <v>5</v>
      </c>
      <c r="E253" s="2">
        <v>9355691350</v>
      </c>
      <c r="F253" s="2" t="s">
        <v>13</v>
      </c>
      <c r="G253" s="2" t="s">
        <v>14</v>
      </c>
      <c r="H253" s="2" t="s">
        <v>21</v>
      </c>
      <c r="I253" s="2" t="s">
        <v>29</v>
      </c>
      <c r="J253" s="2" t="s">
        <v>22</v>
      </c>
    </row>
    <row r="254" spans="1:10" x14ac:dyDescent="0.3">
      <c r="A254" s="2" t="s">
        <v>68</v>
      </c>
      <c r="B254" s="2" t="s">
        <v>11</v>
      </c>
      <c r="C254" s="2" t="s">
        <v>33</v>
      </c>
      <c r="D254" s="2">
        <v>3</v>
      </c>
      <c r="E254" s="2">
        <v>7056970334</v>
      </c>
      <c r="F254" s="2" t="s">
        <v>13</v>
      </c>
      <c r="G254" s="2" t="s">
        <v>20</v>
      </c>
      <c r="H254" s="2" t="s">
        <v>21</v>
      </c>
      <c r="I254" s="2" t="s">
        <v>41</v>
      </c>
      <c r="J254" s="2" t="s">
        <v>23</v>
      </c>
    </row>
    <row r="255" spans="1:10" hidden="1" x14ac:dyDescent="0.3">
      <c r="A255" s="2" t="s">
        <v>279</v>
      </c>
      <c r="B255" s="2" t="s">
        <v>25</v>
      </c>
      <c r="C255" s="2" t="s">
        <v>43</v>
      </c>
      <c r="D255" s="2">
        <v>5</v>
      </c>
      <c r="E255" s="2">
        <v>8908711740</v>
      </c>
      <c r="F255" s="2" t="s">
        <v>19</v>
      </c>
      <c r="G255" s="2" t="s">
        <v>14</v>
      </c>
      <c r="H255" s="2" t="s">
        <v>21</v>
      </c>
      <c r="I255" s="2" t="s">
        <v>22</v>
      </c>
      <c r="J255" s="2" t="s">
        <v>23</v>
      </c>
    </row>
    <row r="256" spans="1:10" hidden="1" x14ac:dyDescent="0.3">
      <c r="A256" s="2" t="s">
        <v>280</v>
      </c>
      <c r="B256" s="2" t="s">
        <v>11</v>
      </c>
      <c r="C256" s="2" t="s">
        <v>36</v>
      </c>
      <c r="D256" s="2">
        <v>3</v>
      </c>
      <c r="E256" s="2">
        <v>9994241163</v>
      </c>
      <c r="F256" s="2" t="s">
        <v>19</v>
      </c>
      <c r="G256" s="2" t="s">
        <v>14</v>
      </c>
      <c r="H256" s="2" t="s">
        <v>21</v>
      </c>
      <c r="I256" s="2" t="s">
        <v>29</v>
      </c>
      <c r="J256" s="2" t="s">
        <v>22</v>
      </c>
    </row>
    <row r="257" spans="1:10" x14ac:dyDescent="0.3">
      <c r="A257" s="2" t="s">
        <v>68</v>
      </c>
      <c r="B257" s="2" t="s">
        <v>35</v>
      </c>
      <c r="C257" s="2" t="s">
        <v>12</v>
      </c>
      <c r="D257" s="2">
        <v>1</v>
      </c>
      <c r="E257" s="2">
        <v>8716524803</v>
      </c>
      <c r="F257" s="2" t="s">
        <v>13</v>
      </c>
      <c r="G257" s="2" t="s">
        <v>14</v>
      </c>
      <c r="H257" s="2" t="s">
        <v>21</v>
      </c>
      <c r="I257" s="2" t="s">
        <v>22</v>
      </c>
      <c r="J257" s="2" t="s">
        <v>17</v>
      </c>
    </row>
    <row r="258" spans="1:10" hidden="1" x14ac:dyDescent="0.3">
      <c r="A258" s="2" t="s">
        <v>282</v>
      </c>
      <c r="B258" s="2" t="s">
        <v>11</v>
      </c>
      <c r="C258" s="2" t="s">
        <v>36</v>
      </c>
      <c r="D258" s="2">
        <v>3</v>
      </c>
      <c r="E258" s="2">
        <v>8080619526</v>
      </c>
      <c r="F258" s="2" t="s">
        <v>19</v>
      </c>
      <c r="G258" s="2" t="s">
        <v>20</v>
      </c>
      <c r="H258" s="2" t="s">
        <v>15</v>
      </c>
      <c r="I258" s="2" t="s">
        <v>27</v>
      </c>
      <c r="J258" s="2" t="s">
        <v>23</v>
      </c>
    </row>
    <row r="259" spans="1:10" hidden="1" x14ac:dyDescent="0.3">
      <c r="A259" s="2" t="s">
        <v>283</v>
      </c>
      <c r="B259" s="2" t="s">
        <v>32</v>
      </c>
      <c r="C259" s="2" t="s">
        <v>12</v>
      </c>
      <c r="D259" s="2">
        <v>7</v>
      </c>
      <c r="E259" s="2">
        <v>8523942137</v>
      </c>
      <c r="F259" s="2" t="s">
        <v>19</v>
      </c>
      <c r="G259" s="2" t="s">
        <v>20</v>
      </c>
      <c r="H259" s="2" t="s">
        <v>21</v>
      </c>
      <c r="I259" s="2" t="s">
        <v>22</v>
      </c>
      <c r="J259" s="2" t="s">
        <v>17</v>
      </c>
    </row>
    <row r="260" spans="1:10" x14ac:dyDescent="0.3">
      <c r="A260" s="2" t="s">
        <v>24</v>
      </c>
      <c r="B260" s="2" t="s">
        <v>25</v>
      </c>
      <c r="C260" s="2" t="s">
        <v>26</v>
      </c>
      <c r="D260" s="2">
        <v>5</v>
      </c>
      <c r="E260" s="2">
        <v>6105851450</v>
      </c>
      <c r="F260" s="2" t="s">
        <v>13</v>
      </c>
      <c r="G260" s="2" t="s">
        <v>14</v>
      </c>
      <c r="H260" s="2" t="s">
        <v>15</v>
      </c>
      <c r="I260" s="2" t="s">
        <v>27</v>
      </c>
      <c r="J260" s="2" t="s">
        <v>22</v>
      </c>
    </row>
    <row r="261" spans="1:10" x14ac:dyDescent="0.3">
      <c r="A261" s="2" t="s">
        <v>24</v>
      </c>
      <c r="B261" s="2" t="s">
        <v>25</v>
      </c>
      <c r="C261" s="2" t="s">
        <v>33</v>
      </c>
      <c r="D261" s="2">
        <v>5</v>
      </c>
      <c r="E261" s="2">
        <v>6378998397</v>
      </c>
      <c r="F261" s="2" t="s">
        <v>13</v>
      </c>
      <c r="G261" s="2" t="s">
        <v>14</v>
      </c>
      <c r="H261" s="2" t="s">
        <v>15</v>
      </c>
      <c r="I261" s="2" t="s">
        <v>37</v>
      </c>
      <c r="J261" s="2" t="s">
        <v>17</v>
      </c>
    </row>
    <row r="262" spans="1:10" hidden="1" x14ac:dyDescent="0.3">
      <c r="A262" s="2" t="s">
        <v>286</v>
      </c>
      <c r="B262" s="2" t="s">
        <v>32</v>
      </c>
      <c r="C262" s="2" t="s">
        <v>26</v>
      </c>
      <c r="D262" s="2">
        <v>7</v>
      </c>
      <c r="E262" s="2">
        <v>9975716753</v>
      </c>
      <c r="F262" s="2" t="s">
        <v>19</v>
      </c>
      <c r="G262" s="2" t="s">
        <v>20</v>
      </c>
      <c r="H262" s="2" t="s">
        <v>15</v>
      </c>
      <c r="I262" s="2" t="s">
        <v>37</v>
      </c>
      <c r="J262" s="2" t="s">
        <v>22</v>
      </c>
    </row>
    <row r="263" spans="1:10" hidden="1" x14ac:dyDescent="0.3">
      <c r="A263" s="2" t="s">
        <v>287</v>
      </c>
      <c r="B263" s="2" t="s">
        <v>25</v>
      </c>
      <c r="C263" s="2" t="s">
        <v>12</v>
      </c>
      <c r="D263" s="2">
        <v>5</v>
      </c>
      <c r="E263" s="2">
        <v>7782042637</v>
      </c>
      <c r="F263" s="2" t="s">
        <v>19</v>
      </c>
      <c r="G263" s="2" t="s">
        <v>14</v>
      </c>
      <c r="H263" s="2" t="s">
        <v>21</v>
      </c>
      <c r="I263" s="2" t="s">
        <v>41</v>
      </c>
      <c r="J263" s="2" t="s">
        <v>17</v>
      </c>
    </row>
    <row r="264" spans="1:10" hidden="1" x14ac:dyDescent="0.3">
      <c r="A264" s="2" t="s">
        <v>288</v>
      </c>
      <c r="B264" s="2" t="s">
        <v>11</v>
      </c>
      <c r="C264" s="2" t="s">
        <v>26</v>
      </c>
      <c r="D264" s="2">
        <v>3</v>
      </c>
      <c r="E264" s="2">
        <v>8200682061</v>
      </c>
      <c r="F264" s="2" t="s">
        <v>19</v>
      </c>
      <c r="G264" s="2" t="s">
        <v>20</v>
      </c>
      <c r="H264" s="2" t="s">
        <v>21</v>
      </c>
      <c r="I264" s="2" t="s">
        <v>22</v>
      </c>
      <c r="J264" s="2" t="s">
        <v>23</v>
      </c>
    </row>
    <row r="265" spans="1:10" x14ac:dyDescent="0.3">
      <c r="A265" s="2" t="s">
        <v>427</v>
      </c>
      <c r="B265" s="2" t="s">
        <v>32</v>
      </c>
      <c r="C265" s="2" t="s">
        <v>43</v>
      </c>
      <c r="D265" s="2">
        <v>7</v>
      </c>
      <c r="E265" s="2">
        <v>8594447711</v>
      </c>
      <c r="F265" s="2" t="s">
        <v>13</v>
      </c>
      <c r="G265" s="2" t="s">
        <v>20</v>
      </c>
      <c r="H265" s="2" t="s">
        <v>21</v>
      </c>
      <c r="I265" s="2" t="s">
        <v>22</v>
      </c>
      <c r="J265" s="2" t="s">
        <v>17</v>
      </c>
    </row>
    <row r="266" spans="1:10" hidden="1" x14ac:dyDescent="0.3">
      <c r="A266" s="2" t="s">
        <v>290</v>
      </c>
      <c r="B266" s="2" t="s">
        <v>35</v>
      </c>
      <c r="C266" s="2" t="s">
        <v>12</v>
      </c>
      <c r="D266" s="2">
        <v>1</v>
      </c>
      <c r="E266" s="2">
        <v>6934987009</v>
      </c>
      <c r="F266" s="2" t="s">
        <v>19</v>
      </c>
      <c r="G266" s="2" t="s">
        <v>20</v>
      </c>
      <c r="H266" s="2" t="s">
        <v>15</v>
      </c>
      <c r="I266" s="2" t="s">
        <v>22</v>
      </c>
      <c r="J266" s="2" t="s">
        <v>23</v>
      </c>
    </row>
    <row r="267" spans="1:10" x14ac:dyDescent="0.3">
      <c r="A267" s="2" t="s">
        <v>554</v>
      </c>
      <c r="B267" s="2" t="s">
        <v>35</v>
      </c>
      <c r="C267" s="2" t="s">
        <v>36</v>
      </c>
      <c r="D267" s="2">
        <v>1</v>
      </c>
      <c r="E267" s="2">
        <v>6391016261</v>
      </c>
      <c r="F267" s="2" t="s">
        <v>13</v>
      </c>
      <c r="G267" s="2" t="s">
        <v>14</v>
      </c>
      <c r="H267" s="2" t="s">
        <v>15</v>
      </c>
      <c r="I267" s="2" t="s">
        <v>37</v>
      </c>
      <c r="J267" s="2" t="s">
        <v>23</v>
      </c>
    </row>
    <row r="268" spans="1:10" hidden="1" x14ac:dyDescent="0.3">
      <c r="A268" s="2" t="s">
        <v>291</v>
      </c>
      <c r="B268" s="2" t="s">
        <v>32</v>
      </c>
      <c r="C268" s="2" t="s">
        <v>36</v>
      </c>
      <c r="D268" s="2">
        <v>7</v>
      </c>
      <c r="E268" s="2">
        <v>9013296970</v>
      </c>
      <c r="F268" s="2" t="s">
        <v>19</v>
      </c>
      <c r="G268" s="2" t="s">
        <v>20</v>
      </c>
      <c r="H268" s="2" t="s">
        <v>15</v>
      </c>
      <c r="I268" s="2" t="s">
        <v>16</v>
      </c>
      <c r="J268" s="2" t="s">
        <v>23</v>
      </c>
    </row>
    <row r="269" spans="1:10" hidden="1" x14ac:dyDescent="0.3">
      <c r="A269" s="2" t="s">
        <v>292</v>
      </c>
      <c r="B269" s="2" t="s">
        <v>25</v>
      </c>
      <c r="C269" s="2" t="s">
        <v>43</v>
      </c>
      <c r="D269" s="2">
        <v>5</v>
      </c>
      <c r="E269" s="2">
        <v>9239147624</v>
      </c>
      <c r="F269" s="2" t="s">
        <v>19</v>
      </c>
      <c r="G269" s="2" t="s">
        <v>14</v>
      </c>
      <c r="H269" s="2" t="s">
        <v>21</v>
      </c>
      <c r="I269" s="2" t="s">
        <v>41</v>
      </c>
      <c r="J269" s="2" t="s">
        <v>22</v>
      </c>
    </row>
    <row r="270" spans="1:10" x14ac:dyDescent="0.3">
      <c r="A270" s="2" t="s">
        <v>52</v>
      </c>
      <c r="B270" s="2" t="s">
        <v>35</v>
      </c>
      <c r="C270" s="2" t="s">
        <v>43</v>
      </c>
      <c r="D270" s="2">
        <v>1</v>
      </c>
      <c r="E270" s="2">
        <v>8168011907</v>
      </c>
      <c r="F270" s="2" t="s">
        <v>13</v>
      </c>
      <c r="G270" s="2" t="s">
        <v>14</v>
      </c>
      <c r="H270" s="2" t="s">
        <v>21</v>
      </c>
      <c r="I270" s="2" t="s">
        <v>29</v>
      </c>
      <c r="J270" s="2" t="s">
        <v>17</v>
      </c>
    </row>
    <row r="271" spans="1:10" hidden="1" x14ac:dyDescent="0.3">
      <c r="A271" s="2" t="s">
        <v>294</v>
      </c>
      <c r="B271" s="2" t="s">
        <v>25</v>
      </c>
      <c r="C271" s="2" t="s">
        <v>26</v>
      </c>
      <c r="D271" s="2">
        <v>5</v>
      </c>
      <c r="E271" s="2">
        <v>7315120205</v>
      </c>
      <c r="F271" s="2" t="s">
        <v>19</v>
      </c>
      <c r="G271" s="2" t="s">
        <v>14</v>
      </c>
      <c r="H271" s="2" t="s">
        <v>21</v>
      </c>
      <c r="I271" s="2" t="s">
        <v>22</v>
      </c>
      <c r="J271" s="2" t="s">
        <v>17</v>
      </c>
    </row>
    <row r="272" spans="1:10" hidden="1" x14ac:dyDescent="0.3">
      <c r="A272" s="2" t="s">
        <v>295</v>
      </c>
      <c r="B272" s="2" t="s">
        <v>35</v>
      </c>
      <c r="C272" s="2" t="s">
        <v>43</v>
      </c>
      <c r="D272" s="2">
        <v>1</v>
      </c>
      <c r="E272" s="2">
        <v>6653290332</v>
      </c>
      <c r="F272" s="2" t="s">
        <v>19</v>
      </c>
      <c r="G272" s="2" t="s">
        <v>14</v>
      </c>
      <c r="H272" s="2" t="s">
        <v>15</v>
      </c>
      <c r="I272" s="2" t="s">
        <v>37</v>
      </c>
      <c r="J272" s="2" t="s">
        <v>22</v>
      </c>
    </row>
    <row r="273" spans="1:10" hidden="1" x14ac:dyDescent="0.3">
      <c r="A273" s="2" t="s">
        <v>52</v>
      </c>
      <c r="B273" s="2" t="s">
        <v>32</v>
      </c>
      <c r="C273" s="2" t="s">
        <v>36</v>
      </c>
      <c r="D273" s="2">
        <v>7</v>
      </c>
      <c r="E273" s="2">
        <v>8933456313</v>
      </c>
      <c r="F273" s="2" t="s">
        <v>19</v>
      </c>
      <c r="G273" s="2" t="s">
        <v>14</v>
      </c>
      <c r="H273" s="2" t="s">
        <v>15</v>
      </c>
      <c r="I273" s="2" t="s">
        <v>16</v>
      </c>
      <c r="J273" s="2" t="s">
        <v>22</v>
      </c>
    </row>
    <row r="274" spans="1:10" x14ac:dyDescent="0.3">
      <c r="A274" s="2" t="s">
        <v>207</v>
      </c>
      <c r="B274" s="2" t="s">
        <v>25</v>
      </c>
      <c r="C274" s="2" t="s">
        <v>33</v>
      </c>
      <c r="D274" s="2">
        <v>5</v>
      </c>
      <c r="E274" s="2">
        <v>9020157913</v>
      </c>
      <c r="F274" s="2" t="s">
        <v>13</v>
      </c>
      <c r="G274" s="2" t="s">
        <v>20</v>
      </c>
      <c r="H274" s="2" t="s">
        <v>21</v>
      </c>
      <c r="I274" s="2" t="s">
        <v>41</v>
      </c>
      <c r="J274" s="2" t="s">
        <v>23</v>
      </c>
    </row>
    <row r="275" spans="1:10" hidden="1" x14ac:dyDescent="0.3">
      <c r="A275" s="2" t="s">
        <v>297</v>
      </c>
      <c r="B275" s="2" t="s">
        <v>32</v>
      </c>
      <c r="C275" s="2" t="s">
        <v>33</v>
      </c>
      <c r="D275" s="2">
        <v>7</v>
      </c>
      <c r="E275" s="2">
        <v>8780588741</v>
      </c>
      <c r="F275" s="2" t="s">
        <v>19</v>
      </c>
      <c r="G275" s="2" t="s">
        <v>20</v>
      </c>
      <c r="H275" s="2" t="s">
        <v>15</v>
      </c>
      <c r="I275" s="2" t="s">
        <v>22</v>
      </c>
      <c r="J275" s="2" t="s">
        <v>22</v>
      </c>
    </row>
    <row r="276" spans="1:10" hidden="1" x14ac:dyDescent="0.3">
      <c r="A276" s="2" t="s">
        <v>132</v>
      </c>
      <c r="B276" s="2" t="s">
        <v>35</v>
      </c>
      <c r="C276" s="2" t="s">
        <v>43</v>
      </c>
      <c r="D276" s="2">
        <v>1</v>
      </c>
      <c r="E276" s="2">
        <v>6873896121</v>
      </c>
      <c r="F276" s="2" t="s">
        <v>19</v>
      </c>
      <c r="G276" s="2" t="s">
        <v>20</v>
      </c>
      <c r="H276" s="2" t="s">
        <v>21</v>
      </c>
      <c r="I276" s="2" t="s">
        <v>27</v>
      </c>
      <c r="J276" s="2" t="s">
        <v>23</v>
      </c>
    </row>
    <row r="277" spans="1:10" x14ac:dyDescent="0.3">
      <c r="A277" s="2" t="s">
        <v>177</v>
      </c>
      <c r="B277" s="2" t="s">
        <v>11</v>
      </c>
      <c r="C277" s="2" t="s">
        <v>26</v>
      </c>
      <c r="D277" s="2">
        <v>3</v>
      </c>
      <c r="E277" s="2">
        <v>7270688568</v>
      </c>
      <c r="F277" s="2" t="s">
        <v>13</v>
      </c>
      <c r="G277" s="2" t="s">
        <v>14</v>
      </c>
      <c r="H277" s="2" t="s">
        <v>21</v>
      </c>
      <c r="I277" s="2" t="s">
        <v>16</v>
      </c>
      <c r="J277" s="2" t="s">
        <v>22</v>
      </c>
    </row>
    <row r="278" spans="1:10" hidden="1" x14ac:dyDescent="0.3">
      <c r="A278" s="2" t="s">
        <v>299</v>
      </c>
      <c r="B278" s="2" t="s">
        <v>25</v>
      </c>
      <c r="C278" s="2" t="s">
        <v>33</v>
      </c>
      <c r="D278" s="2">
        <v>5</v>
      </c>
      <c r="E278" s="2">
        <v>7833947819</v>
      </c>
      <c r="F278" s="2" t="s">
        <v>19</v>
      </c>
      <c r="G278" s="2" t="s">
        <v>14</v>
      </c>
      <c r="H278" s="2" t="s">
        <v>15</v>
      </c>
      <c r="I278" s="2" t="s">
        <v>16</v>
      </c>
      <c r="J278" s="2" t="s">
        <v>23</v>
      </c>
    </row>
    <row r="279" spans="1:10" hidden="1" x14ac:dyDescent="0.3">
      <c r="A279" s="2" t="s">
        <v>300</v>
      </c>
      <c r="B279" s="2" t="s">
        <v>25</v>
      </c>
      <c r="C279" s="2" t="s">
        <v>12</v>
      </c>
      <c r="D279" s="2">
        <v>5</v>
      </c>
      <c r="E279" s="2">
        <v>7508540175</v>
      </c>
      <c r="F279" s="2" t="s">
        <v>19</v>
      </c>
      <c r="G279" s="2" t="s">
        <v>20</v>
      </c>
      <c r="H279" s="2" t="s">
        <v>21</v>
      </c>
      <c r="I279" s="2" t="s">
        <v>29</v>
      </c>
      <c r="J279" s="2" t="s">
        <v>22</v>
      </c>
    </row>
    <row r="280" spans="1:10" hidden="1" x14ac:dyDescent="0.3">
      <c r="A280" s="2" t="s">
        <v>301</v>
      </c>
      <c r="B280" s="2" t="s">
        <v>32</v>
      </c>
      <c r="C280" s="2" t="s">
        <v>36</v>
      </c>
      <c r="D280" s="2">
        <v>7</v>
      </c>
      <c r="E280" s="2">
        <v>8022301658</v>
      </c>
      <c r="F280" s="2" t="s">
        <v>19</v>
      </c>
      <c r="G280" s="2" t="s">
        <v>20</v>
      </c>
      <c r="H280" s="2" t="s">
        <v>15</v>
      </c>
      <c r="I280" s="2" t="s">
        <v>22</v>
      </c>
      <c r="J280" s="2" t="s">
        <v>23</v>
      </c>
    </row>
    <row r="281" spans="1:10" x14ac:dyDescent="0.3">
      <c r="A281" s="2" t="s">
        <v>208</v>
      </c>
      <c r="B281" s="2" t="s">
        <v>11</v>
      </c>
      <c r="C281" s="2" t="s">
        <v>43</v>
      </c>
      <c r="D281" s="2">
        <v>3</v>
      </c>
      <c r="E281" s="2">
        <v>9761958156</v>
      </c>
      <c r="F281" s="2" t="s">
        <v>13</v>
      </c>
      <c r="G281" s="2" t="s">
        <v>14</v>
      </c>
      <c r="H281" s="2" t="s">
        <v>21</v>
      </c>
      <c r="I281" s="2" t="s">
        <v>22</v>
      </c>
      <c r="J281" s="2" t="s">
        <v>22</v>
      </c>
    </row>
    <row r="282" spans="1:10" hidden="1" x14ac:dyDescent="0.3">
      <c r="A282" s="2" t="s">
        <v>303</v>
      </c>
      <c r="B282" s="2" t="s">
        <v>25</v>
      </c>
      <c r="C282" s="2" t="s">
        <v>26</v>
      </c>
      <c r="D282" s="2">
        <v>5</v>
      </c>
      <c r="E282" s="2">
        <v>6539639903</v>
      </c>
      <c r="F282" s="2" t="s">
        <v>19</v>
      </c>
      <c r="G282" s="2" t="s">
        <v>14</v>
      </c>
      <c r="H282" s="2" t="s">
        <v>15</v>
      </c>
      <c r="I282" s="2" t="s">
        <v>22</v>
      </c>
      <c r="J282" s="2" t="s">
        <v>22</v>
      </c>
    </row>
    <row r="283" spans="1:10" hidden="1" x14ac:dyDescent="0.3">
      <c r="A283" s="2" t="s">
        <v>304</v>
      </c>
      <c r="B283" s="2" t="s">
        <v>11</v>
      </c>
      <c r="C283" s="2" t="s">
        <v>43</v>
      </c>
      <c r="D283" s="2">
        <v>3</v>
      </c>
      <c r="E283" s="2">
        <v>9219332602</v>
      </c>
      <c r="F283" s="2" t="s">
        <v>19</v>
      </c>
      <c r="G283" s="2" t="s">
        <v>20</v>
      </c>
      <c r="H283" s="2" t="s">
        <v>21</v>
      </c>
      <c r="I283" s="2" t="s">
        <v>29</v>
      </c>
      <c r="J283" s="2" t="s">
        <v>22</v>
      </c>
    </row>
    <row r="284" spans="1:10" x14ac:dyDescent="0.3">
      <c r="A284" s="2" t="s">
        <v>204</v>
      </c>
      <c r="B284" s="2" t="s">
        <v>35</v>
      </c>
      <c r="C284" s="2" t="s">
        <v>33</v>
      </c>
      <c r="D284" s="2">
        <v>1</v>
      </c>
      <c r="E284" s="2">
        <v>7418073673</v>
      </c>
      <c r="F284" s="2" t="s">
        <v>13</v>
      </c>
      <c r="G284" s="2" t="s">
        <v>20</v>
      </c>
      <c r="H284" s="2" t="s">
        <v>15</v>
      </c>
      <c r="I284" s="2" t="s">
        <v>37</v>
      </c>
      <c r="J284" s="2" t="s">
        <v>17</v>
      </c>
    </row>
    <row r="285" spans="1:10" x14ac:dyDescent="0.3">
      <c r="A285" s="2" t="s">
        <v>513</v>
      </c>
      <c r="B285" s="2" t="s">
        <v>32</v>
      </c>
      <c r="C285" s="2" t="s">
        <v>36</v>
      </c>
      <c r="D285" s="2">
        <v>7</v>
      </c>
      <c r="E285" s="2">
        <v>9398634264</v>
      </c>
      <c r="F285" s="2" t="s">
        <v>13</v>
      </c>
      <c r="G285" s="2" t="s">
        <v>14</v>
      </c>
      <c r="H285" s="2" t="s">
        <v>15</v>
      </c>
      <c r="I285" s="2" t="s">
        <v>22</v>
      </c>
      <c r="J285" s="2" t="s">
        <v>23</v>
      </c>
    </row>
    <row r="286" spans="1:10" x14ac:dyDescent="0.3">
      <c r="A286" s="2" t="s">
        <v>509</v>
      </c>
      <c r="B286" s="2" t="s">
        <v>35</v>
      </c>
      <c r="C286" s="2" t="s">
        <v>12</v>
      </c>
      <c r="D286" s="2">
        <v>1</v>
      </c>
      <c r="E286" s="2">
        <v>7509845517</v>
      </c>
      <c r="F286" s="2" t="s">
        <v>13</v>
      </c>
      <c r="G286" s="2" t="s">
        <v>14</v>
      </c>
      <c r="H286" s="2" t="s">
        <v>15</v>
      </c>
      <c r="I286" s="2" t="s">
        <v>27</v>
      </c>
      <c r="J286" s="2" t="s">
        <v>22</v>
      </c>
    </row>
    <row r="287" spans="1:10" hidden="1" x14ac:dyDescent="0.3">
      <c r="A287" s="2" t="s">
        <v>308</v>
      </c>
      <c r="B287" s="2" t="s">
        <v>35</v>
      </c>
      <c r="C287" s="2" t="s">
        <v>33</v>
      </c>
      <c r="D287" s="2">
        <v>1</v>
      </c>
      <c r="E287" s="2">
        <v>7591863235</v>
      </c>
      <c r="F287" s="2" t="s">
        <v>19</v>
      </c>
      <c r="G287" s="2" t="s">
        <v>20</v>
      </c>
      <c r="H287" s="2" t="s">
        <v>21</v>
      </c>
      <c r="I287" s="2" t="s">
        <v>22</v>
      </c>
      <c r="J287" s="2" t="s">
        <v>23</v>
      </c>
    </row>
    <row r="288" spans="1:10" hidden="1" x14ac:dyDescent="0.3">
      <c r="A288" s="2" t="s">
        <v>309</v>
      </c>
      <c r="B288" s="2" t="s">
        <v>11</v>
      </c>
      <c r="C288" s="2" t="s">
        <v>12</v>
      </c>
      <c r="D288" s="2">
        <v>3</v>
      </c>
      <c r="E288" s="2">
        <v>7571815436</v>
      </c>
      <c r="F288" s="2" t="s">
        <v>19</v>
      </c>
      <c r="G288" s="2" t="s">
        <v>14</v>
      </c>
      <c r="H288" s="2" t="s">
        <v>15</v>
      </c>
      <c r="I288" s="2" t="s">
        <v>22</v>
      </c>
      <c r="J288" s="2" t="s">
        <v>23</v>
      </c>
    </row>
    <row r="289" spans="1:10" hidden="1" x14ac:dyDescent="0.3">
      <c r="A289" s="2" t="s">
        <v>310</v>
      </c>
      <c r="B289" s="2" t="s">
        <v>35</v>
      </c>
      <c r="C289" s="2" t="s">
        <v>12</v>
      </c>
      <c r="D289" s="2">
        <v>1</v>
      </c>
      <c r="E289" s="2">
        <v>7820642372</v>
      </c>
      <c r="F289" s="2" t="s">
        <v>19</v>
      </c>
      <c r="G289" s="2" t="s">
        <v>14</v>
      </c>
      <c r="H289" s="2" t="s">
        <v>21</v>
      </c>
      <c r="I289" s="2" t="s">
        <v>37</v>
      </c>
      <c r="J289" s="2" t="s">
        <v>22</v>
      </c>
    </row>
    <row r="290" spans="1:10" x14ac:dyDescent="0.3">
      <c r="A290" s="2" t="s">
        <v>111</v>
      </c>
      <c r="B290" s="2" t="s">
        <v>35</v>
      </c>
      <c r="C290" s="2" t="s">
        <v>26</v>
      </c>
      <c r="D290" s="2">
        <v>1</v>
      </c>
      <c r="E290" s="2">
        <v>8466558590</v>
      </c>
      <c r="F290" s="2" t="s">
        <v>13</v>
      </c>
      <c r="G290" s="2" t="s">
        <v>14</v>
      </c>
      <c r="H290" s="2" t="s">
        <v>15</v>
      </c>
      <c r="I290" s="2" t="s">
        <v>37</v>
      </c>
      <c r="J290" s="2" t="s">
        <v>17</v>
      </c>
    </row>
    <row r="291" spans="1:10" x14ac:dyDescent="0.3">
      <c r="A291" s="2" t="s">
        <v>135</v>
      </c>
      <c r="B291" s="2" t="s">
        <v>11</v>
      </c>
      <c r="C291" s="2" t="s">
        <v>33</v>
      </c>
      <c r="D291" s="2">
        <v>3</v>
      </c>
      <c r="E291" s="2">
        <v>8850593444</v>
      </c>
      <c r="F291" s="2" t="s">
        <v>13</v>
      </c>
      <c r="G291" s="2" t="s">
        <v>20</v>
      </c>
      <c r="H291" s="2" t="s">
        <v>15</v>
      </c>
      <c r="I291" s="2" t="s">
        <v>22</v>
      </c>
      <c r="J291" s="2" t="s">
        <v>22</v>
      </c>
    </row>
    <row r="292" spans="1:10" hidden="1" x14ac:dyDescent="0.3">
      <c r="A292" s="2" t="s">
        <v>313</v>
      </c>
      <c r="B292" s="2" t="s">
        <v>32</v>
      </c>
      <c r="C292" s="2" t="s">
        <v>43</v>
      </c>
      <c r="D292" s="2">
        <v>7</v>
      </c>
      <c r="E292" s="2">
        <v>8808322626</v>
      </c>
      <c r="F292" s="2" t="s">
        <v>19</v>
      </c>
      <c r="G292" s="2" t="s">
        <v>14</v>
      </c>
      <c r="H292" s="2" t="s">
        <v>15</v>
      </c>
      <c r="I292" s="2" t="s">
        <v>16</v>
      </c>
      <c r="J292" s="2" t="s">
        <v>22</v>
      </c>
    </row>
    <row r="293" spans="1:10" hidden="1" x14ac:dyDescent="0.3">
      <c r="A293" s="2" t="s">
        <v>314</v>
      </c>
      <c r="B293" s="2" t="s">
        <v>35</v>
      </c>
      <c r="C293" s="2" t="s">
        <v>12</v>
      </c>
      <c r="D293" s="2">
        <v>1</v>
      </c>
      <c r="E293" s="2">
        <v>7224698432</v>
      </c>
      <c r="F293" s="2" t="s">
        <v>19</v>
      </c>
      <c r="G293" s="2" t="s">
        <v>14</v>
      </c>
      <c r="H293" s="2" t="s">
        <v>21</v>
      </c>
      <c r="I293" s="2" t="s">
        <v>41</v>
      </c>
      <c r="J293" s="2" t="s">
        <v>22</v>
      </c>
    </row>
    <row r="294" spans="1:10" hidden="1" x14ac:dyDescent="0.3">
      <c r="A294" s="2" t="s">
        <v>315</v>
      </c>
      <c r="B294" s="2" t="s">
        <v>32</v>
      </c>
      <c r="C294" s="2" t="s">
        <v>26</v>
      </c>
      <c r="D294" s="2">
        <v>7</v>
      </c>
      <c r="E294" s="2">
        <v>9222471765</v>
      </c>
      <c r="F294" s="2" t="s">
        <v>19</v>
      </c>
      <c r="G294" s="2" t="s">
        <v>20</v>
      </c>
      <c r="H294" s="2" t="s">
        <v>21</v>
      </c>
      <c r="I294" s="2" t="s">
        <v>37</v>
      </c>
      <c r="J294" s="2" t="s">
        <v>22</v>
      </c>
    </row>
    <row r="295" spans="1:10" x14ac:dyDescent="0.3">
      <c r="A295" s="2" t="s">
        <v>412</v>
      </c>
      <c r="B295" s="2" t="s">
        <v>35</v>
      </c>
      <c r="C295" s="2" t="s">
        <v>36</v>
      </c>
      <c r="D295" s="2">
        <v>1</v>
      </c>
      <c r="E295" s="2">
        <v>8867280292</v>
      </c>
      <c r="F295" s="2" t="s">
        <v>13</v>
      </c>
      <c r="G295" s="2" t="s">
        <v>20</v>
      </c>
      <c r="H295" s="2" t="s">
        <v>21</v>
      </c>
      <c r="I295" s="2" t="s">
        <v>41</v>
      </c>
      <c r="J295" s="2" t="s">
        <v>17</v>
      </c>
    </row>
    <row r="296" spans="1:10" x14ac:dyDescent="0.3">
      <c r="A296" s="2" t="s">
        <v>495</v>
      </c>
      <c r="B296" s="2" t="s">
        <v>25</v>
      </c>
      <c r="C296" s="2" t="s">
        <v>26</v>
      </c>
      <c r="D296" s="2">
        <v>5</v>
      </c>
      <c r="E296" s="2">
        <v>7263962071</v>
      </c>
      <c r="F296" s="2" t="s">
        <v>13</v>
      </c>
      <c r="G296" s="2" t="s">
        <v>14</v>
      </c>
      <c r="H296" s="2" t="s">
        <v>21</v>
      </c>
      <c r="I296" s="2" t="s">
        <v>41</v>
      </c>
      <c r="J296" s="2" t="s">
        <v>22</v>
      </c>
    </row>
    <row r="297" spans="1:10" hidden="1" x14ac:dyDescent="0.3">
      <c r="A297" s="2" t="s">
        <v>318</v>
      </c>
      <c r="B297" s="2" t="s">
        <v>32</v>
      </c>
      <c r="C297" s="2" t="s">
        <v>26</v>
      </c>
      <c r="D297" s="2">
        <v>7</v>
      </c>
      <c r="E297" s="2">
        <v>9585524674</v>
      </c>
      <c r="F297" s="2" t="s">
        <v>19</v>
      </c>
      <c r="G297" s="2" t="s">
        <v>20</v>
      </c>
      <c r="H297" s="2" t="s">
        <v>21</v>
      </c>
      <c r="I297" s="2" t="s">
        <v>22</v>
      </c>
      <c r="J297" s="2" t="s">
        <v>22</v>
      </c>
    </row>
    <row r="298" spans="1:10" hidden="1" x14ac:dyDescent="0.3">
      <c r="A298" s="2" t="s">
        <v>319</v>
      </c>
      <c r="B298" s="2" t="s">
        <v>35</v>
      </c>
      <c r="C298" s="2" t="s">
        <v>43</v>
      </c>
      <c r="D298" s="2">
        <v>1</v>
      </c>
      <c r="E298" s="2">
        <v>9319981861</v>
      </c>
      <c r="F298" s="2" t="s">
        <v>19</v>
      </c>
      <c r="G298" s="2" t="s">
        <v>20</v>
      </c>
      <c r="H298" s="2" t="s">
        <v>21</v>
      </c>
      <c r="I298" s="2" t="s">
        <v>41</v>
      </c>
      <c r="J298" s="2" t="s">
        <v>23</v>
      </c>
    </row>
    <row r="299" spans="1:10" x14ac:dyDescent="0.3">
      <c r="A299" s="2" t="s">
        <v>126</v>
      </c>
      <c r="B299" s="2" t="s">
        <v>25</v>
      </c>
      <c r="C299" s="2" t="s">
        <v>36</v>
      </c>
      <c r="D299" s="2">
        <v>5</v>
      </c>
      <c r="E299" s="2">
        <v>8143011853</v>
      </c>
      <c r="F299" s="2" t="s">
        <v>13</v>
      </c>
      <c r="G299" s="2" t="s">
        <v>20</v>
      </c>
      <c r="H299" s="2" t="s">
        <v>15</v>
      </c>
      <c r="I299" s="2" t="s">
        <v>22</v>
      </c>
      <c r="J299" s="2" t="s">
        <v>22</v>
      </c>
    </row>
    <row r="300" spans="1:10" hidden="1" x14ac:dyDescent="0.3">
      <c r="A300" s="2" t="s">
        <v>321</v>
      </c>
      <c r="B300" s="2" t="s">
        <v>35</v>
      </c>
      <c r="C300" s="2" t="s">
        <v>33</v>
      </c>
      <c r="D300" s="2">
        <v>1</v>
      </c>
      <c r="E300" s="2">
        <v>8565900630</v>
      </c>
      <c r="F300" s="2" t="s">
        <v>19</v>
      </c>
      <c r="G300" s="2" t="s">
        <v>14</v>
      </c>
      <c r="H300" s="2" t="s">
        <v>15</v>
      </c>
      <c r="I300" s="2" t="s">
        <v>37</v>
      </c>
      <c r="J300" s="2" t="s">
        <v>22</v>
      </c>
    </row>
    <row r="301" spans="1:10" hidden="1" x14ac:dyDescent="0.3">
      <c r="A301" s="2" t="s">
        <v>322</v>
      </c>
      <c r="B301" s="2" t="s">
        <v>32</v>
      </c>
      <c r="C301" s="2" t="s">
        <v>12</v>
      </c>
      <c r="D301" s="2">
        <v>7</v>
      </c>
      <c r="E301" s="2">
        <v>6909456424</v>
      </c>
      <c r="F301" s="2" t="s">
        <v>19</v>
      </c>
      <c r="G301" s="2" t="s">
        <v>20</v>
      </c>
      <c r="H301" s="2" t="s">
        <v>15</v>
      </c>
      <c r="I301" s="2" t="s">
        <v>16</v>
      </c>
      <c r="J301" s="2" t="s">
        <v>22</v>
      </c>
    </row>
    <row r="302" spans="1:10" x14ac:dyDescent="0.3">
      <c r="A302" s="2" t="s">
        <v>455</v>
      </c>
      <c r="B302" s="2" t="s">
        <v>25</v>
      </c>
      <c r="C302" s="2" t="s">
        <v>36</v>
      </c>
      <c r="D302" s="2">
        <v>5</v>
      </c>
      <c r="E302" s="2">
        <v>7749961526</v>
      </c>
      <c r="F302" s="2" t="s">
        <v>13</v>
      </c>
      <c r="G302" s="2" t="s">
        <v>14</v>
      </c>
      <c r="H302" s="2" t="s">
        <v>21</v>
      </c>
      <c r="I302" s="2" t="s">
        <v>37</v>
      </c>
      <c r="J302" s="2" t="s">
        <v>22</v>
      </c>
    </row>
    <row r="303" spans="1:10" x14ac:dyDescent="0.3">
      <c r="A303" s="2" t="s">
        <v>182</v>
      </c>
      <c r="B303" s="2" t="s">
        <v>11</v>
      </c>
      <c r="C303" s="2" t="s">
        <v>26</v>
      </c>
      <c r="D303" s="2">
        <v>3</v>
      </c>
      <c r="E303" s="2">
        <v>6591128066</v>
      </c>
      <c r="F303" s="2" t="s">
        <v>13</v>
      </c>
      <c r="G303" s="2" t="s">
        <v>20</v>
      </c>
      <c r="H303" s="2" t="s">
        <v>15</v>
      </c>
      <c r="I303" s="2" t="s">
        <v>27</v>
      </c>
      <c r="J303" s="2" t="s">
        <v>22</v>
      </c>
    </row>
    <row r="304" spans="1:10" hidden="1" x14ac:dyDescent="0.3">
      <c r="A304" s="2" t="s">
        <v>325</v>
      </c>
      <c r="B304" s="2" t="s">
        <v>25</v>
      </c>
      <c r="C304" s="2" t="s">
        <v>26</v>
      </c>
      <c r="D304" s="2">
        <v>5</v>
      </c>
      <c r="E304" s="2">
        <v>6501595760</v>
      </c>
      <c r="F304" s="2" t="s">
        <v>19</v>
      </c>
      <c r="G304" s="2" t="s">
        <v>20</v>
      </c>
      <c r="H304" s="2" t="s">
        <v>21</v>
      </c>
      <c r="I304" s="2" t="s">
        <v>37</v>
      </c>
      <c r="J304" s="2" t="s">
        <v>22</v>
      </c>
    </row>
    <row r="305" spans="1:10" hidden="1" x14ac:dyDescent="0.3">
      <c r="A305" s="2" t="s">
        <v>326</v>
      </c>
      <c r="B305" s="2" t="s">
        <v>35</v>
      </c>
      <c r="C305" s="2" t="s">
        <v>36</v>
      </c>
      <c r="D305" s="2">
        <v>1</v>
      </c>
      <c r="E305" s="2">
        <v>6491679736</v>
      </c>
      <c r="F305" s="2" t="s">
        <v>19</v>
      </c>
      <c r="G305" s="2" t="s">
        <v>20</v>
      </c>
      <c r="H305" s="2" t="s">
        <v>15</v>
      </c>
      <c r="I305" s="2" t="s">
        <v>22</v>
      </c>
      <c r="J305" s="2" t="s">
        <v>22</v>
      </c>
    </row>
    <row r="306" spans="1:10" hidden="1" x14ac:dyDescent="0.3">
      <c r="A306" s="2" t="s">
        <v>327</v>
      </c>
      <c r="B306" s="2" t="s">
        <v>11</v>
      </c>
      <c r="C306" s="2" t="s">
        <v>43</v>
      </c>
      <c r="D306" s="2">
        <v>3</v>
      </c>
      <c r="E306" s="2">
        <v>8170221149</v>
      </c>
      <c r="F306" s="2" t="s">
        <v>19</v>
      </c>
      <c r="G306" s="2" t="s">
        <v>20</v>
      </c>
      <c r="H306" s="2" t="s">
        <v>21</v>
      </c>
      <c r="I306" s="2" t="s">
        <v>37</v>
      </c>
      <c r="J306" s="2" t="s">
        <v>23</v>
      </c>
    </row>
    <row r="307" spans="1:10" x14ac:dyDescent="0.3">
      <c r="A307" s="2" t="s">
        <v>434</v>
      </c>
      <c r="B307" s="2" t="s">
        <v>32</v>
      </c>
      <c r="C307" s="2" t="s">
        <v>12</v>
      </c>
      <c r="D307" s="2">
        <v>7</v>
      </c>
      <c r="E307" s="2">
        <v>7639041600</v>
      </c>
      <c r="F307" s="2" t="s">
        <v>13</v>
      </c>
      <c r="G307" s="2" t="s">
        <v>14</v>
      </c>
      <c r="H307" s="2" t="s">
        <v>21</v>
      </c>
      <c r="I307" s="2" t="s">
        <v>37</v>
      </c>
      <c r="J307" s="2" t="s">
        <v>22</v>
      </c>
    </row>
    <row r="308" spans="1:10" x14ac:dyDescent="0.3">
      <c r="A308" s="2" t="s">
        <v>277</v>
      </c>
      <c r="B308" s="2" t="s">
        <v>35</v>
      </c>
      <c r="C308" s="2" t="s">
        <v>26</v>
      </c>
      <c r="D308" s="2">
        <v>1</v>
      </c>
      <c r="E308" s="2">
        <v>9523962094</v>
      </c>
      <c r="F308" s="2" t="s">
        <v>13</v>
      </c>
      <c r="G308" s="2" t="s">
        <v>14</v>
      </c>
      <c r="H308" s="2" t="s">
        <v>15</v>
      </c>
      <c r="I308" s="2" t="s">
        <v>22</v>
      </c>
      <c r="J308" s="2" t="s">
        <v>22</v>
      </c>
    </row>
    <row r="309" spans="1:10" x14ac:dyDescent="0.3">
      <c r="A309" s="2" t="s">
        <v>568</v>
      </c>
      <c r="B309" s="2" t="s">
        <v>32</v>
      </c>
      <c r="C309" s="2" t="s">
        <v>43</v>
      </c>
      <c r="D309" s="2">
        <v>7</v>
      </c>
      <c r="E309" s="2">
        <v>8510184689</v>
      </c>
      <c r="F309" s="2" t="s">
        <v>13</v>
      </c>
      <c r="G309" s="2" t="s">
        <v>20</v>
      </c>
      <c r="H309" s="2" t="s">
        <v>15</v>
      </c>
      <c r="I309" s="2" t="s">
        <v>27</v>
      </c>
      <c r="J309" s="2" t="s">
        <v>22</v>
      </c>
    </row>
    <row r="310" spans="1:10" x14ac:dyDescent="0.3">
      <c r="A310" s="2" t="s">
        <v>545</v>
      </c>
      <c r="B310" s="2" t="s">
        <v>35</v>
      </c>
      <c r="C310" s="2" t="s">
        <v>12</v>
      </c>
      <c r="D310" s="2">
        <v>1</v>
      </c>
      <c r="E310" s="2">
        <v>7242389060</v>
      </c>
      <c r="F310" s="2" t="s">
        <v>13</v>
      </c>
      <c r="G310" s="2" t="s">
        <v>14</v>
      </c>
      <c r="H310" s="2" t="s">
        <v>15</v>
      </c>
      <c r="I310" s="2" t="s">
        <v>22</v>
      </c>
      <c r="J310" s="2" t="s">
        <v>22</v>
      </c>
    </row>
    <row r="311" spans="1:10" hidden="1" x14ac:dyDescent="0.3">
      <c r="A311" s="2" t="s">
        <v>332</v>
      </c>
      <c r="B311" s="2" t="s">
        <v>32</v>
      </c>
      <c r="C311" s="2" t="s">
        <v>36</v>
      </c>
      <c r="D311" s="2">
        <v>7</v>
      </c>
      <c r="E311" s="2">
        <v>8885132052</v>
      </c>
      <c r="F311" s="2" t="s">
        <v>19</v>
      </c>
      <c r="G311" s="2" t="s">
        <v>20</v>
      </c>
      <c r="H311" s="2" t="s">
        <v>15</v>
      </c>
      <c r="I311" s="2" t="s">
        <v>41</v>
      </c>
      <c r="J311" s="2" t="s">
        <v>23</v>
      </c>
    </row>
    <row r="312" spans="1:10" x14ac:dyDescent="0.3">
      <c r="A312" s="2" t="s">
        <v>488</v>
      </c>
      <c r="B312" s="2" t="s">
        <v>25</v>
      </c>
      <c r="C312" s="2" t="s">
        <v>36</v>
      </c>
      <c r="D312" s="2">
        <v>5</v>
      </c>
      <c r="E312" s="2">
        <v>8009312828</v>
      </c>
      <c r="F312" s="2" t="s">
        <v>13</v>
      </c>
      <c r="G312" s="2" t="s">
        <v>14</v>
      </c>
      <c r="H312" s="2" t="s">
        <v>21</v>
      </c>
      <c r="I312" s="2" t="s">
        <v>41</v>
      </c>
      <c r="J312" s="2" t="s">
        <v>23</v>
      </c>
    </row>
    <row r="313" spans="1:10" x14ac:dyDescent="0.3">
      <c r="A313" s="2" t="s">
        <v>302</v>
      </c>
      <c r="B313" s="2" t="s">
        <v>25</v>
      </c>
      <c r="C313" s="2" t="s">
        <v>26</v>
      </c>
      <c r="D313" s="2">
        <v>5</v>
      </c>
      <c r="E313" s="2">
        <v>8843845156</v>
      </c>
      <c r="F313" s="2" t="s">
        <v>13</v>
      </c>
      <c r="G313" s="2" t="s">
        <v>20</v>
      </c>
      <c r="H313" s="2" t="s">
        <v>15</v>
      </c>
      <c r="I313" s="2" t="s">
        <v>27</v>
      </c>
      <c r="J313" s="2" t="s">
        <v>22</v>
      </c>
    </row>
    <row r="314" spans="1:10" hidden="1" x14ac:dyDescent="0.3">
      <c r="A314" s="2" t="s">
        <v>335</v>
      </c>
      <c r="B314" s="2" t="s">
        <v>35</v>
      </c>
      <c r="C314" s="2" t="s">
        <v>12</v>
      </c>
      <c r="D314" s="2">
        <v>1</v>
      </c>
      <c r="E314" s="2">
        <v>6881513688</v>
      </c>
      <c r="F314" s="2" t="s">
        <v>19</v>
      </c>
      <c r="G314" s="2" t="s">
        <v>14</v>
      </c>
      <c r="H314" s="2" t="s">
        <v>21</v>
      </c>
      <c r="I314" s="2" t="s">
        <v>22</v>
      </c>
      <c r="J314" s="2" t="s">
        <v>17</v>
      </c>
    </row>
    <row r="315" spans="1:10" hidden="1" x14ac:dyDescent="0.3">
      <c r="A315" s="2" t="s">
        <v>336</v>
      </c>
      <c r="B315" s="2" t="s">
        <v>25</v>
      </c>
      <c r="C315" s="2" t="s">
        <v>33</v>
      </c>
      <c r="D315" s="2">
        <v>5</v>
      </c>
      <c r="E315" s="2">
        <v>9108905407</v>
      </c>
      <c r="F315" s="2" t="s">
        <v>19</v>
      </c>
      <c r="G315" s="2" t="s">
        <v>14</v>
      </c>
      <c r="H315" s="2" t="s">
        <v>21</v>
      </c>
      <c r="I315" s="2" t="s">
        <v>41</v>
      </c>
      <c r="J315" s="2" t="s">
        <v>22</v>
      </c>
    </row>
    <row r="316" spans="1:10" hidden="1" x14ac:dyDescent="0.3">
      <c r="A316" s="2" t="s">
        <v>337</v>
      </c>
      <c r="B316" s="2" t="s">
        <v>35</v>
      </c>
      <c r="C316" s="2" t="s">
        <v>12</v>
      </c>
      <c r="D316" s="2">
        <v>1</v>
      </c>
      <c r="E316" s="2">
        <v>9382482365</v>
      </c>
      <c r="F316" s="2" t="s">
        <v>19</v>
      </c>
      <c r="G316" s="2" t="s">
        <v>14</v>
      </c>
      <c r="H316" s="2" t="s">
        <v>15</v>
      </c>
      <c r="I316" s="2" t="s">
        <v>22</v>
      </c>
      <c r="J316" s="2" t="s">
        <v>23</v>
      </c>
    </row>
    <row r="317" spans="1:10" x14ac:dyDescent="0.3">
      <c r="A317" s="2" t="s">
        <v>387</v>
      </c>
      <c r="B317" s="2" t="s">
        <v>32</v>
      </c>
      <c r="C317" s="2" t="s">
        <v>26</v>
      </c>
      <c r="D317" s="2">
        <v>7</v>
      </c>
      <c r="E317" s="2">
        <v>8780053545</v>
      </c>
      <c r="F317" s="2" t="s">
        <v>13</v>
      </c>
      <c r="G317" s="2" t="s">
        <v>20</v>
      </c>
      <c r="H317" s="2" t="s">
        <v>21</v>
      </c>
      <c r="I317" s="2" t="s">
        <v>16</v>
      </c>
      <c r="J317" s="2" t="s">
        <v>23</v>
      </c>
    </row>
    <row r="318" spans="1:10" x14ac:dyDescent="0.3">
      <c r="A318" s="2" t="s">
        <v>91</v>
      </c>
      <c r="B318" s="2" t="s">
        <v>35</v>
      </c>
      <c r="C318" s="2" t="s">
        <v>36</v>
      </c>
      <c r="D318" s="2">
        <v>1</v>
      </c>
      <c r="E318" s="2">
        <v>8756328718</v>
      </c>
      <c r="F318" s="2" t="s">
        <v>13</v>
      </c>
      <c r="G318" s="2" t="s">
        <v>20</v>
      </c>
      <c r="H318" s="2" t="s">
        <v>15</v>
      </c>
      <c r="I318" s="2" t="s">
        <v>16</v>
      </c>
      <c r="J318" s="2" t="s">
        <v>17</v>
      </c>
    </row>
    <row r="319" spans="1:10" hidden="1" x14ac:dyDescent="0.3">
      <c r="A319" s="2" t="s">
        <v>340</v>
      </c>
      <c r="B319" s="2" t="s">
        <v>35</v>
      </c>
      <c r="C319" s="2" t="s">
        <v>26</v>
      </c>
      <c r="D319" s="2">
        <v>1</v>
      </c>
      <c r="E319" s="2">
        <v>8487440378</v>
      </c>
      <c r="F319" s="2" t="s">
        <v>19</v>
      </c>
      <c r="G319" s="2" t="s">
        <v>20</v>
      </c>
      <c r="H319" s="2" t="s">
        <v>21</v>
      </c>
      <c r="I319" s="2" t="s">
        <v>22</v>
      </c>
      <c r="J319" s="2" t="s">
        <v>22</v>
      </c>
    </row>
    <row r="320" spans="1:10" hidden="1" x14ac:dyDescent="0.3">
      <c r="A320" s="2" t="s">
        <v>341</v>
      </c>
      <c r="B320" s="2" t="s">
        <v>35</v>
      </c>
      <c r="C320" s="2" t="s">
        <v>26</v>
      </c>
      <c r="D320" s="2">
        <v>1</v>
      </c>
      <c r="E320" s="2">
        <v>7801236636</v>
      </c>
      <c r="F320" s="2" t="s">
        <v>19</v>
      </c>
      <c r="G320" s="2" t="s">
        <v>20</v>
      </c>
      <c r="H320" s="2" t="s">
        <v>21</v>
      </c>
      <c r="I320" s="2" t="s">
        <v>27</v>
      </c>
      <c r="J320" s="2" t="s">
        <v>23</v>
      </c>
    </row>
    <row r="321" spans="1:10" x14ac:dyDescent="0.3">
      <c r="A321" s="2" t="s">
        <v>162</v>
      </c>
      <c r="B321" s="2" t="s">
        <v>25</v>
      </c>
      <c r="C321" s="2" t="s">
        <v>12</v>
      </c>
      <c r="D321" s="2">
        <v>5</v>
      </c>
      <c r="E321" s="2">
        <v>6744565986</v>
      </c>
      <c r="F321" s="2" t="s">
        <v>13</v>
      </c>
      <c r="G321" s="2" t="s">
        <v>14</v>
      </c>
      <c r="H321" s="2" t="s">
        <v>21</v>
      </c>
      <c r="I321" s="2" t="s">
        <v>41</v>
      </c>
      <c r="J321" s="2" t="s">
        <v>17</v>
      </c>
    </row>
    <row r="322" spans="1:10" hidden="1" x14ac:dyDescent="0.3">
      <c r="A322" s="2" t="s">
        <v>343</v>
      </c>
      <c r="B322" s="2" t="s">
        <v>35</v>
      </c>
      <c r="C322" s="2" t="s">
        <v>12</v>
      </c>
      <c r="D322" s="2">
        <v>1</v>
      </c>
      <c r="E322" s="2">
        <v>7819681315</v>
      </c>
      <c r="F322" s="2" t="s">
        <v>19</v>
      </c>
      <c r="G322" s="2" t="s">
        <v>14</v>
      </c>
      <c r="H322" s="2" t="s">
        <v>15</v>
      </c>
      <c r="I322" s="2" t="s">
        <v>41</v>
      </c>
      <c r="J322" s="2" t="s">
        <v>22</v>
      </c>
    </row>
    <row r="323" spans="1:10" x14ac:dyDescent="0.3">
      <c r="A323" s="2" t="s">
        <v>581</v>
      </c>
      <c r="B323" s="2" t="s">
        <v>32</v>
      </c>
      <c r="C323" s="2" t="s">
        <v>26</v>
      </c>
      <c r="D323" s="2">
        <v>7</v>
      </c>
      <c r="E323" s="2">
        <v>6318602399</v>
      </c>
      <c r="F323" s="2" t="s">
        <v>13</v>
      </c>
      <c r="G323" s="2" t="s">
        <v>20</v>
      </c>
      <c r="H323" s="2" t="s">
        <v>21</v>
      </c>
      <c r="I323" s="2" t="s">
        <v>29</v>
      </c>
      <c r="J323" s="2" t="s">
        <v>17</v>
      </c>
    </row>
    <row r="324" spans="1:10" hidden="1" x14ac:dyDescent="0.3">
      <c r="A324" s="2" t="s">
        <v>345</v>
      </c>
      <c r="B324" s="2" t="s">
        <v>25</v>
      </c>
      <c r="C324" s="2" t="s">
        <v>33</v>
      </c>
      <c r="D324" s="2">
        <v>5</v>
      </c>
      <c r="E324" s="2">
        <v>7241865784</v>
      </c>
      <c r="F324" s="2" t="s">
        <v>19</v>
      </c>
      <c r="G324" s="2" t="s">
        <v>14</v>
      </c>
      <c r="H324" s="2" t="s">
        <v>21</v>
      </c>
      <c r="I324" s="2" t="s">
        <v>27</v>
      </c>
      <c r="J324" s="2" t="s">
        <v>22</v>
      </c>
    </row>
    <row r="325" spans="1:10" hidden="1" x14ac:dyDescent="0.3">
      <c r="A325" s="2" t="s">
        <v>346</v>
      </c>
      <c r="B325" s="2" t="s">
        <v>25</v>
      </c>
      <c r="C325" s="2" t="s">
        <v>12</v>
      </c>
      <c r="D325" s="2">
        <v>5</v>
      </c>
      <c r="E325" s="2">
        <v>8607035304</v>
      </c>
      <c r="F325" s="2" t="s">
        <v>19</v>
      </c>
      <c r="G325" s="2" t="s">
        <v>20</v>
      </c>
      <c r="H325" s="2" t="s">
        <v>21</v>
      </c>
      <c r="I325" s="2" t="s">
        <v>27</v>
      </c>
      <c r="J325" s="2" t="s">
        <v>22</v>
      </c>
    </row>
    <row r="326" spans="1:10" hidden="1" x14ac:dyDescent="0.3">
      <c r="A326" s="2" t="s">
        <v>347</v>
      </c>
      <c r="B326" s="2" t="s">
        <v>32</v>
      </c>
      <c r="C326" s="2" t="s">
        <v>43</v>
      </c>
      <c r="D326" s="2">
        <v>7</v>
      </c>
      <c r="E326" s="2">
        <v>9360091103</v>
      </c>
      <c r="F326" s="2" t="s">
        <v>19</v>
      </c>
      <c r="G326" s="2" t="s">
        <v>20</v>
      </c>
      <c r="H326" s="2" t="s">
        <v>21</v>
      </c>
      <c r="I326" s="2" t="s">
        <v>16</v>
      </c>
      <c r="J326" s="2" t="s">
        <v>22</v>
      </c>
    </row>
    <row r="327" spans="1:10" x14ac:dyDescent="0.3">
      <c r="A327" s="2" t="s">
        <v>190</v>
      </c>
      <c r="B327" s="2" t="s">
        <v>11</v>
      </c>
      <c r="C327" s="2" t="s">
        <v>12</v>
      </c>
      <c r="D327" s="2">
        <v>3</v>
      </c>
      <c r="E327" s="2">
        <v>6975936691</v>
      </c>
      <c r="F327" s="2" t="s">
        <v>13</v>
      </c>
      <c r="G327" s="2" t="s">
        <v>14</v>
      </c>
      <c r="H327" s="2" t="s">
        <v>15</v>
      </c>
      <c r="I327" s="2" t="s">
        <v>29</v>
      </c>
      <c r="J327" s="2" t="s">
        <v>17</v>
      </c>
    </row>
    <row r="328" spans="1:10" hidden="1" x14ac:dyDescent="0.3">
      <c r="A328" s="2" t="s">
        <v>349</v>
      </c>
      <c r="B328" s="2" t="s">
        <v>32</v>
      </c>
      <c r="C328" s="2" t="s">
        <v>36</v>
      </c>
      <c r="D328" s="2">
        <v>7</v>
      </c>
      <c r="E328" s="2">
        <v>9330981780</v>
      </c>
      <c r="F328" s="2" t="s">
        <v>19</v>
      </c>
      <c r="G328" s="2" t="s">
        <v>20</v>
      </c>
      <c r="H328" s="2" t="s">
        <v>15</v>
      </c>
      <c r="I328" s="2" t="s">
        <v>22</v>
      </c>
      <c r="J328" s="2" t="s">
        <v>17</v>
      </c>
    </row>
    <row r="329" spans="1:10" hidden="1" x14ac:dyDescent="0.3">
      <c r="A329" s="2" t="s">
        <v>350</v>
      </c>
      <c r="B329" s="2" t="s">
        <v>25</v>
      </c>
      <c r="C329" s="2" t="s">
        <v>33</v>
      </c>
      <c r="D329" s="2">
        <v>5</v>
      </c>
      <c r="E329" s="2">
        <v>9655386925</v>
      </c>
      <c r="F329" s="2" t="s">
        <v>19</v>
      </c>
      <c r="G329" s="2" t="s">
        <v>20</v>
      </c>
      <c r="H329" s="2" t="s">
        <v>15</v>
      </c>
      <c r="I329" s="2" t="s">
        <v>22</v>
      </c>
      <c r="J329" s="2" t="s">
        <v>22</v>
      </c>
    </row>
    <row r="330" spans="1:10" x14ac:dyDescent="0.3">
      <c r="A330" s="2" t="s">
        <v>448</v>
      </c>
      <c r="B330" s="2" t="s">
        <v>32</v>
      </c>
      <c r="C330" s="2" t="s">
        <v>33</v>
      </c>
      <c r="D330" s="2">
        <v>7</v>
      </c>
      <c r="E330" s="2">
        <v>8040119751</v>
      </c>
      <c r="F330" s="2" t="s">
        <v>13</v>
      </c>
      <c r="G330" s="2" t="s">
        <v>20</v>
      </c>
      <c r="H330" s="2" t="s">
        <v>15</v>
      </c>
      <c r="I330" s="2" t="s">
        <v>27</v>
      </c>
      <c r="J330" s="2" t="s">
        <v>22</v>
      </c>
    </row>
    <row r="331" spans="1:10" x14ac:dyDescent="0.3">
      <c r="A331" s="2" t="s">
        <v>275</v>
      </c>
      <c r="B331" s="2" t="s">
        <v>25</v>
      </c>
      <c r="C331" s="2" t="s">
        <v>33</v>
      </c>
      <c r="D331" s="2">
        <v>5</v>
      </c>
      <c r="E331" s="2">
        <v>7297304435</v>
      </c>
      <c r="F331" s="2" t="s">
        <v>13</v>
      </c>
      <c r="G331" s="2" t="s">
        <v>14</v>
      </c>
      <c r="H331" s="2" t="s">
        <v>21</v>
      </c>
      <c r="I331" s="2" t="s">
        <v>41</v>
      </c>
      <c r="J331" s="2" t="s">
        <v>17</v>
      </c>
    </row>
    <row r="332" spans="1:10" hidden="1" x14ac:dyDescent="0.3">
      <c r="A332" s="2" t="s">
        <v>353</v>
      </c>
      <c r="B332" s="2" t="s">
        <v>25</v>
      </c>
      <c r="C332" s="2" t="s">
        <v>36</v>
      </c>
      <c r="D332" s="2">
        <v>5</v>
      </c>
      <c r="E332" s="2">
        <v>8940121225</v>
      </c>
      <c r="F332" s="2" t="s">
        <v>19</v>
      </c>
      <c r="G332" s="2" t="s">
        <v>14</v>
      </c>
      <c r="H332" s="2" t="s">
        <v>21</v>
      </c>
      <c r="I332" s="2" t="s">
        <v>29</v>
      </c>
      <c r="J332" s="2" t="s">
        <v>22</v>
      </c>
    </row>
    <row r="333" spans="1:10" x14ac:dyDescent="0.3">
      <c r="A333" s="2" t="s">
        <v>392</v>
      </c>
      <c r="B333" s="2" t="s">
        <v>32</v>
      </c>
      <c r="C333" s="2" t="s">
        <v>43</v>
      </c>
      <c r="D333" s="2">
        <v>7</v>
      </c>
      <c r="E333" s="2">
        <v>7774394963</v>
      </c>
      <c r="F333" s="2" t="s">
        <v>13</v>
      </c>
      <c r="G333" s="2" t="s">
        <v>14</v>
      </c>
      <c r="H333" s="2" t="s">
        <v>15</v>
      </c>
      <c r="I333" s="2" t="s">
        <v>22</v>
      </c>
      <c r="J333" s="2" t="s">
        <v>23</v>
      </c>
    </row>
    <row r="334" spans="1:10" x14ac:dyDescent="0.3">
      <c r="A334" s="2" t="s">
        <v>56</v>
      </c>
      <c r="B334" s="2" t="s">
        <v>32</v>
      </c>
      <c r="C334" s="2" t="s">
        <v>33</v>
      </c>
      <c r="D334" s="2">
        <v>7</v>
      </c>
      <c r="E334" s="2">
        <v>8066276413</v>
      </c>
      <c r="F334" s="2" t="s">
        <v>13</v>
      </c>
      <c r="G334" s="2" t="s">
        <v>20</v>
      </c>
      <c r="H334" s="2" t="s">
        <v>15</v>
      </c>
      <c r="I334" s="2" t="s">
        <v>37</v>
      </c>
      <c r="J334" s="2" t="s">
        <v>17</v>
      </c>
    </row>
    <row r="335" spans="1:10" x14ac:dyDescent="0.3">
      <c r="A335" s="2" t="s">
        <v>56</v>
      </c>
      <c r="B335" s="2" t="s">
        <v>35</v>
      </c>
      <c r="C335" s="2" t="s">
        <v>12</v>
      </c>
      <c r="D335" s="2">
        <v>1</v>
      </c>
      <c r="E335" s="2">
        <v>9089863696</v>
      </c>
      <c r="F335" s="2" t="s">
        <v>13</v>
      </c>
      <c r="G335" s="2" t="s">
        <v>20</v>
      </c>
      <c r="H335" s="2" t="s">
        <v>15</v>
      </c>
      <c r="I335" s="2" t="s">
        <v>29</v>
      </c>
      <c r="J335" s="2" t="s">
        <v>22</v>
      </c>
    </row>
    <row r="336" spans="1:10" hidden="1" x14ac:dyDescent="0.3">
      <c r="A336" s="2" t="s">
        <v>357</v>
      </c>
      <c r="B336" s="2" t="s">
        <v>35</v>
      </c>
      <c r="C336" s="2" t="s">
        <v>26</v>
      </c>
      <c r="D336" s="2">
        <v>1</v>
      </c>
      <c r="E336" s="2">
        <v>9284636166</v>
      </c>
      <c r="F336" s="2" t="s">
        <v>19</v>
      </c>
      <c r="G336" s="2" t="s">
        <v>20</v>
      </c>
      <c r="H336" s="2" t="s">
        <v>21</v>
      </c>
      <c r="I336" s="2" t="s">
        <v>41</v>
      </c>
      <c r="J336" s="2" t="s">
        <v>22</v>
      </c>
    </row>
    <row r="337" spans="1:10" hidden="1" x14ac:dyDescent="0.3">
      <c r="A337" s="2" t="s">
        <v>358</v>
      </c>
      <c r="B337" s="2" t="s">
        <v>11</v>
      </c>
      <c r="C337" s="2" t="s">
        <v>12</v>
      </c>
      <c r="D337" s="2">
        <v>3</v>
      </c>
      <c r="E337" s="2">
        <v>8762525544</v>
      </c>
      <c r="F337" s="2" t="s">
        <v>19</v>
      </c>
      <c r="G337" s="2" t="s">
        <v>20</v>
      </c>
      <c r="H337" s="2" t="s">
        <v>15</v>
      </c>
      <c r="I337" s="2" t="s">
        <v>41</v>
      </c>
      <c r="J337" s="2" t="s">
        <v>22</v>
      </c>
    </row>
    <row r="338" spans="1:10" hidden="1" x14ac:dyDescent="0.3">
      <c r="A338" s="2" t="s">
        <v>359</v>
      </c>
      <c r="B338" s="2" t="s">
        <v>35</v>
      </c>
      <c r="C338" s="2" t="s">
        <v>26</v>
      </c>
      <c r="D338" s="2">
        <v>1</v>
      </c>
      <c r="E338" s="2">
        <v>6274514568</v>
      </c>
      <c r="F338" s="2" t="s">
        <v>19</v>
      </c>
      <c r="G338" s="2" t="s">
        <v>14</v>
      </c>
      <c r="H338" s="2" t="s">
        <v>21</v>
      </c>
      <c r="I338" s="2" t="s">
        <v>29</v>
      </c>
      <c r="J338" s="2" t="s">
        <v>22</v>
      </c>
    </row>
    <row r="339" spans="1:10" x14ac:dyDescent="0.3">
      <c r="A339" s="2" t="s">
        <v>550</v>
      </c>
      <c r="B339" s="2" t="s">
        <v>35</v>
      </c>
      <c r="C339" s="2" t="s">
        <v>26</v>
      </c>
      <c r="D339" s="2">
        <v>1</v>
      </c>
      <c r="E339" s="2">
        <v>7820565827</v>
      </c>
      <c r="F339" s="2" t="s">
        <v>13</v>
      </c>
      <c r="G339" s="2" t="s">
        <v>14</v>
      </c>
      <c r="H339" s="2" t="s">
        <v>21</v>
      </c>
      <c r="I339" s="2" t="s">
        <v>22</v>
      </c>
      <c r="J339" s="2" t="s">
        <v>23</v>
      </c>
    </row>
    <row r="340" spans="1:10" hidden="1" x14ac:dyDescent="0.3">
      <c r="A340" s="2" t="s">
        <v>360</v>
      </c>
      <c r="B340" s="2" t="s">
        <v>25</v>
      </c>
      <c r="C340" s="2" t="s">
        <v>36</v>
      </c>
      <c r="D340" s="2">
        <v>5</v>
      </c>
      <c r="E340" s="2">
        <v>7310759000</v>
      </c>
      <c r="F340" s="2" t="s">
        <v>19</v>
      </c>
      <c r="G340" s="2" t="s">
        <v>20</v>
      </c>
      <c r="H340" s="2" t="s">
        <v>21</v>
      </c>
      <c r="I340" s="2" t="s">
        <v>22</v>
      </c>
      <c r="J340" s="2" t="s">
        <v>23</v>
      </c>
    </row>
    <row r="341" spans="1:10" x14ac:dyDescent="0.3">
      <c r="A341" s="2" t="s">
        <v>85</v>
      </c>
      <c r="B341" s="2" t="s">
        <v>11</v>
      </c>
      <c r="C341" s="2" t="s">
        <v>12</v>
      </c>
      <c r="D341" s="2">
        <v>3</v>
      </c>
      <c r="E341" s="2">
        <v>7784045242</v>
      </c>
      <c r="F341" s="2" t="s">
        <v>13</v>
      </c>
      <c r="G341" s="2" t="s">
        <v>20</v>
      </c>
      <c r="H341" s="2" t="s">
        <v>15</v>
      </c>
      <c r="I341" s="2" t="s">
        <v>27</v>
      </c>
      <c r="J341" s="2" t="s">
        <v>17</v>
      </c>
    </row>
    <row r="342" spans="1:10" x14ac:dyDescent="0.3">
      <c r="A342" s="2" t="s">
        <v>372</v>
      </c>
      <c r="B342" s="2" t="s">
        <v>11</v>
      </c>
      <c r="C342" s="2" t="s">
        <v>26</v>
      </c>
      <c r="D342" s="2">
        <v>3</v>
      </c>
      <c r="E342" s="2">
        <v>6564524489</v>
      </c>
      <c r="F342" s="2" t="s">
        <v>13</v>
      </c>
      <c r="G342" s="2" t="s">
        <v>14</v>
      </c>
      <c r="H342" s="2" t="s">
        <v>21</v>
      </c>
      <c r="I342" s="2" t="s">
        <v>22</v>
      </c>
      <c r="J342" s="2" t="s">
        <v>23</v>
      </c>
    </row>
    <row r="343" spans="1:10" x14ac:dyDescent="0.3">
      <c r="A343" s="2" t="s">
        <v>61</v>
      </c>
      <c r="B343" s="2" t="s">
        <v>35</v>
      </c>
      <c r="C343" s="2" t="s">
        <v>26</v>
      </c>
      <c r="D343" s="2">
        <v>1</v>
      </c>
      <c r="E343" s="2">
        <v>7271880462</v>
      </c>
      <c r="F343" s="2" t="s">
        <v>13</v>
      </c>
      <c r="G343" s="2" t="s">
        <v>14</v>
      </c>
      <c r="H343" s="2" t="s">
        <v>21</v>
      </c>
      <c r="I343" s="2" t="s">
        <v>16</v>
      </c>
      <c r="J343" s="2" t="s">
        <v>23</v>
      </c>
    </row>
    <row r="344" spans="1:10" x14ac:dyDescent="0.3">
      <c r="A344" s="2" t="s">
        <v>271</v>
      </c>
      <c r="B344" s="2" t="s">
        <v>25</v>
      </c>
      <c r="C344" s="2" t="s">
        <v>33</v>
      </c>
      <c r="D344" s="2">
        <v>5</v>
      </c>
      <c r="E344" s="2">
        <v>6118847180</v>
      </c>
      <c r="F344" s="2" t="s">
        <v>13</v>
      </c>
      <c r="G344" s="2" t="s">
        <v>14</v>
      </c>
      <c r="H344" s="2" t="s">
        <v>15</v>
      </c>
      <c r="I344" s="2" t="s">
        <v>37</v>
      </c>
      <c r="J344" s="2" t="s">
        <v>17</v>
      </c>
    </row>
    <row r="345" spans="1:10" hidden="1" x14ac:dyDescent="0.3">
      <c r="A345" s="2" t="s">
        <v>365</v>
      </c>
      <c r="B345" s="2" t="s">
        <v>32</v>
      </c>
      <c r="C345" s="2" t="s">
        <v>43</v>
      </c>
      <c r="D345" s="2">
        <v>7</v>
      </c>
      <c r="E345" s="2">
        <v>6163066985</v>
      </c>
      <c r="F345" s="2" t="s">
        <v>19</v>
      </c>
      <c r="G345" s="2" t="s">
        <v>14</v>
      </c>
      <c r="H345" s="2" t="s">
        <v>15</v>
      </c>
      <c r="I345" s="2" t="s">
        <v>27</v>
      </c>
      <c r="J345" s="2" t="s">
        <v>22</v>
      </c>
    </row>
    <row r="346" spans="1:10" x14ac:dyDescent="0.3">
      <c r="A346" s="2" t="s">
        <v>49</v>
      </c>
      <c r="B346" s="2" t="s">
        <v>32</v>
      </c>
      <c r="C346" s="2" t="s">
        <v>43</v>
      </c>
      <c r="D346" s="2">
        <v>7</v>
      </c>
      <c r="E346" s="2">
        <v>9406157743</v>
      </c>
      <c r="F346" s="2" t="s">
        <v>13</v>
      </c>
      <c r="G346" s="2" t="s">
        <v>14</v>
      </c>
      <c r="H346" s="2" t="s">
        <v>15</v>
      </c>
      <c r="I346" s="2" t="s">
        <v>22</v>
      </c>
      <c r="J346" s="2" t="s">
        <v>22</v>
      </c>
    </row>
    <row r="347" spans="1:10" x14ac:dyDescent="0.3">
      <c r="A347" s="2" t="s">
        <v>274</v>
      </c>
      <c r="B347" s="2" t="s">
        <v>35</v>
      </c>
      <c r="C347" s="2" t="s">
        <v>26</v>
      </c>
      <c r="D347" s="2">
        <v>1</v>
      </c>
      <c r="E347" s="2">
        <v>6536982244</v>
      </c>
      <c r="F347" s="2" t="s">
        <v>13</v>
      </c>
      <c r="G347" s="2" t="s">
        <v>20</v>
      </c>
      <c r="H347" s="2" t="s">
        <v>21</v>
      </c>
      <c r="I347" s="2" t="s">
        <v>41</v>
      </c>
      <c r="J347" s="2" t="s">
        <v>22</v>
      </c>
    </row>
    <row r="348" spans="1:10" hidden="1" x14ac:dyDescent="0.3">
      <c r="A348" s="2" t="s">
        <v>368</v>
      </c>
      <c r="B348" s="2" t="s">
        <v>32</v>
      </c>
      <c r="C348" s="2" t="s">
        <v>26</v>
      </c>
      <c r="D348" s="2">
        <v>7</v>
      </c>
      <c r="E348" s="2">
        <v>7216116614</v>
      </c>
      <c r="F348" s="2" t="s">
        <v>19</v>
      </c>
      <c r="G348" s="2" t="s">
        <v>14</v>
      </c>
      <c r="H348" s="2" t="s">
        <v>21</v>
      </c>
      <c r="I348" s="2" t="s">
        <v>22</v>
      </c>
      <c r="J348" s="2" t="s">
        <v>17</v>
      </c>
    </row>
    <row r="349" spans="1:10" hidden="1" x14ac:dyDescent="0.3">
      <c r="A349" s="2" t="s">
        <v>369</v>
      </c>
      <c r="B349" s="2" t="s">
        <v>35</v>
      </c>
      <c r="C349" s="2" t="s">
        <v>43</v>
      </c>
      <c r="D349" s="2">
        <v>1</v>
      </c>
      <c r="E349" s="2">
        <v>6222297119</v>
      </c>
      <c r="F349" s="2" t="s">
        <v>19</v>
      </c>
      <c r="G349" s="2" t="s">
        <v>14</v>
      </c>
      <c r="H349" s="2" t="s">
        <v>15</v>
      </c>
      <c r="I349" s="2" t="s">
        <v>27</v>
      </c>
      <c r="J349" s="2" t="s">
        <v>22</v>
      </c>
    </row>
    <row r="350" spans="1:10" x14ac:dyDescent="0.3">
      <c r="A350" s="2" t="s">
        <v>323</v>
      </c>
      <c r="B350" s="2" t="s">
        <v>11</v>
      </c>
      <c r="C350" s="2" t="s">
        <v>36</v>
      </c>
      <c r="D350" s="2">
        <v>3</v>
      </c>
      <c r="E350" s="2">
        <v>9985286187</v>
      </c>
      <c r="F350" s="2" t="s">
        <v>13</v>
      </c>
      <c r="G350" s="2" t="s">
        <v>14</v>
      </c>
      <c r="H350" s="2" t="s">
        <v>21</v>
      </c>
      <c r="I350" s="2" t="s">
        <v>22</v>
      </c>
      <c r="J350" s="2" t="s">
        <v>17</v>
      </c>
    </row>
    <row r="351" spans="1:10" hidden="1" x14ac:dyDescent="0.3">
      <c r="A351" s="2" t="s">
        <v>371</v>
      </c>
      <c r="B351" s="2" t="s">
        <v>35</v>
      </c>
      <c r="C351" s="2" t="s">
        <v>36</v>
      </c>
      <c r="D351" s="2">
        <v>1</v>
      </c>
      <c r="E351" s="2">
        <v>8203381060</v>
      </c>
      <c r="F351" s="2" t="s">
        <v>19</v>
      </c>
      <c r="G351" s="2" t="s">
        <v>20</v>
      </c>
      <c r="H351" s="2" t="s">
        <v>21</v>
      </c>
      <c r="I351" s="2" t="s">
        <v>37</v>
      </c>
      <c r="J351" s="2" t="s">
        <v>23</v>
      </c>
    </row>
    <row r="352" spans="1:10" x14ac:dyDescent="0.3">
      <c r="A352" s="2" t="s">
        <v>152</v>
      </c>
      <c r="B352" s="2" t="s">
        <v>32</v>
      </c>
      <c r="C352" s="2" t="s">
        <v>26</v>
      </c>
      <c r="D352" s="2">
        <v>7</v>
      </c>
      <c r="E352" s="2">
        <v>6384894424</v>
      </c>
      <c r="F352" s="2" t="s">
        <v>13</v>
      </c>
      <c r="G352" s="2" t="s">
        <v>20</v>
      </c>
      <c r="H352" s="2" t="s">
        <v>15</v>
      </c>
      <c r="I352" s="2" t="s">
        <v>37</v>
      </c>
      <c r="J352" s="2" t="s">
        <v>17</v>
      </c>
    </row>
    <row r="353" spans="1:10" hidden="1" x14ac:dyDescent="0.3">
      <c r="A353" s="2" t="s">
        <v>373</v>
      </c>
      <c r="B353" s="2" t="s">
        <v>11</v>
      </c>
      <c r="C353" s="2" t="s">
        <v>26</v>
      </c>
      <c r="D353" s="2">
        <v>3</v>
      </c>
      <c r="E353" s="2">
        <v>9702794458</v>
      </c>
      <c r="F353" s="2" t="s">
        <v>19</v>
      </c>
      <c r="G353" s="2" t="s">
        <v>14</v>
      </c>
      <c r="H353" s="2" t="s">
        <v>15</v>
      </c>
      <c r="I353" s="2" t="s">
        <v>37</v>
      </c>
      <c r="J353" s="2" t="s">
        <v>17</v>
      </c>
    </row>
    <row r="354" spans="1:10" hidden="1" x14ac:dyDescent="0.3">
      <c r="A354" s="2" t="s">
        <v>374</v>
      </c>
      <c r="B354" s="2" t="s">
        <v>35</v>
      </c>
      <c r="C354" s="2" t="s">
        <v>33</v>
      </c>
      <c r="D354" s="2">
        <v>1</v>
      </c>
      <c r="E354" s="2">
        <v>9197694366</v>
      </c>
      <c r="F354" s="2" t="s">
        <v>19</v>
      </c>
      <c r="G354" s="2" t="s">
        <v>14</v>
      </c>
      <c r="H354" s="2" t="s">
        <v>15</v>
      </c>
      <c r="I354" s="2" t="s">
        <v>41</v>
      </c>
      <c r="J354" s="2" t="s">
        <v>23</v>
      </c>
    </row>
    <row r="355" spans="1:10" hidden="1" x14ac:dyDescent="0.3">
      <c r="A355" s="2" t="s">
        <v>375</v>
      </c>
      <c r="B355" s="2" t="s">
        <v>32</v>
      </c>
      <c r="C355" s="2" t="s">
        <v>26</v>
      </c>
      <c r="D355" s="2">
        <v>7</v>
      </c>
      <c r="E355" s="2">
        <v>7882395101</v>
      </c>
      <c r="F355" s="2" t="s">
        <v>19</v>
      </c>
      <c r="G355" s="2" t="s">
        <v>14</v>
      </c>
      <c r="H355" s="2" t="s">
        <v>21</v>
      </c>
      <c r="I355" s="2" t="s">
        <v>16</v>
      </c>
      <c r="J355" s="2" t="s">
        <v>23</v>
      </c>
    </row>
    <row r="356" spans="1:10" x14ac:dyDescent="0.3">
      <c r="A356" s="2" t="s">
        <v>54</v>
      </c>
      <c r="B356" s="2" t="s">
        <v>32</v>
      </c>
      <c r="C356" s="2" t="s">
        <v>36</v>
      </c>
      <c r="D356" s="2">
        <v>7</v>
      </c>
      <c r="E356" s="2">
        <v>8613857136</v>
      </c>
      <c r="F356" s="2" t="s">
        <v>13</v>
      </c>
      <c r="G356" s="2" t="s">
        <v>20</v>
      </c>
      <c r="H356" s="2" t="s">
        <v>15</v>
      </c>
      <c r="I356" s="2" t="s">
        <v>22</v>
      </c>
      <c r="J356" s="2" t="s">
        <v>23</v>
      </c>
    </row>
    <row r="357" spans="1:10" hidden="1" x14ac:dyDescent="0.3">
      <c r="A357" s="2" t="s">
        <v>377</v>
      </c>
      <c r="B357" s="2" t="s">
        <v>35</v>
      </c>
      <c r="C357" s="2" t="s">
        <v>12</v>
      </c>
      <c r="D357" s="2">
        <v>1</v>
      </c>
      <c r="E357" s="2">
        <v>7321579557</v>
      </c>
      <c r="F357" s="2" t="s">
        <v>19</v>
      </c>
      <c r="G357" s="2" t="s">
        <v>20</v>
      </c>
      <c r="H357" s="2" t="s">
        <v>15</v>
      </c>
      <c r="I357" s="2" t="s">
        <v>22</v>
      </c>
      <c r="J357" s="2" t="s">
        <v>17</v>
      </c>
    </row>
    <row r="358" spans="1:10" x14ac:dyDescent="0.3">
      <c r="A358" s="2" t="s">
        <v>289</v>
      </c>
      <c r="B358" s="2" t="s">
        <v>25</v>
      </c>
      <c r="C358" s="2" t="s">
        <v>33</v>
      </c>
      <c r="D358" s="2">
        <v>5</v>
      </c>
      <c r="E358" s="2">
        <v>6951338106</v>
      </c>
      <c r="F358" s="2" t="s">
        <v>13</v>
      </c>
      <c r="G358" s="2" t="s">
        <v>20</v>
      </c>
      <c r="H358" s="2" t="s">
        <v>21</v>
      </c>
      <c r="I358" s="2" t="s">
        <v>22</v>
      </c>
      <c r="J358" s="2" t="s">
        <v>22</v>
      </c>
    </row>
    <row r="359" spans="1:10" hidden="1" x14ac:dyDescent="0.3">
      <c r="A359" s="2" t="s">
        <v>379</v>
      </c>
      <c r="B359" s="2" t="s">
        <v>25</v>
      </c>
      <c r="C359" s="2" t="s">
        <v>26</v>
      </c>
      <c r="D359" s="2">
        <v>5</v>
      </c>
      <c r="E359" s="2">
        <v>8854114255</v>
      </c>
      <c r="F359" s="2" t="s">
        <v>19</v>
      </c>
      <c r="G359" s="2" t="s">
        <v>14</v>
      </c>
      <c r="H359" s="2" t="s">
        <v>21</v>
      </c>
      <c r="I359" s="2" t="s">
        <v>22</v>
      </c>
      <c r="J359" s="2" t="s">
        <v>23</v>
      </c>
    </row>
    <row r="360" spans="1:10" x14ac:dyDescent="0.3">
      <c r="A360" s="2" t="s">
        <v>536</v>
      </c>
      <c r="B360" s="2" t="s">
        <v>11</v>
      </c>
      <c r="C360" s="2" t="s">
        <v>43</v>
      </c>
      <c r="D360" s="2">
        <v>3</v>
      </c>
      <c r="E360" s="2">
        <v>7857047171</v>
      </c>
      <c r="F360" s="2" t="s">
        <v>13</v>
      </c>
      <c r="G360" s="2" t="s">
        <v>14</v>
      </c>
      <c r="H360" s="2" t="s">
        <v>21</v>
      </c>
      <c r="I360" s="2" t="s">
        <v>27</v>
      </c>
      <c r="J360" s="2" t="s">
        <v>22</v>
      </c>
    </row>
    <row r="361" spans="1:10" x14ac:dyDescent="0.3">
      <c r="A361" s="2" t="s">
        <v>558</v>
      </c>
      <c r="B361" s="2" t="s">
        <v>32</v>
      </c>
      <c r="C361" s="2" t="s">
        <v>26</v>
      </c>
      <c r="D361" s="2">
        <v>7</v>
      </c>
      <c r="E361" s="2">
        <v>7263338417</v>
      </c>
      <c r="F361" s="2" t="s">
        <v>13</v>
      </c>
      <c r="G361" s="2" t="s">
        <v>14</v>
      </c>
      <c r="H361" s="2" t="s">
        <v>15</v>
      </c>
      <c r="I361" s="2" t="s">
        <v>16</v>
      </c>
      <c r="J361" s="2" t="s">
        <v>22</v>
      </c>
    </row>
    <row r="362" spans="1:10" x14ac:dyDescent="0.3">
      <c r="A362" s="2" t="s">
        <v>527</v>
      </c>
      <c r="B362" s="2" t="s">
        <v>11</v>
      </c>
      <c r="C362" s="2" t="s">
        <v>12</v>
      </c>
      <c r="D362" s="2">
        <v>3</v>
      </c>
      <c r="E362" s="2">
        <v>9633833628</v>
      </c>
      <c r="F362" s="2" t="s">
        <v>13</v>
      </c>
      <c r="G362" s="2" t="s">
        <v>14</v>
      </c>
      <c r="H362" s="2" t="s">
        <v>21</v>
      </c>
      <c r="I362" s="2" t="s">
        <v>22</v>
      </c>
      <c r="J362" s="2" t="s">
        <v>17</v>
      </c>
    </row>
    <row r="363" spans="1:10" hidden="1" x14ac:dyDescent="0.3">
      <c r="A363" s="2" t="s">
        <v>383</v>
      </c>
      <c r="B363" s="2" t="s">
        <v>11</v>
      </c>
      <c r="C363" s="2" t="s">
        <v>33</v>
      </c>
      <c r="D363" s="2">
        <v>3</v>
      </c>
      <c r="E363" s="2">
        <v>9691792161</v>
      </c>
      <c r="F363" s="2" t="s">
        <v>19</v>
      </c>
      <c r="G363" s="2" t="s">
        <v>14</v>
      </c>
      <c r="H363" s="2" t="s">
        <v>21</v>
      </c>
      <c r="I363" s="2" t="s">
        <v>27</v>
      </c>
      <c r="J363" s="2" t="s">
        <v>22</v>
      </c>
    </row>
    <row r="364" spans="1:10" hidden="1" x14ac:dyDescent="0.3">
      <c r="A364" s="2" t="s">
        <v>384</v>
      </c>
      <c r="B364" s="2" t="s">
        <v>35</v>
      </c>
      <c r="C364" s="2" t="s">
        <v>26</v>
      </c>
      <c r="D364" s="2">
        <v>1</v>
      </c>
      <c r="E364" s="2">
        <v>9755508431</v>
      </c>
      <c r="F364" s="2" t="s">
        <v>19</v>
      </c>
      <c r="G364" s="2" t="s">
        <v>20</v>
      </c>
      <c r="H364" s="2" t="s">
        <v>21</v>
      </c>
      <c r="I364" s="2" t="s">
        <v>37</v>
      </c>
      <c r="J364" s="2" t="s">
        <v>23</v>
      </c>
    </row>
    <row r="365" spans="1:10" x14ac:dyDescent="0.3">
      <c r="A365" s="2" t="s">
        <v>487</v>
      </c>
      <c r="B365" s="2" t="s">
        <v>11</v>
      </c>
      <c r="C365" s="2" t="s">
        <v>26</v>
      </c>
      <c r="D365" s="2">
        <v>3</v>
      </c>
      <c r="E365" s="2">
        <v>7507233767</v>
      </c>
      <c r="F365" s="2" t="s">
        <v>13</v>
      </c>
      <c r="G365" s="2" t="s">
        <v>14</v>
      </c>
      <c r="H365" s="2" t="s">
        <v>15</v>
      </c>
      <c r="I365" s="2" t="s">
        <v>22</v>
      </c>
      <c r="J365" s="2" t="s">
        <v>17</v>
      </c>
    </row>
    <row r="366" spans="1:10" x14ac:dyDescent="0.3">
      <c r="A366" s="2" t="s">
        <v>361</v>
      </c>
      <c r="B366" s="2" t="s">
        <v>35</v>
      </c>
      <c r="C366" s="2" t="s">
        <v>26</v>
      </c>
      <c r="D366" s="2">
        <v>1</v>
      </c>
      <c r="E366" s="2">
        <v>8980177303</v>
      </c>
      <c r="F366" s="2" t="s">
        <v>13</v>
      </c>
      <c r="G366" s="2" t="s">
        <v>20</v>
      </c>
      <c r="H366" s="2" t="s">
        <v>15</v>
      </c>
      <c r="I366" s="2" t="s">
        <v>27</v>
      </c>
      <c r="J366" s="2" t="s">
        <v>22</v>
      </c>
    </row>
    <row r="367" spans="1:10" x14ac:dyDescent="0.3">
      <c r="A367" s="2" t="s">
        <v>252</v>
      </c>
      <c r="B367" s="2" t="s">
        <v>32</v>
      </c>
      <c r="C367" s="2" t="s">
        <v>12</v>
      </c>
      <c r="D367" s="2">
        <v>7</v>
      </c>
      <c r="E367" s="2">
        <v>6774563101</v>
      </c>
      <c r="F367" s="2" t="s">
        <v>13</v>
      </c>
      <c r="G367" s="2" t="s">
        <v>20</v>
      </c>
      <c r="H367" s="2" t="s">
        <v>15</v>
      </c>
      <c r="I367" s="2" t="s">
        <v>22</v>
      </c>
      <c r="J367" s="2" t="s">
        <v>23</v>
      </c>
    </row>
    <row r="368" spans="1:10" x14ac:dyDescent="0.3">
      <c r="A368" s="2" t="s">
        <v>324</v>
      </c>
      <c r="B368" s="2" t="s">
        <v>32</v>
      </c>
      <c r="C368" s="2" t="s">
        <v>12</v>
      </c>
      <c r="D368" s="2">
        <v>7</v>
      </c>
      <c r="E368" s="2">
        <v>9950282483</v>
      </c>
      <c r="F368" s="2" t="s">
        <v>13</v>
      </c>
      <c r="G368" s="2" t="s">
        <v>20</v>
      </c>
      <c r="H368" s="2" t="s">
        <v>15</v>
      </c>
      <c r="I368" s="2" t="s">
        <v>29</v>
      </c>
      <c r="J368" s="2" t="s">
        <v>22</v>
      </c>
    </row>
    <row r="369" spans="1:10" hidden="1" x14ac:dyDescent="0.3">
      <c r="A369" s="2" t="s">
        <v>389</v>
      </c>
      <c r="B369" s="2" t="s">
        <v>11</v>
      </c>
      <c r="C369" s="2" t="s">
        <v>26</v>
      </c>
      <c r="D369" s="2">
        <v>3</v>
      </c>
      <c r="E369" s="2">
        <v>8261889901</v>
      </c>
      <c r="F369" s="2" t="s">
        <v>19</v>
      </c>
      <c r="G369" s="2" t="s">
        <v>20</v>
      </c>
      <c r="H369" s="2" t="s">
        <v>15</v>
      </c>
      <c r="I369" s="2" t="s">
        <v>29</v>
      </c>
      <c r="J369" s="2" t="s">
        <v>23</v>
      </c>
    </row>
    <row r="370" spans="1:10" x14ac:dyDescent="0.3">
      <c r="A370" s="2" t="s">
        <v>281</v>
      </c>
      <c r="B370" s="2" t="s">
        <v>32</v>
      </c>
      <c r="C370" s="2" t="s">
        <v>12</v>
      </c>
      <c r="D370" s="2">
        <v>7</v>
      </c>
      <c r="E370" s="2">
        <v>7351683503</v>
      </c>
      <c r="F370" s="2" t="s">
        <v>13</v>
      </c>
      <c r="G370" s="2" t="s">
        <v>20</v>
      </c>
      <c r="H370" s="2" t="s">
        <v>21</v>
      </c>
      <c r="I370" s="2" t="s">
        <v>16</v>
      </c>
      <c r="J370" s="2" t="s">
        <v>17</v>
      </c>
    </row>
    <row r="371" spans="1:10" x14ac:dyDescent="0.3">
      <c r="A371" s="2" t="s">
        <v>473</v>
      </c>
      <c r="B371" s="2" t="s">
        <v>11</v>
      </c>
      <c r="C371" s="2" t="s">
        <v>26</v>
      </c>
      <c r="D371" s="2">
        <v>3</v>
      </c>
      <c r="E371" s="2">
        <v>6638446925</v>
      </c>
      <c r="F371" s="2" t="s">
        <v>13</v>
      </c>
      <c r="G371" s="2" t="s">
        <v>14</v>
      </c>
      <c r="H371" s="2" t="s">
        <v>15</v>
      </c>
      <c r="I371" s="2" t="s">
        <v>27</v>
      </c>
      <c r="J371" s="2" t="s">
        <v>23</v>
      </c>
    </row>
    <row r="372" spans="1:10" x14ac:dyDescent="0.3">
      <c r="A372" s="2" t="s">
        <v>380</v>
      </c>
      <c r="B372" s="2" t="s">
        <v>25</v>
      </c>
      <c r="C372" s="2" t="s">
        <v>43</v>
      </c>
      <c r="D372" s="2">
        <v>5</v>
      </c>
      <c r="E372" s="2">
        <v>8487251900</v>
      </c>
      <c r="F372" s="2" t="s">
        <v>13</v>
      </c>
      <c r="G372" s="2" t="s">
        <v>20</v>
      </c>
      <c r="H372" s="2" t="s">
        <v>21</v>
      </c>
      <c r="I372" s="2" t="s">
        <v>22</v>
      </c>
      <c r="J372" s="2" t="s">
        <v>17</v>
      </c>
    </row>
    <row r="373" spans="1:10" x14ac:dyDescent="0.3">
      <c r="A373" s="2" t="s">
        <v>74</v>
      </c>
      <c r="B373" s="2" t="s">
        <v>11</v>
      </c>
      <c r="C373" s="2" t="s">
        <v>12</v>
      </c>
      <c r="D373" s="2">
        <v>3</v>
      </c>
      <c r="E373" s="2">
        <v>8048856634</v>
      </c>
      <c r="F373" s="2" t="s">
        <v>13</v>
      </c>
      <c r="G373" s="2" t="s">
        <v>14</v>
      </c>
      <c r="H373" s="2" t="s">
        <v>21</v>
      </c>
      <c r="I373" s="2" t="s">
        <v>41</v>
      </c>
      <c r="J373" s="2" t="s">
        <v>17</v>
      </c>
    </row>
    <row r="374" spans="1:10" x14ac:dyDescent="0.3">
      <c r="A374" s="2" t="s">
        <v>351</v>
      </c>
      <c r="B374" s="2" t="s">
        <v>11</v>
      </c>
      <c r="C374" s="2" t="s">
        <v>26</v>
      </c>
      <c r="D374" s="2">
        <v>3</v>
      </c>
      <c r="E374" s="2">
        <v>7748109259</v>
      </c>
      <c r="F374" s="2" t="s">
        <v>13</v>
      </c>
      <c r="G374" s="2" t="s">
        <v>20</v>
      </c>
      <c r="H374" s="2" t="s">
        <v>15</v>
      </c>
      <c r="I374" s="2" t="s">
        <v>41</v>
      </c>
      <c r="J374" s="2" t="s">
        <v>22</v>
      </c>
    </row>
    <row r="375" spans="1:10" x14ac:dyDescent="0.3">
      <c r="A375" s="2" t="s">
        <v>268</v>
      </c>
      <c r="B375" s="2" t="s">
        <v>32</v>
      </c>
      <c r="C375" s="2" t="s">
        <v>12</v>
      </c>
      <c r="D375" s="2">
        <v>7</v>
      </c>
      <c r="E375" s="2">
        <v>7826892025</v>
      </c>
      <c r="F375" s="2" t="s">
        <v>13</v>
      </c>
      <c r="G375" s="2" t="s">
        <v>20</v>
      </c>
      <c r="H375" s="2" t="s">
        <v>15</v>
      </c>
      <c r="I375" s="2" t="s">
        <v>16</v>
      </c>
      <c r="J375" s="2" t="s">
        <v>22</v>
      </c>
    </row>
    <row r="376" spans="1:10" hidden="1" x14ac:dyDescent="0.3">
      <c r="A376" s="2" t="s">
        <v>395</v>
      </c>
      <c r="B376" s="2" t="s">
        <v>32</v>
      </c>
      <c r="C376" s="2" t="s">
        <v>26</v>
      </c>
      <c r="D376" s="2">
        <v>7</v>
      </c>
      <c r="E376" s="2">
        <v>6798462618</v>
      </c>
      <c r="F376" s="2" t="s">
        <v>19</v>
      </c>
      <c r="G376" s="2" t="s">
        <v>20</v>
      </c>
      <c r="H376" s="2" t="s">
        <v>21</v>
      </c>
      <c r="I376" s="2" t="s">
        <v>22</v>
      </c>
      <c r="J376" s="2" t="s">
        <v>17</v>
      </c>
    </row>
    <row r="377" spans="1:10" hidden="1" x14ac:dyDescent="0.3">
      <c r="A377" s="2" t="s">
        <v>396</v>
      </c>
      <c r="B377" s="2" t="s">
        <v>11</v>
      </c>
      <c r="C377" s="2" t="s">
        <v>43</v>
      </c>
      <c r="D377" s="2">
        <v>3</v>
      </c>
      <c r="E377" s="2">
        <v>9629823068</v>
      </c>
      <c r="F377" s="2" t="s">
        <v>19</v>
      </c>
      <c r="G377" s="2" t="s">
        <v>20</v>
      </c>
      <c r="H377" s="2" t="s">
        <v>21</v>
      </c>
      <c r="I377" s="2" t="s">
        <v>41</v>
      </c>
      <c r="J377" s="2" t="s">
        <v>22</v>
      </c>
    </row>
    <row r="378" spans="1:10" hidden="1" x14ac:dyDescent="0.3">
      <c r="A378" s="2" t="s">
        <v>397</v>
      </c>
      <c r="B378" s="2" t="s">
        <v>25</v>
      </c>
      <c r="C378" s="2" t="s">
        <v>26</v>
      </c>
      <c r="D378" s="2">
        <v>5</v>
      </c>
      <c r="E378" s="2">
        <v>7228048436</v>
      </c>
      <c r="F378" s="2" t="s">
        <v>19</v>
      </c>
      <c r="G378" s="2" t="s">
        <v>20</v>
      </c>
      <c r="H378" s="2" t="s">
        <v>21</v>
      </c>
      <c r="I378" s="2" t="s">
        <v>22</v>
      </c>
      <c r="J378" s="2" t="s">
        <v>23</v>
      </c>
    </row>
    <row r="379" spans="1:10" hidden="1" x14ac:dyDescent="0.3">
      <c r="A379" s="2" t="s">
        <v>398</v>
      </c>
      <c r="B379" s="2" t="s">
        <v>25</v>
      </c>
      <c r="C379" s="2" t="s">
        <v>26</v>
      </c>
      <c r="D379" s="2">
        <v>5</v>
      </c>
      <c r="E379" s="2">
        <v>8130968865</v>
      </c>
      <c r="F379" s="2" t="s">
        <v>19</v>
      </c>
      <c r="G379" s="2" t="s">
        <v>14</v>
      </c>
      <c r="H379" s="2" t="s">
        <v>15</v>
      </c>
      <c r="I379" s="2" t="s">
        <v>37</v>
      </c>
      <c r="J379" s="2" t="s">
        <v>23</v>
      </c>
    </row>
    <row r="380" spans="1:10" hidden="1" x14ac:dyDescent="0.3">
      <c r="A380" s="2" t="s">
        <v>399</v>
      </c>
      <c r="B380" s="2" t="s">
        <v>25</v>
      </c>
      <c r="C380" s="2" t="s">
        <v>36</v>
      </c>
      <c r="D380" s="2">
        <v>5</v>
      </c>
      <c r="E380" s="2">
        <v>9760540447</v>
      </c>
      <c r="F380" s="2" t="s">
        <v>19</v>
      </c>
      <c r="G380" s="2" t="s">
        <v>20</v>
      </c>
      <c r="H380" s="2" t="s">
        <v>21</v>
      </c>
      <c r="I380" s="2" t="s">
        <v>16</v>
      </c>
      <c r="J380" s="2" t="s">
        <v>17</v>
      </c>
    </row>
    <row r="381" spans="1:10" hidden="1" x14ac:dyDescent="0.3">
      <c r="A381" s="2" t="s">
        <v>400</v>
      </c>
      <c r="B381" s="2" t="s">
        <v>11</v>
      </c>
      <c r="C381" s="2" t="s">
        <v>26</v>
      </c>
      <c r="D381" s="2">
        <v>3</v>
      </c>
      <c r="E381" s="2">
        <v>6065208701</v>
      </c>
      <c r="F381" s="2" t="s">
        <v>19</v>
      </c>
      <c r="G381" s="2" t="s">
        <v>20</v>
      </c>
      <c r="H381" s="2" t="s">
        <v>15</v>
      </c>
      <c r="I381" s="2" t="s">
        <v>27</v>
      </c>
      <c r="J381" s="2" t="s">
        <v>22</v>
      </c>
    </row>
    <row r="382" spans="1:10" hidden="1" x14ac:dyDescent="0.3">
      <c r="A382" s="2" t="s">
        <v>401</v>
      </c>
      <c r="B382" s="2" t="s">
        <v>25</v>
      </c>
      <c r="C382" s="2" t="s">
        <v>26</v>
      </c>
      <c r="D382" s="2">
        <v>5</v>
      </c>
      <c r="E382" s="2">
        <v>9220126639</v>
      </c>
      <c r="F382" s="2" t="s">
        <v>19</v>
      </c>
      <c r="G382" s="2" t="s">
        <v>20</v>
      </c>
      <c r="H382" s="2" t="s">
        <v>21</v>
      </c>
      <c r="I382" s="2" t="s">
        <v>29</v>
      </c>
      <c r="J382" s="2" t="s">
        <v>22</v>
      </c>
    </row>
    <row r="383" spans="1:10" x14ac:dyDescent="0.3">
      <c r="A383" s="2" t="s">
        <v>268</v>
      </c>
      <c r="B383" s="2" t="s">
        <v>32</v>
      </c>
      <c r="C383" s="2" t="s">
        <v>43</v>
      </c>
      <c r="D383" s="2">
        <v>7</v>
      </c>
      <c r="E383" s="2">
        <v>6193139365</v>
      </c>
      <c r="F383" s="2" t="s">
        <v>13</v>
      </c>
      <c r="G383" s="2" t="s">
        <v>20</v>
      </c>
      <c r="H383" s="2" t="s">
        <v>15</v>
      </c>
      <c r="I383" s="2" t="s">
        <v>22</v>
      </c>
      <c r="J383" s="2" t="s">
        <v>17</v>
      </c>
    </row>
    <row r="384" spans="1:10" x14ac:dyDescent="0.3">
      <c r="A384" s="2" t="s">
        <v>329</v>
      </c>
      <c r="B384" s="2" t="s">
        <v>35</v>
      </c>
      <c r="C384" s="2" t="s">
        <v>26</v>
      </c>
      <c r="D384" s="2">
        <v>1</v>
      </c>
      <c r="E384" s="2">
        <v>8231986838</v>
      </c>
      <c r="F384" s="2" t="s">
        <v>13</v>
      </c>
      <c r="G384" s="2" t="s">
        <v>14</v>
      </c>
      <c r="H384" s="2" t="s">
        <v>15</v>
      </c>
      <c r="I384" s="2" t="s">
        <v>22</v>
      </c>
      <c r="J384" s="2" t="s">
        <v>22</v>
      </c>
    </row>
    <row r="385" spans="1:10" x14ac:dyDescent="0.3">
      <c r="A385" s="2" t="s">
        <v>534</v>
      </c>
      <c r="B385" s="2" t="s">
        <v>11</v>
      </c>
      <c r="C385" s="2" t="s">
        <v>36</v>
      </c>
      <c r="D385" s="2">
        <v>3</v>
      </c>
      <c r="E385" s="2">
        <v>9805179615</v>
      </c>
      <c r="F385" s="2" t="s">
        <v>13</v>
      </c>
      <c r="G385" s="2" t="s">
        <v>14</v>
      </c>
      <c r="H385" s="2" t="s">
        <v>15</v>
      </c>
      <c r="I385" s="2" t="s">
        <v>41</v>
      </c>
      <c r="J385" s="2" t="s">
        <v>22</v>
      </c>
    </row>
    <row r="386" spans="1:10" hidden="1" x14ac:dyDescent="0.3">
      <c r="A386" s="2" t="s">
        <v>404</v>
      </c>
      <c r="B386" s="2" t="s">
        <v>32</v>
      </c>
      <c r="C386" s="2" t="s">
        <v>33</v>
      </c>
      <c r="D386" s="2">
        <v>7</v>
      </c>
      <c r="E386" s="2">
        <v>7600235040</v>
      </c>
      <c r="F386" s="2" t="s">
        <v>19</v>
      </c>
      <c r="G386" s="2" t="s">
        <v>20</v>
      </c>
      <c r="H386" s="2" t="s">
        <v>15</v>
      </c>
      <c r="I386" s="2" t="s">
        <v>29</v>
      </c>
      <c r="J386" s="2" t="s">
        <v>22</v>
      </c>
    </row>
    <row r="387" spans="1:10" hidden="1" x14ac:dyDescent="0.3">
      <c r="A387" s="2" t="s">
        <v>405</v>
      </c>
      <c r="B387" s="2" t="s">
        <v>32</v>
      </c>
      <c r="C387" s="2" t="s">
        <v>43</v>
      </c>
      <c r="D387" s="2">
        <v>7</v>
      </c>
      <c r="E387" s="2">
        <v>8201362507</v>
      </c>
      <c r="F387" s="2" t="s">
        <v>19</v>
      </c>
      <c r="G387" s="2" t="s">
        <v>14</v>
      </c>
      <c r="H387" s="2" t="s">
        <v>21</v>
      </c>
      <c r="I387" s="2" t="s">
        <v>22</v>
      </c>
      <c r="J387" s="2" t="s">
        <v>17</v>
      </c>
    </row>
    <row r="388" spans="1:10" hidden="1" x14ac:dyDescent="0.3">
      <c r="A388" s="2" t="s">
        <v>245</v>
      </c>
      <c r="B388" s="2" t="s">
        <v>32</v>
      </c>
      <c r="C388" s="2" t="s">
        <v>12</v>
      </c>
      <c r="D388" s="2">
        <v>7</v>
      </c>
      <c r="E388" s="2">
        <v>9010963256</v>
      </c>
      <c r="F388" s="2" t="s">
        <v>19</v>
      </c>
      <c r="G388" s="2" t="s">
        <v>20</v>
      </c>
      <c r="H388" s="2" t="s">
        <v>21</v>
      </c>
      <c r="I388" s="2" t="s">
        <v>41</v>
      </c>
      <c r="J388" s="2" t="s">
        <v>23</v>
      </c>
    </row>
    <row r="389" spans="1:10" hidden="1" x14ac:dyDescent="0.3">
      <c r="A389" s="2" t="s">
        <v>406</v>
      </c>
      <c r="B389" s="2" t="s">
        <v>25</v>
      </c>
      <c r="C389" s="2" t="s">
        <v>12</v>
      </c>
      <c r="D389" s="2">
        <v>5</v>
      </c>
      <c r="E389" s="2">
        <v>7611044753</v>
      </c>
      <c r="F389" s="2" t="s">
        <v>19</v>
      </c>
      <c r="G389" s="2" t="s">
        <v>14</v>
      </c>
      <c r="H389" s="2" t="s">
        <v>15</v>
      </c>
      <c r="I389" s="2" t="s">
        <v>22</v>
      </c>
      <c r="J389" s="2" t="s">
        <v>17</v>
      </c>
    </row>
    <row r="390" spans="1:10" x14ac:dyDescent="0.3">
      <c r="A390" s="2" t="s">
        <v>230</v>
      </c>
      <c r="B390" s="2" t="s">
        <v>32</v>
      </c>
      <c r="C390" s="2" t="s">
        <v>43</v>
      </c>
      <c r="D390" s="2">
        <v>7</v>
      </c>
      <c r="E390" s="2">
        <v>9650489619</v>
      </c>
      <c r="F390" s="2" t="s">
        <v>13</v>
      </c>
      <c r="G390" s="2" t="s">
        <v>20</v>
      </c>
      <c r="H390" s="2" t="s">
        <v>21</v>
      </c>
      <c r="I390" s="2" t="s">
        <v>37</v>
      </c>
      <c r="J390" s="2" t="s">
        <v>23</v>
      </c>
    </row>
    <row r="391" spans="1:10" x14ac:dyDescent="0.3">
      <c r="A391" s="2" t="s">
        <v>378</v>
      </c>
      <c r="B391" s="2" t="s">
        <v>25</v>
      </c>
      <c r="C391" s="2" t="s">
        <v>43</v>
      </c>
      <c r="D391" s="2">
        <v>5</v>
      </c>
      <c r="E391" s="2">
        <v>9319351231</v>
      </c>
      <c r="F391" s="2" t="s">
        <v>13</v>
      </c>
      <c r="G391" s="2" t="s">
        <v>20</v>
      </c>
      <c r="H391" s="2" t="s">
        <v>15</v>
      </c>
      <c r="I391" s="2" t="s">
        <v>29</v>
      </c>
      <c r="J391" s="2" t="s">
        <v>17</v>
      </c>
    </row>
    <row r="392" spans="1:10" hidden="1" x14ac:dyDescent="0.3">
      <c r="A392" s="2" t="s">
        <v>408</v>
      </c>
      <c r="B392" s="2" t="s">
        <v>35</v>
      </c>
      <c r="C392" s="2" t="s">
        <v>43</v>
      </c>
      <c r="D392" s="2">
        <v>1</v>
      </c>
      <c r="E392" s="2">
        <v>8190064554</v>
      </c>
      <c r="F392" s="2" t="s">
        <v>19</v>
      </c>
      <c r="G392" s="2" t="s">
        <v>14</v>
      </c>
      <c r="H392" s="2" t="s">
        <v>21</v>
      </c>
      <c r="I392" s="2" t="s">
        <v>27</v>
      </c>
      <c r="J392" s="2" t="s">
        <v>23</v>
      </c>
    </row>
    <row r="393" spans="1:10" hidden="1" x14ac:dyDescent="0.3">
      <c r="A393" s="2" t="s">
        <v>409</v>
      </c>
      <c r="B393" s="2" t="s">
        <v>32</v>
      </c>
      <c r="C393" s="2" t="s">
        <v>33</v>
      </c>
      <c r="D393" s="2">
        <v>7</v>
      </c>
      <c r="E393" s="2">
        <v>7038530231</v>
      </c>
      <c r="F393" s="2" t="s">
        <v>19</v>
      </c>
      <c r="G393" s="2" t="s">
        <v>14</v>
      </c>
      <c r="H393" s="2" t="s">
        <v>15</v>
      </c>
      <c r="I393" s="2" t="s">
        <v>22</v>
      </c>
      <c r="J393" s="2" t="s">
        <v>22</v>
      </c>
    </row>
    <row r="394" spans="1:10" hidden="1" x14ac:dyDescent="0.3">
      <c r="A394" s="2" t="s">
        <v>410</v>
      </c>
      <c r="B394" s="2" t="s">
        <v>25</v>
      </c>
      <c r="C394" s="2" t="s">
        <v>12</v>
      </c>
      <c r="D394" s="2">
        <v>5</v>
      </c>
      <c r="E394" s="2">
        <v>6262370299</v>
      </c>
      <c r="F394" s="2" t="s">
        <v>19</v>
      </c>
      <c r="G394" s="2" t="s">
        <v>20</v>
      </c>
      <c r="H394" s="2" t="s">
        <v>15</v>
      </c>
      <c r="I394" s="2" t="s">
        <v>29</v>
      </c>
      <c r="J394" s="2" t="s">
        <v>17</v>
      </c>
    </row>
    <row r="395" spans="1:10" x14ac:dyDescent="0.3">
      <c r="A395" s="2" t="s">
        <v>344</v>
      </c>
      <c r="B395" s="2" t="s">
        <v>32</v>
      </c>
      <c r="C395" s="2" t="s">
        <v>12</v>
      </c>
      <c r="D395" s="2">
        <v>7</v>
      </c>
      <c r="E395" s="2">
        <v>8087335119</v>
      </c>
      <c r="F395" s="2" t="s">
        <v>13</v>
      </c>
      <c r="G395" s="2" t="s">
        <v>20</v>
      </c>
      <c r="H395" s="2" t="s">
        <v>21</v>
      </c>
      <c r="I395" s="2" t="s">
        <v>16</v>
      </c>
      <c r="J395" s="2" t="s">
        <v>22</v>
      </c>
    </row>
    <row r="396" spans="1:10" x14ac:dyDescent="0.3">
      <c r="A396" s="2" t="s">
        <v>354</v>
      </c>
      <c r="B396" s="2" t="s">
        <v>25</v>
      </c>
      <c r="C396" s="2" t="s">
        <v>12</v>
      </c>
      <c r="D396" s="2">
        <v>5</v>
      </c>
      <c r="E396" s="2">
        <v>8782081790</v>
      </c>
      <c r="F396" s="2" t="s">
        <v>13</v>
      </c>
      <c r="G396" s="2" t="s">
        <v>20</v>
      </c>
      <c r="H396" s="2" t="s">
        <v>15</v>
      </c>
      <c r="I396" s="2" t="s">
        <v>22</v>
      </c>
      <c r="J396" s="2" t="s">
        <v>23</v>
      </c>
    </row>
    <row r="397" spans="1:10" hidden="1" x14ac:dyDescent="0.3">
      <c r="A397" s="2" t="s">
        <v>413</v>
      </c>
      <c r="B397" s="2" t="s">
        <v>11</v>
      </c>
      <c r="C397" s="2" t="s">
        <v>26</v>
      </c>
      <c r="D397" s="2">
        <v>3</v>
      </c>
      <c r="E397" s="2">
        <v>6241582747</v>
      </c>
      <c r="F397" s="2" t="s">
        <v>19</v>
      </c>
      <c r="G397" s="2" t="s">
        <v>20</v>
      </c>
      <c r="H397" s="2" t="s">
        <v>15</v>
      </c>
      <c r="I397" s="2" t="s">
        <v>22</v>
      </c>
      <c r="J397" s="2" t="s">
        <v>22</v>
      </c>
    </row>
    <row r="398" spans="1:10" hidden="1" x14ac:dyDescent="0.3">
      <c r="A398" s="2" t="s">
        <v>414</v>
      </c>
      <c r="B398" s="2" t="s">
        <v>35</v>
      </c>
      <c r="C398" s="2" t="s">
        <v>26</v>
      </c>
      <c r="D398" s="2">
        <v>1</v>
      </c>
      <c r="E398" s="2">
        <v>7891554611</v>
      </c>
      <c r="F398" s="2" t="s">
        <v>19</v>
      </c>
      <c r="G398" s="2" t="s">
        <v>20</v>
      </c>
      <c r="H398" s="2" t="s">
        <v>15</v>
      </c>
      <c r="I398" s="2" t="s">
        <v>29</v>
      </c>
      <c r="J398" s="2" t="s">
        <v>23</v>
      </c>
    </row>
    <row r="399" spans="1:10" hidden="1" x14ac:dyDescent="0.3">
      <c r="A399" s="2" t="s">
        <v>256</v>
      </c>
      <c r="B399" s="2" t="s">
        <v>32</v>
      </c>
      <c r="C399" s="2" t="s">
        <v>33</v>
      </c>
      <c r="D399" s="2">
        <v>7</v>
      </c>
      <c r="E399" s="2">
        <v>8252917353</v>
      </c>
      <c r="F399" s="2" t="s">
        <v>19</v>
      </c>
      <c r="G399" s="2" t="s">
        <v>14</v>
      </c>
      <c r="H399" s="2" t="s">
        <v>21</v>
      </c>
      <c r="I399" s="2" t="s">
        <v>22</v>
      </c>
      <c r="J399" s="2" t="s">
        <v>23</v>
      </c>
    </row>
    <row r="400" spans="1:10" hidden="1" x14ac:dyDescent="0.3">
      <c r="A400" s="2" t="s">
        <v>415</v>
      </c>
      <c r="B400" s="2" t="s">
        <v>32</v>
      </c>
      <c r="C400" s="2" t="s">
        <v>12</v>
      </c>
      <c r="D400" s="2">
        <v>7</v>
      </c>
      <c r="E400" s="2">
        <v>6220533732</v>
      </c>
      <c r="F400" s="2" t="s">
        <v>19</v>
      </c>
      <c r="G400" s="2" t="s">
        <v>20</v>
      </c>
      <c r="H400" s="2" t="s">
        <v>21</v>
      </c>
      <c r="I400" s="2" t="s">
        <v>37</v>
      </c>
      <c r="J400" s="2" t="s">
        <v>22</v>
      </c>
    </row>
    <row r="401" spans="1:10" hidden="1" x14ac:dyDescent="0.3">
      <c r="A401" s="2" t="s">
        <v>416</v>
      </c>
      <c r="B401" s="2" t="s">
        <v>32</v>
      </c>
      <c r="C401" s="2" t="s">
        <v>43</v>
      </c>
      <c r="D401" s="2">
        <v>7</v>
      </c>
      <c r="E401" s="2">
        <v>9625590206</v>
      </c>
      <c r="F401" s="2" t="s">
        <v>19</v>
      </c>
      <c r="G401" s="2" t="s">
        <v>20</v>
      </c>
      <c r="H401" s="2" t="s">
        <v>21</v>
      </c>
      <c r="I401" s="2" t="s">
        <v>41</v>
      </c>
      <c r="J401" s="2" t="s">
        <v>23</v>
      </c>
    </row>
    <row r="402" spans="1:10" hidden="1" x14ac:dyDescent="0.3">
      <c r="A402" s="2" t="s">
        <v>417</v>
      </c>
      <c r="B402" s="2" t="s">
        <v>35</v>
      </c>
      <c r="C402" s="2" t="s">
        <v>33</v>
      </c>
      <c r="D402" s="2">
        <v>1</v>
      </c>
      <c r="E402" s="2">
        <v>6532686828</v>
      </c>
      <c r="F402" s="2" t="s">
        <v>19</v>
      </c>
      <c r="G402" s="2" t="s">
        <v>14</v>
      </c>
      <c r="H402" s="2" t="s">
        <v>21</v>
      </c>
      <c r="I402" s="2" t="s">
        <v>29</v>
      </c>
      <c r="J402" s="2" t="s">
        <v>22</v>
      </c>
    </row>
    <row r="403" spans="1:10" hidden="1" x14ac:dyDescent="0.3">
      <c r="A403" s="2" t="s">
        <v>418</v>
      </c>
      <c r="B403" s="2" t="s">
        <v>35</v>
      </c>
      <c r="C403" s="2" t="s">
        <v>12</v>
      </c>
      <c r="D403" s="2">
        <v>1</v>
      </c>
      <c r="E403" s="2">
        <v>8573092728</v>
      </c>
      <c r="F403" s="2" t="s">
        <v>19</v>
      </c>
      <c r="G403" s="2" t="s">
        <v>20</v>
      </c>
      <c r="H403" s="2" t="s">
        <v>21</v>
      </c>
      <c r="I403" s="2" t="s">
        <v>41</v>
      </c>
      <c r="J403" s="2" t="s">
        <v>22</v>
      </c>
    </row>
    <row r="404" spans="1:10" hidden="1" x14ac:dyDescent="0.3">
      <c r="A404" s="2" t="s">
        <v>419</v>
      </c>
      <c r="B404" s="2" t="s">
        <v>35</v>
      </c>
      <c r="C404" s="2" t="s">
        <v>33</v>
      </c>
      <c r="D404" s="2">
        <v>1</v>
      </c>
      <c r="E404" s="2">
        <v>6489472674</v>
      </c>
      <c r="F404" s="2" t="s">
        <v>19</v>
      </c>
      <c r="G404" s="2" t="s">
        <v>14</v>
      </c>
      <c r="H404" s="2" t="s">
        <v>21</v>
      </c>
      <c r="I404" s="2" t="s">
        <v>37</v>
      </c>
      <c r="J404" s="2" t="s">
        <v>22</v>
      </c>
    </row>
    <row r="405" spans="1:10" x14ac:dyDescent="0.3">
      <c r="A405" s="2" t="s">
        <v>184</v>
      </c>
      <c r="B405" s="2" t="s">
        <v>35</v>
      </c>
      <c r="C405" s="2" t="s">
        <v>36</v>
      </c>
      <c r="D405" s="2">
        <v>1</v>
      </c>
      <c r="E405" s="2">
        <v>8380003977</v>
      </c>
      <c r="F405" s="2" t="s">
        <v>13</v>
      </c>
      <c r="G405" s="2" t="s">
        <v>14</v>
      </c>
      <c r="H405" s="2" t="s">
        <v>15</v>
      </c>
      <c r="I405" s="2" t="s">
        <v>22</v>
      </c>
      <c r="J405" s="2" t="s">
        <v>22</v>
      </c>
    </row>
    <row r="406" spans="1:10" hidden="1" x14ac:dyDescent="0.3">
      <c r="A406" s="2" t="s">
        <v>276</v>
      </c>
      <c r="B406" s="2" t="s">
        <v>32</v>
      </c>
      <c r="C406" s="2" t="s">
        <v>12</v>
      </c>
      <c r="D406" s="2">
        <v>7</v>
      </c>
      <c r="E406" s="2">
        <v>7723902708</v>
      </c>
      <c r="F406" s="2" t="s">
        <v>19</v>
      </c>
      <c r="G406" s="2" t="s">
        <v>20</v>
      </c>
      <c r="H406" s="2" t="s">
        <v>15</v>
      </c>
      <c r="I406" s="2" t="s">
        <v>22</v>
      </c>
      <c r="J406" s="2" t="s">
        <v>22</v>
      </c>
    </row>
    <row r="407" spans="1:10" hidden="1" x14ac:dyDescent="0.3">
      <c r="A407" s="2" t="s">
        <v>421</v>
      </c>
      <c r="B407" s="2" t="s">
        <v>11</v>
      </c>
      <c r="C407" s="2" t="s">
        <v>12</v>
      </c>
      <c r="D407" s="2">
        <v>3</v>
      </c>
      <c r="E407" s="2">
        <v>8213058272</v>
      </c>
      <c r="F407" s="2" t="s">
        <v>19</v>
      </c>
      <c r="G407" s="2" t="s">
        <v>14</v>
      </c>
      <c r="H407" s="2" t="s">
        <v>15</v>
      </c>
      <c r="I407" s="2" t="s">
        <v>22</v>
      </c>
      <c r="J407" s="2" t="s">
        <v>17</v>
      </c>
    </row>
    <row r="408" spans="1:10" x14ac:dyDescent="0.3">
      <c r="A408" s="2" t="s">
        <v>146</v>
      </c>
      <c r="B408" s="2" t="s">
        <v>11</v>
      </c>
      <c r="C408" s="2" t="s">
        <v>12</v>
      </c>
      <c r="D408" s="2">
        <v>3</v>
      </c>
      <c r="E408" s="2">
        <v>7025327456</v>
      </c>
      <c r="F408" s="2" t="s">
        <v>13</v>
      </c>
      <c r="G408" s="2" t="s">
        <v>20</v>
      </c>
      <c r="H408" s="2" t="s">
        <v>15</v>
      </c>
      <c r="I408" s="2" t="s">
        <v>16</v>
      </c>
      <c r="J408" s="2" t="s">
        <v>22</v>
      </c>
    </row>
    <row r="409" spans="1:10" x14ac:dyDescent="0.3">
      <c r="A409" s="2" t="s">
        <v>176</v>
      </c>
      <c r="B409" s="2" t="s">
        <v>32</v>
      </c>
      <c r="C409" s="2" t="s">
        <v>36</v>
      </c>
      <c r="D409" s="2">
        <v>7</v>
      </c>
      <c r="E409" s="2">
        <v>8671471316</v>
      </c>
      <c r="F409" s="2" t="s">
        <v>13</v>
      </c>
      <c r="G409" s="2" t="s">
        <v>20</v>
      </c>
      <c r="H409" s="2" t="s">
        <v>15</v>
      </c>
      <c r="I409" s="2" t="s">
        <v>22</v>
      </c>
      <c r="J409" s="2" t="s">
        <v>22</v>
      </c>
    </row>
    <row r="410" spans="1:10" hidden="1" x14ac:dyDescent="0.3">
      <c r="A410" s="2" t="s">
        <v>424</v>
      </c>
      <c r="B410" s="2" t="s">
        <v>11</v>
      </c>
      <c r="C410" s="2" t="s">
        <v>26</v>
      </c>
      <c r="D410" s="2">
        <v>3</v>
      </c>
      <c r="E410" s="2">
        <v>7995892910</v>
      </c>
      <c r="F410" s="2" t="s">
        <v>19</v>
      </c>
      <c r="G410" s="2" t="s">
        <v>20</v>
      </c>
      <c r="H410" s="2" t="s">
        <v>15</v>
      </c>
      <c r="I410" s="2" t="s">
        <v>22</v>
      </c>
      <c r="J410" s="2" t="s">
        <v>23</v>
      </c>
    </row>
    <row r="411" spans="1:10" hidden="1" x14ac:dyDescent="0.3">
      <c r="A411" s="2" t="s">
        <v>425</v>
      </c>
      <c r="B411" s="2" t="s">
        <v>35</v>
      </c>
      <c r="C411" s="2" t="s">
        <v>26</v>
      </c>
      <c r="D411" s="2">
        <v>1</v>
      </c>
      <c r="E411" s="2">
        <v>6746780906</v>
      </c>
      <c r="F411" s="2" t="s">
        <v>19</v>
      </c>
      <c r="G411" s="2" t="s">
        <v>14</v>
      </c>
      <c r="H411" s="2" t="s">
        <v>15</v>
      </c>
      <c r="I411" s="2" t="s">
        <v>22</v>
      </c>
      <c r="J411" s="2" t="s">
        <v>22</v>
      </c>
    </row>
    <row r="412" spans="1:10" x14ac:dyDescent="0.3">
      <c r="A412" s="2" t="s">
        <v>176</v>
      </c>
      <c r="B412" s="2" t="s">
        <v>32</v>
      </c>
      <c r="C412" s="2" t="s">
        <v>36</v>
      </c>
      <c r="D412" s="2">
        <v>7</v>
      </c>
      <c r="E412" s="2">
        <v>9799634476</v>
      </c>
      <c r="F412" s="2" t="s">
        <v>13</v>
      </c>
      <c r="G412" s="2" t="s">
        <v>20</v>
      </c>
      <c r="H412" s="2" t="s">
        <v>15</v>
      </c>
      <c r="I412" s="2" t="s">
        <v>41</v>
      </c>
      <c r="J412" s="2" t="s">
        <v>22</v>
      </c>
    </row>
    <row r="413" spans="1:10" x14ac:dyDescent="0.3">
      <c r="A413" s="2" t="s">
        <v>566</v>
      </c>
      <c r="B413" s="2" t="s">
        <v>11</v>
      </c>
      <c r="C413" s="2" t="s">
        <v>12</v>
      </c>
      <c r="D413" s="2">
        <v>3</v>
      </c>
      <c r="E413" s="2">
        <v>8906470231</v>
      </c>
      <c r="F413" s="2" t="s">
        <v>13</v>
      </c>
      <c r="G413" s="2" t="s">
        <v>14</v>
      </c>
      <c r="H413" s="2" t="s">
        <v>15</v>
      </c>
      <c r="I413" s="2" t="s">
        <v>16</v>
      </c>
      <c r="J413" s="2" t="s">
        <v>22</v>
      </c>
    </row>
    <row r="414" spans="1:10" x14ac:dyDescent="0.3">
      <c r="A414" s="2" t="s">
        <v>172</v>
      </c>
      <c r="B414" s="2" t="s">
        <v>25</v>
      </c>
      <c r="C414" s="2" t="s">
        <v>33</v>
      </c>
      <c r="D414" s="2">
        <v>5</v>
      </c>
      <c r="E414" s="2">
        <v>6802897985</v>
      </c>
      <c r="F414" s="2" t="s">
        <v>13</v>
      </c>
      <c r="G414" s="2" t="s">
        <v>20</v>
      </c>
      <c r="H414" s="2" t="s">
        <v>15</v>
      </c>
      <c r="I414" s="2" t="s">
        <v>41</v>
      </c>
      <c r="J414" s="2" t="s">
        <v>22</v>
      </c>
    </row>
    <row r="415" spans="1:10" hidden="1" x14ac:dyDescent="0.3">
      <c r="A415" s="2" t="s">
        <v>429</v>
      </c>
      <c r="B415" s="2" t="s">
        <v>25</v>
      </c>
      <c r="C415" s="2" t="s">
        <v>12</v>
      </c>
      <c r="D415" s="2">
        <v>5</v>
      </c>
      <c r="E415" s="2">
        <v>7662718863</v>
      </c>
      <c r="F415" s="2" t="s">
        <v>19</v>
      </c>
      <c r="G415" s="2" t="s">
        <v>20</v>
      </c>
      <c r="H415" s="2" t="s">
        <v>21</v>
      </c>
      <c r="I415" s="2" t="s">
        <v>16</v>
      </c>
      <c r="J415" s="2" t="s">
        <v>22</v>
      </c>
    </row>
    <row r="416" spans="1:10" hidden="1" x14ac:dyDescent="0.3">
      <c r="A416" s="2" t="s">
        <v>430</v>
      </c>
      <c r="B416" s="2" t="s">
        <v>11</v>
      </c>
      <c r="C416" s="2" t="s">
        <v>12</v>
      </c>
      <c r="D416" s="2">
        <v>3</v>
      </c>
      <c r="E416" s="2">
        <v>6664080094</v>
      </c>
      <c r="F416" s="2" t="s">
        <v>19</v>
      </c>
      <c r="G416" s="2" t="s">
        <v>14</v>
      </c>
      <c r="H416" s="2" t="s">
        <v>15</v>
      </c>
      <c r="I416" s="2" t="s">
        <v>37</v>
      </c>
      <c r="J416" s="2" t="s">
        <v>23</v>
      </c>
    </row>
    <row r="417" spans="1:10" hidden="1" x14ac:dyDescent="0.3">
      <c r="A417" s="2" t="s">
        <v>431</v>
      </c>
      <c r="B417" s="2" t="s">
        <v>11</v>
      </c>
      <c r="C417" s="2" t="s">
        <v>26</v>
      </c>
      <c r="D417" s="2">
        <v>3</v>
      </c>
      <c r="E417" s="2">
        <v>8852790241</v>
      </c>
      <c r="F417" s="2" t="s">
        <v>19</v>
      </c>
      <c r="G417" s="2" t="s">
        <v>14</v>
      </c>
      <c r="H417" s="2" t="s">
        <v>15</v>
      </c>
      <c r="I417" s="2" t="s">
        <v>16</v>
      </c>
      <c r="J417" s="2" t="s">
        <v>23</v>
      </c>
    </row>
    <row r="418" spans="1:10" hidden="1" x14ac:dyDescent="0.3">
      <c r="A418" s="2" t="s">
        <v>432</v>
      </c>
      <c r="B418" s="2" t="s">
        <v>11</v>
      </c>
      <c r="C418" s="2" t="s">
        <v>12</v>
      </c>
      <c r="D418" s="2">
        <v>3</v>
      </c>
      <c r="E418" s="2">
        <v>6018481124</v>
      </c>
      <c r="F418" s="2" t="s">
        <v>19</v>
      </c>
      <c r="G418" s="2" t="s">
        <v>20</v>
      </c>
      <c r="H418" s="2" t="s">
        <v>15</v>
      </c>
      <c r="I418" s="2" t="s">
        <v>29</v>
      </c>
      <c r="J418" s="2" t="s">
        <v>23</v>
      </c>
    </row>
    <row r="419" spans="1:10" hidden="1" x14ac:dyDescent="0.3">
      <c r="A419" s="2" t="s">
        <v>433</v>
      </c>
      <c r="B419" s="2" t="s">
        <v>32</v>
      </c>
      <c r="C419" s="2" t="s">
        <v>26</v>
      </c>
      <c r="D419" s="2">
        <v>7</v>
      </c>
      <c r="E419" s="2">
        <v>7966532117</v>
      </c>
      <c r="F419" s="2" t="s">
        <v>19</v>
      </c>
      <c r="G419" s="2" t="s">
        <v>14</v>
      </c>
      <c r="H419" s="2" t="s">
        <v>21</v>
      </c>
      <c r="I419" s="2" t="s">
        <v>41</v>
      </c>
      <c r="J419" s="2" t="s">
        <v>22</v>
      </c>
    </row>
    <row r="420" spans="1:10" x14ac:dyDescent="0.3">
      <c r="A420" s="2" t="s">
        <v>484</v>
      </c>
      <c r="B420" s="2" t="s">
        <v>35</v>
      </c>
      <c r="C420" s="2" t="s">
        <v>43</v>
      </c>
      <c r="D420" s="2">
        <v>1</v>
      </c>
      <c r="E420" s="2">
        <v>6426975886</v>
      </c>
      <c r="F420" s="2" t="s">
        <v>13</v>
      </c>
      <c r="G420" s="2" t="s">
        <v>20</v>
      </c>
      <c r="H420" s="2" t="s">
        <v>15</v>
      </c>
      <c r="I420" s="2" t="s">
        <v>41</v>
      </c>
      <c r="J420" s="2" t="s">
        <v>17</v>
      </c>
    </row>
    <row r="421" spans="1:10" x14ac:dyDescent="0.3">
      <c r="A421" s="2" t="s">
        <v>73</v>
      </c>
      <c r="B421" s="2" t="s">
        <v>32</v>
      </c>
      <c r="C421" s="2" t="s">
        <v>36</v>
      </c>
      <c r="D421" s="2">
        <v>7</v>
      </c>
      <c r="E421" s="2">
        <v>7259224000</v>
      </c>
      <c r="F421" s="2" t="s">
        <v>13</v>
      </c>
      <c r="G421" s="2" t="s">
        <v>14</v>
      </c>
      <c r="H421" s="2" t="s">
        <v>15</v>
      </c>
      <c r="I421" s="2" t="s">
        <v>29</v>
      </c>
      <c r="J421" s="2" t="s">
        <v>22</v>
      </c>
    </row>
    <row r="422" spans="1:10" hidden="1" x14ac:dyDescent="0.3">
      <c r="A422" s="2" t="s">
        <v>436</v>
      </c>
      <c r="B422" s="2" t="s">
        <v>25</v>
      </c>
      <c r="C422" s="2" t="s">
        <v>43</v>
      </c>
      <c r="D422" s="2">
        <v>5</v>
      </c>
      <c r="E422" s="2">
        <v>8128479615</v>
      </c>
      <c r="F422" s="2" t="s">
        <v>19</v>
      </c>
      <c r="G422" s="2" t="s">
        <v>20</v>
      </c>
      <c r="H422" s="2" t="s">
        <v>15</v>
      </c>
      <c r="I422" s="2" t="s">
        <v>16</v>
      </c>
      <c r="J422" s="2" t="s">
        <v>22</v>
      </c>
    </row>
    <row r="423" spans="1:10" x14ac:dyDescent="0.3">
      <c r="A423" s="2" t="s">
        <v>376</v>
      </c>
      <c r="B423" s="2" t="s">
        <v>11</v>
      </c>
      <c r="C423" s="2" t="s">
        <v>26</v>
      </c>
      <c r="D423" s="2">
        <v>3</v>
      </c>
      <c r="E423" s="2">
        <v>9878298998</v>
      </c>
      <c r="F423" s="2" t="s">
        <v>13</v>
      </c>
      <c r="G423" s="2" t="s">
        <v>14</v>
      </c>
      <c r="H423" s="2" t="s">
        <v>15</v>
      </c>
      <c r="I423" s="2" t="s">
        <v>22</v>
      </c>
      <c r="J423" s="2" t="s">
        <v>22</v>
      </c>
    </row>
    <row r="424" spans="1:10" hidden="1" x14ac:dyDescent="0.3">
      <c r="A424" s="2" t="s">
        <v>438</v>
      </c>
      <c r="B424" s="2" t="s">
        <v>35</v>
      </c>
      <c r="C424" s="2" t="s">
        <v>12</v>
      </c>
      <c r="D424" s="2">
        <v>1</v>
      </c>
      <c r="E424" s="2">
        <v>9843720558</v>
      </c>
      <c r="F424" s="2" t="s">
        <v>19</v>
      </c>
      <c r="G424" s="2" t="s">
        <v>20</v>
      </c>
      <c r="H424" s="2" t="s">
        <v>21</v>
      </c>
      <c r="I424" s="2" t="s">
        <v>29</v>
      </c>
      <c r="J424" s="2" t="s">
        <v>23</v>
      </c>
    </row>
    <row r="425" spans="1:10" x14ac:dyDescent="0.3">
      <c r="A425" s="2" t="s">
        <v>459</v>
      </c>
      <c r="B425" s="2" t="s">
        <v>25</v>
      </c>
      <c r="C425" s="2" t="s">
        <v>26</v>
      </c>
      <c r="D425" s="2">
        <v>5</v>
      </c>
      <c r="E425" s="2">
        <v>7808483238</v>
      </c>
      <c r="F425" s="2" t="s">
        <v>13</v>
      </c>
      <c r="G425" s="2" t="s">
        <v>20</v>
      </c>
      <c r="H425" s="2" t="s">
        <v>21</v>
      </c>
      <c r="I425" s="2" t="s">
        <v>29</v>
      </c>
      <c r="J425" s="2" t="s">
        <v>22</v>
      </c>
    </row>
    <row r="426" spans="1:10" hidden="1" x14ac:dyDescent="0.3">
      <c r="A426" s="2" t="s">
        <v>342</v>
      </c>
      <c r="B426" s="2" t="s">
        <v>35</v>
      </c>
      <c r="C426" s="2" t="s">
        <v>12</v>
      </c>
      <c r="D426" s="2">
        <v>1</v>
      </c>
      <c r="E426" s="2">
        <v>7265529176</v>
      </c>
      <c r="F426" s="2" t="s">
        <v>19</v>
      </c>
      <c r="G426" s="2" t="s">
        <v>14</v>
      </c>
      <c r="H426" s="2" t="s">
        <v>21</v>
      </c>
      <c r="I426" s="2" t="s">
        <v>37</v>
      </c>
      <c r="J426" s="2" t="s">
        <v>22</v>
      </c>
    </row>
    <row r="427" spans="1:10" hidden="1" x14ac:dyDescent="0.3">
      <c r="A427" s="2" t="s">
        <v>440</v>
      </c>
      <c r="B427" s="2" t="s">
        <v>25</v>
      </c>
      <c r="C427" s="2" t="s">
        <v>12</v>
      </c>
      <c r="D427" s="2">
        <v>5</v>
      </c>
      <c r="E427" s="2">
        <v>7175138999</v>
      </c>
      <c r="F427" s="2" t="s">
        <v>19</v>
      </c>
      <c r="G427" s="2" t="s">
        <v>20</v>
      </c>
      <c r="H427" s="2" t="s">
        <v>21</v>
      </c>
      <c r="I427" s="2" t="s">
        <v>22</v>
      </c>
      <c r="J427" s="2" t="s">
        <v>17</v>
      </c>
    </row>
    <row r="428" spans="1:10" hidden="1" x14ac:dyDescent="0.3">
      <c r="A428" s="2" t="s">
        <v>164</v>
      </c>
      <c r="B428" s="2" t="s">
        <v>32</v>
      </c>
      <c r="C428" s="2" t="s">
        <v>33</v>
      </c>
      <c r="D428" s="2">
        <v>7</v>
      </c>
      <c r="E428" s="2">
        <v>6916929404</v>
      </c>
      <c r="F428" s="2" t="s">
        <v>19</v>
      </c>
      <c r="G428" s="2" t="s">
        <v>14</v>
      </c>
      <c r="H428" s="2" t="s">
        <v>21</v>
      </c>
      <c r="I428" s="2" t="s">
        <v>22</v>
      </c>
      <c r="J428" s="2" t="s">
        <v>22</v>
      </c>
    </row>
    <row r="429" spans="1:10" x14ac:dyDescent="0.3">
      <c r="A429" s="2" t="s">
        <v>459</v>
      </c>
      <c r="B429" s="2" t="s">
        <v>35</v>
      </c>
      <c r="C429" s="2" t="s">
        <v>43</v>
      </c>
      <c r="D429" s="2">
        <v>1</v>
      </c>
      <c r="E429" s="2">
        <v>7106236932</v>
      </c>
      <c r="F429" s="2" t="s">
        <v>13</v>
      </c>
      <c r="G429" s="2" t="s">
        <v>20</v>
      </c>
      <c r="H429" s="2" t="s">
        <v>21</v>
      </c>
      <c r="I429" s="2" t="s">
        <v>37</v>
      </c>
      <c r="J429" s="2" t="s">
        <v>22</v>
      </c>
    </row>
    <row r="430" spans="1:10" x14ac:dyDescent="0.3">
      <c r="A430" s="2" t="s">
        <v>503</v>
      </c>
      <c r="B430" s="2" t="s">
        <v>11</v>
      </c>
      <c r="C430" s="2" t="s">
        <v>12</v>
      </c>
      <c r="D430" s="2">
        <v>3</v>
      </c>
      <c r="E430" s="2">
        <v>7305820563</v>
      </c>
      <c r="F430" s="2" t="s">
        <v>13</v>
      </c>
      <c r="G430" s="2" t="s">
        <v>20</v>
      </c>
      <c r="H430" s="2" t="s">
        <v>21</v>
      </c>
      <c r="I430" s="2" t="s">
        <v>41</v>
      </c>
      <c r="J430" s="2" t="s">
        <v>17</v>
      </c>
    </row>
    <row r="431" spans="1:10" x14ac:dyDescent="0.3">
      <c r="A431" s="2" t="s">
        <v>370</v>
      </c>
      <c r="B431" s="2" t="s">
        <v>11</v>
      </c>
      <c r="C431" s="2" t="s">
        <v>43</v>
      </c>
      <c r="D431" s="2">
        <v>3</v>
      </c>
      <c r="E431" s="2">
        <v>8846475206</v>
      </c>
      <c r="F431" s="2" t="s">
        <v>13</v>
      </c>
      <c r="G431" s="2" t="s">
        <v>14</v>
      </c>
      <c r="H431" s="2" t="s">
        <v>15</v>
      </c>
      <c r="I431" s="2" t="s">
        <v>22</v>
      </c>
      <c r="J431" s="2" t="s">
        <v>22</v>
      </c>
    </row>
    <row r="432" spans="1:10" x14ac:dyDescent="0.3">
      <c r="A432" s="2" t="s">
        <v>498</v>
      </c>
      <c r="B432" s="2" t="s">
        <v>11</v>
      </c>
      <c r="C432" s="2" t="s">
        <v>43</v>
      </c>
      <c r="D432" s="2">
        <v>3</v>
      </c>
      <c r="E432" s="2">
        <v>9958928140</v>
      </c>
      <c r="F432" s="2" t="s">
        <v>13</v>
      </c>
      <c r="G432" s="2" t="s">
        <v>20</v>
      </c>
      <c r="H432" s="2" t="s">
        <v>15</v>
      </c>
      <c r="I432" s="2" t="s">
        <v>41</v>
      </c>
      <c r="J432" s="2" t="s">
        <v>17</v>
      </c>
    </row>
    <row r="433" spans="1:10" hidden="1" x14ac:dyDescent="0.3">
      <c r="A433" s="2" t="s">
        <v>445</v>
      </c>
      <c r="B433" s="2" t="s">
        <v>11</v>
      </c>
      <c r="C433" s="2" t="s">
        <v>26</v>
      </c>
      <c r="D433" s="2">
        <v>3</v>
      </c>
      <c r="E433" s="2">
        <v>7056373018</v>
      </c>
      <c r="F433" s="2" t="s">
        <v>19</v>
      </c>
      <c r="G433" s="2" t="s">
        <v>20</v>
      </c>
      <c r="H433" s="2" t="s">
        <v>15</v>
      </c>
      <c r="I433" s="2" t="s">
        <v>37</v>
      </c>
      <c r="J433" s="2" t="s">
        <v>23</v>
      </c>
    </row>
    <row r="434" spans="1:10" hidden="1" x14ac:dyDescent="0.3">
      <c r="A434" s="2" t="s">
        <v>446</v>
      </c>
      <c r="B434" s="2" t="s">
        <v>32</v>
      </c>
      <c r="C434" s="2" t="s">
        <v>36</v>
      </c>
      <c r="D434" s="2">
        <v>7</v>
      </c>
      <c r="E434" s="2">
        <v>9966393845</v>
      </c>
      <c r="F434" s="2" t="s">
        <v>19</v>
      </c>
      <c r="G434" s="2" t="s">
        <v>20</v>
      </c>
      <c r="H434" s="2" t="s">
        <v>15</v>
      </c>
      <c r="I434" s="2" t="s">
        <v>27</v>
      </c>
      <c r="J434" s="2" t="s">
        <v>22</v>
      </c>
    </row>
    <row r="435" spans="1:10" hidden="1" x14ac:dyDescent="0.3">
      <c r="A435" s="2" t="s">
        <v>447</v>
      </c>
      <c r="B435" s="2" t="s">
        <v>35</v>
      </c>
      <c r="C435" s="2" t="s">
        <v>12</v>
      </c>
      <c r="D435" s="2">
        <v>1</v>
      </c>
      <c r="E435" s="2">
        <v>8222071316</v>
      </c>
      <c r="F435" s="2" t="s">
        <v>19</v>
      </c>
      <c r="G435" s="2" t="s">
        <v>20</v>
      </c>
      <c r="H435" s="2" t="s">
        <v>21</v>
      </c>
      <c r="I435" s="2" t="s">
        <v>22</v>
      </c>
      <c r="J435" s="2" t="s">
        <v>22</v>
      </c>
    </row>
    <row r="436" spans="1:10" x14ac:dyDescent="0.3">
      <c r="A436" s="2" t="s">
        <v>120</v>
      </c>
      <c r="B436" s="2" t="s">
        <v>35</v>
      </c>
      <c r="C436" s="2" t="s">
        <v>43</v>
      </c>
      <c r="D436" s="2">
        <v>1</v>
      </c>
      <c r="E436" s="2">
        <v>6715218212</v>
      </c>
      <c r="F436" s="2" t="s">
        <v>13</v>
      </c>
      <c r="G436" s="2" t="s">
        <v>14</v>
      </c>
      <c r="H436" s="2" t="s">
        <v>15</v>
      </c>
      <c r="I436" s="2" t="s">
        <v>16</v>
      </c>
      <c r="J436" s="2" t="s">
        <v>17</v>
      </c>
    </row>
    <row r="437" spans="1:10" hidden="1" x14ac:dyDescent="0.3">
      <c r="A437" s="2" t="s">
        <v>449</v>
      </c>
      <c r="B437" s="2" t="s">
        <v>25</v>
      </c>
      <c r="C437" s="2" t="s">
        <v>33</v>
      </c>
      <c r="D437" s="2">
        <v>5</v>
      </c>
      <c r="E437" s="2">
        <v>8432055028</v>
      </c>
      <c r="F437" s="2" t="s">
        <v>19</v>
      </c>
      <c r="G437" s="2" t="s">
        <v>20</v>
      </c>
      <c r="H437" s="2" t="s">
        <v>15</v>
      </c>
      <c r="I437" s="2" t="s">
        <v>27</v>
      </c>
      <c r="J437" s="2" t="s">
        <v>22</v>
      </c>
    </row>
    <row r="438" spans="1:10" hidden="1" x14ac:dyDescent="0.3">
      <c r="A438" s="2" t="s">
        <v>450</v>
      </c>
      <c r="B438" s="2" t="s">
        <v>11</v>
      </c>
      <c r="C438" s="2" t="s">
        <v>36</v>
      </c>
      <c r="D438" s="2">
        <v>3</v>
      </c>
      <c r="E438" s="2">
        <v>7458810015</v>
      </c>
      <c r="F438" s="2" t="s">
        <v>19</v>
      </c>
      <c r="G438" s="2" t="s">
        <v>14</v>
      </c>
      <c r="H438" s="2" t="s">
        <v>21</v>
      </c>
      <c r="I438" s="2" t="s">
        <v>29</v>
      </c>
      <c r="J438" s="2" t="s">
        <v>22</v>
      </c>
    </row>
    <row r="439" spans="1:10" hidden="1" x14ac:dyDescent="0.3">
      <c r="A439" s="2" t="s">
        <v>451</v>
      </c>
      <c r="B439" s="2" t="s">
        <v>32</v>
      </c>
      <c r="C439" s="2" t="s">
        <v>12</v>
      </c>
      <c r="D439" s="2">
        <v>7</v>
      </c>
      <c r="E439" s="2">
        <v>7660936281</v>
      </c>
      <c r="F439" s="2" t="s">
        <v>19</v>
      </c>
      <c r="G439" s="2" t="s">
        <v>14</v>
      </c>
      <c r="H439" s="2" t="s">
        <v>15</v>
      </c>
      <c r="I439" s="2" t="s">
        <v>41</v>
      </c>
      <c r="J439" s="2" t="s">
        <v>23</v>
      </c>
    </row>
    <row r="440" spans="1:10" hidden="1" x14ac:dyDescent="0.3">
      <c r="A440" s="2" t="s">
        <v>452</v>
      </c>
      <c r="B440" s="2" t="s">
        <v>11</v>
      </c>
      <c r="C440" s="2" t="s">
        <v>26</v>
      </c>
      <c r="D440" s="2">
        <v>3</v>
      </c>
      <c r="E440" s="2">
        <v>9589950817</v>
      </c>
      <c r="F440" s="2" t="s">
        <v>19</v>
      </c>
      <c r="G440" s="2" t="s">
        <v>14</v>
      </c>
      <c r="H440" s="2" t="s">
        <v>15</v>
      </c>
      <c r="I440" s="2" t="s">
        <v>22</v>
      </c>
      <c r="J440" s="2" t="s">
        <v>17</v>
      </c>
    </row>
    <row r="441" spans="1:10" hidden="1" x14ac:dyDescent="0.3">
      <c r="A441" s="2" t="s">
        <v>453</v>
      </c>
      <c r="B441" s="2" t="s">
        <v>35</v>
      </c>
      <c r="C441" s="2" t="s">
        <v>33</v>
      </c>
      <c r="D441" s="2">
        <v>1</v>
      </c>
      <c r="E441" s="2">
        <v>6652375431</v>
      </c>
      <c r="F441" s="2" t="s">
        <v>19</v>
      </c>
      <c r="G441" s="2" t="s">
        <v>20</v>
      </c>
      <c r="H441" s="2" t="s">
        <v>15</v>
      </c>
      <c r="I441" s="2" t="s">
        <v>16</v>
      </c>
      <c r="J441" s="2" t="s">
        <v>22</v>
      </c>
    </row>
    <row r="442" spans="1:10" hidden="1" x14ac:dyDescent="0.3">
      <c r="A442" s="2" t="s">
        <v>454</v>
      </c>
      <c r="B442" s="2" t="s">
        <v>32</v>
      </c>
      <c r="C442" s="2" t="s">
        <v>33</v>
      </c>
      <c r="D442" s="2">
        <v>7</v>
      </c>
      <c r="E442" s="2">
        <v>8146157458</v>
      </c>
      <c r="F442" s="2" t="s">
        <v>19</v>
      </c>
      <c r="G442" s="2" t="s">
        <v>14</v>
      </c>
      <c r="H442" s="2" t="s">
        <v>15</v>
      </c>
      <c r="I442" s="2" t="s">
        <v>37</v>
      </c>
      <c r="J442" s="2" t="s">
        <v>23</v>
      </c>
    </row>
    <row r="443" spans="1:10" x14ac:dyDescent="0.3">
      <c r="A443" s="2" t="s">
        <v>141</v>
      </c>
      <c r="B443" s="2" t="s">
        <v>11</v>
      </c>
      <c r="C443" s="2" t="s">
        <v>33</v>
      </c>
      <c r="D443" s="2">
        <v>3</v>
      </c>
      <c r="E443" s="2">
        <v>7276354356</v>
      </c>
      <c r="F443" s="2" t="s">
        <v>13</v>
      </c>
      <c r="G443" s="2" t="s">
        <v>14</v>
      </c>
      <c r="H443" s="2" t="s">
        <v>15</v>
      </c>
      <c r="I443" s="2" t="s">
        <v>41</v>
      </c>
      <c r="J443" s="2" t="s">
        <v>22</v>
      </c>
    </row>
    <row r="444" spans="1:10" hidden="1" x14ac:dyDescent="0.3">
      <c r="A444" s="2" t="s">
        <v>456</v>
      </c>
      <c r="B444" s="2" t="s">
        <v>11</v>
      </c>
      <c r="C444" s="2" t="s">
        <v>12</v>
      </c>
      <c r="D444" s="2">
        <v>3</v>
      </c>
      <c r="E444" s="2">
        <v>8837328306</v>
      </c>
      <c r="F444" s="2" t="s">
        <v>19</v>
      </c>
      <c r="G444" s="2" t="s">
        <v>20</v>
      </c>
      <c r="H444" s="2" t="s">
        <v>15</v>
      </c>
      <c r="I444" s="2" t="s">
        <v>29</v>
      </c>
      <c r="J444" s="2" t="s">
        <v>23</v>
      </c>
    </row>
    <row r="445" spans="1:10" x14ac:dyDescent="0.3">
      <c r="A445" s="2" t="s">
        <v>84</v>
      </c>
      <c r="B445" s="2" t="s">
        <v>32</v>
      </c>
      <c r="C445" s="2" t="s">
        <v>43</v>
      </c>
      <c r="D445" s="2">
        <v>7</v>
      </c>
      <c r="E445" s="2">
        <v>7473489931</v>
      </c>
      <c r="F445" s="2" t="s">
        <v>13</v>
      </c>
      <c r="G445" s="2" t="s">
        <v>14</v>
      </c>
      <c r="H445" s="2" t="s">
        <v>15</v>
      </c>
      <c r="I445" s="2" t="s">
        <v>22</v>
      </c>
      <c r="J445" s="2" t="s">
        <v>22</v>
      </c>
    </row>
    <row r="446" spans="1:10" hidden="1" x14ac:dyDescent="0.3">
      <c r="A446" s="2" t="s">
        <v>458</v>
      </c>
      <c r="B446" s="2" t="s">
        <v>25</v>
      </c>
      <c r="C446" s="2" t="s">
        <v>12</v>
      </c>
      <c r="D446" s="2">
        <v>5</v>
      </c>
      <c r="E446" s="2">
        <v>9247984940</v>
      </c>
      <c r="F446" s="2" t="s">
        <v>19</v>
      </c>
      <c r="G446" s="2" t="s">
        <v>20</v>
      </c>
      <c r="H446" s="2" t="s">
        <v>21</v>
      </c>
      <c r="I446" s="2" t="s">
        <v>22</v>
      </c>
      <c r="J446" s="2" t="s">
        <v>22</v>
      </c>
    </row>
    <row r="447" spans="1:10" x14ac:dyDescent="0.3">
      <c r="A447" s="2" t="s">
        <v>463</v>
      </c>
      <c r="B447" s="2" t="s">
        <v>35</v>
      </c>
      <c r="C447" s="2" t="s">
        <v>33</v>
      </c>
      <c r="D447" s="2">
        <v>1</v>
      </c>
      <c r="E447" s="2">
        <v>6710324869</v>
      </c>
      <c r="F447" s="2" t="s">
        <v>13</v>
      </c>
      <c r="G447" s="2" t="s">
        <v>14</v>
      </c>
      <c r="H447" s="2" t="s">
        <v>21</v>
      </c>
      <c r="I447" s="2" t="s">
        <v>22</v>
      </c>
      <c r="J447" s="2" t="s">
        <v>17</v>
      </c>
    </row>
    <row r="448" spans="1:10" x14ac:dyDescent="0.3">
      <c r="A448" s="2" t="s">
        <v>508</v>
      </c>
      <c r="B448" s="2" t="s">
        <v>11</v>
      </c>
      <c r="C448" s="2" t="s">
        <v>33</v>
      </c>
      <c r="D448" s="2">
        <v>3</v>
      </c>
      <c r="E448" s="2">
        <v>8413669015</v>
      </c>
      <c r="F448" s="2" t="s">
        <v>13</v>
      </c>
      <c r="G448" s="2" t="s">
        <v>20</v>
      </c>
      <c r="H448" s="2" t="s">
        <v>21</v>
      </c>
      <c r="I448" s="2" t="s">
        <v>22</v>
      </c>
      <c r="J448" s="2" t="s">
        <v>22</v>
      </c>
    </row>
    <row r="449" spans="1:10" hidden="1" x14ac:dyDescent="0.3">
      <c r="A449" s="2" t="s">
        <v>461</v>
      </c>
      <c r="B449" s="2" t="s">
        <v>25</v>
      </c>
      <c r="C449" s="2" t="s">
        <v>43</v>
      </c>
      <c r="D449" s="2">
        <v>5</v>
      </c>
      <c r="E449" s="2">
        <v>6760706177</v>
      </c>
      <c r="F449" s="2" t="s">
        <v>19</v>
      </c>
      <c r="G449" s="2" t="s">
        <v>14</v>
      </c>
      <c r="H449" s="2" t="s">
        <v>21</v>
      </c>
      <c r="I449" s="2" t="s">
        <v>22</v>
      </c>
      <c r="J449" s="2" t="s">
        <v>22</v>
      </c>
    </row>
    <row r="450" spans="1:10" hidden="1" x14ac:dyDescent="0.3">
      <c r="A450" s="2" t="s">
        <v>462</v>
      </c>
      <c r="B450" s="2" t="s">
        <v>35</v>
      </c>
      <c r="C450" s="2" t="s">
        <v>33</v>
      </c>
      <c r="D450" s="2">
        <v>1</v>
      </c>
      <c r="E450" s="2">
        <v>6016851584</v>
      </c>
      <c r="F450" s="2" t="s">
        <v>19</v>
      </c>
      <c r="G450" s="2" t="s">
        <v>20</v>
      </c>
      <c r="H450" s="2" t="s">
        <v>15</v>
      </c>
      <c r="I450" s="2" t="s">
        <v>16</v>
      </c>
      <c r="J450" s="2" t="s">
        <v>22</v>
      </c>
    </row>
    <row r="451" spans="1:10" x14ac:dyDescent="0.3">
      <c r="A451" s="2" t="s">
        <v>391</v>
      </c>
      <c r="B451" s="2" t="s">
        <v>25</v>
      </c>
      <c r="C451" s="2" t="s">
        <v>12</v>
      </c>
      <c r="D451" s="2">
        <v>5</v>
      </c>
      <c r="E451" s="2">
        <v>6357350529</v>
      </c>
      <c r="F451" s="2" t="s">
        <v>13</v>
      </c>
      <c r="G451" s="2" t="s">
        <v>14</v>
      </c>
      <c r="H451" s="2" t="s">
        <v>21</v>
      </c>
      <c r="I451" s="2" t="s">
        <v>27</v>
      </c>
      <c r="J451" s="2" t="s">
        <v>23</v>
      </c>
    </row>
    <row r="452" spans="1:10" x14ac:dyDescent="0.3">
      <c r="A452" s="2" t="s">
        <v>249</v>
      </c>
      <c r="B452" s="2" t="s">
        <v>35</v>
      </c>
      <c r="C452" s="2" t="s">
        <v>33</v>
      </c>
      <c r="D452" s="2">
        <v>1</v>
      </c>
      <c r="E452" s="2">
        <v>9543400801</v>
      </c>
      <c r="F452" s="2" t="s">
        <v>13</v>
      </c>
      <c r="G452" s="2" t="s">
        <v>14</v>
      </c>
      <c r="H452" s="2" t="s">
        <v>15</v>
      </c>
      <c r="I452" s="2" t="s">
        <v>16</v>
      </c>
      <c r="J452" s="2" t="s">
        <v>17</v>
      </c>
    </row>
    <row r="453" spans="1:10" hidden="1" x14ac:dyDescent="0.3">
      <c r="A453" s="2" t="s">
        <v>465</v>
      </c>
      <c r="B453" s="2" t="s">
        <v>35</v>
      </c>
      <c r="C453" s="2" t="s">
        <v>33</v>
      </c>
      <c r="D453" s="2">
        <v>1</v>
      </c>
      <c r="E453" s="2">
        <v>6744800165</v>
      </c>
      <c r="F453" s="2" t="s">
        <v>19</v>
      </c>
      <c r="G453" s="2" t="s">
        <v>14</v>
      </c>
      <c r="H453" s="2" t="s">
        <v>21</v>
      </c>
      <c r="I453" s="2" t="s">
        <v>37</v>
      </c>
      <c r="J453" s="2" t="s">
        <v>17</v>
      </c>
    </row>
    <row r="454" spans="1:10" x14ac:dyDescent="0.3">
      <c r="A454" s="2" t="s">
        <v>306</v>
      </c>
      <c r="B454" s="2" t="s">
        <v>32</v>
      </c>
      <c r="C454" s="2" t="s">
        <v>36</v>
      </c>
      <c r="D454" s="2">
        <v>7</v>
      </c>
      <c r="E454" s="2">
        <v>8751623627</v>
      </c>
      <c r="F454" s="2" t="s">
        <v>13</v>
      </c>
      <c r="G454" s="2" t="s">
        <v>14</v>
      </c>
      <c r="H454" s="2" t="s">
        <v>15</v>
      </c>
      <c r="I454" s="2" t="s">
        <v>16</v>
      </c>
      <c r="J454" s="2" t="s">
        <v>23</v>
      </c>
    </row>
    <row r="455" spans="1:10" hidden="1" x14ac:dyDescent="0.3">
      <c r="A455" s="2" t="s">
        <v>467</v>
      </c>
      <c r="B455" s="2" t="s">
        <v>35</v>
      </c>
      <c r="C455" s="2" t="s">
        <v>43</v>
      </c>
      <c r="D455" s="2">
        <v>1</v>
      </c>
      <c r="E455" s="2">
        <v>6561378375</v>
      </c>
      <c r="F455" s="2" t="s">
        <v>19</v>
      </c>
      <c r="G455" s="2" t="s">
        <v>20</v>
      </c>
      <c r="H455" s="2" t="s">
        <v>21</v>
      </c>
      <c r="I455" s="2" t="s">
        <v>16</v>
      </c>
      <c r="J455" s="2" t="s">
        <v>22</v>
      </c>
    </row>
    <row r="456" spans="1:10" hidden="1" x14ac:dyDescent="0.3">
      <c r="A456" s="2" t="s">
        <v>468</v>
      </c>
      <c r="B456" s="2" t="s">
        <v>32</v>
      </c>
      <c r="C456" s="2" t="s">
        <v>43</v>
      </c>
      <c r="D456" s="2">
        <v>7</v>
      </c>
      <c r="E456" s="2">
        <v>6539466165</v>
      </c>
      <c r="F456" s="2" t="s">
        <v>19</v>
      </c>
      <c r="G456" s="2" t="s">
        <v>20</v>
      </c>
      <c r="H456" s="2" t="s">
        <v>21</v>
      </c>
      <c r="I456" s="2" t="s">
        <v>22</v>
      </c>
      <c r="J456" s="2" t="s">
        <v>23</v>
      </c>
    </row>
    <row r="457" spans="1:10" hidden="1" x14ac:dyDescent="0.3">
      <c r="A457" s="2" t="s">
        <v>469</v>
      </c>
      <c r="B457" s="2" t="s">
        <v>25</v>
      </c>
      <c r="C457" s="2" t="s">
        <v>26</v>
      </c>
      <c r="D457" s="2">
        <v>5</v>
      </c>
      <c r="E457" s="2">
        <v>7100920800</v>
      </c>
      <c r="F457" s="2" t="s">
        <v>19</v>
      </c>
      <c r="G457" s="2" t="s">
        <v>20</v>
      </c>
      <c r="H457" s="2" t="s">
        <v>15</v>
      </c>
      <c r="I457" s="2" t="s">
        <v>37</v>
      </c>
      <c r="J457" s="2" t="s">
        <v>23</v>
      </c>
    </row>
    <row r="458" spans="1:10" hidden="1" x14ac:dyDescent="0.3">
      <c r="A458" s="2" t="s">
        <v>470</v>
      </c>
      <c r="B458" s="2" t="s">
        <v>25</v>
      </c>
      <c r="C458" s="2" t="s">
        <v>26</v>
      </c>
      <c r="D458" s="2">
        <v>5</v>
      </c>
      <c r="E458" s="2">
        <v>7631837536</v>
      </c>
      <c r="F458" s="2" t="s">
        <v>19</v>
      </c>
      <c r="G458" s="2" t="s">
        <v>14</v>
      </c>
      <c r="H458" s="2" t="s">
        <v>15</v>
      </c>
      <c r="I458" s="2" t="s">
        <v>29</v>
      </c>
      <c r="J458" s="2" t="s">
        <v>22</v>
      </c>
    </row>
    <row r="459" spans="1:10" hidden="1" x14ac:dyDescent="0.3">
      <c r="A459" s="2" t="s">
        <v>471</v>
      </c>
      <c r="B459" s="2" t="s">
        <v>25</v>
      </c>
      <c r="C459" s="2" t="s">
        <v>43</v>
      </c>
      <c r="D459" s="2">
        <v>5</v>
      </c>
      <c r="E459" s="2">
        <v>7215178339</v>
      </c>
      <c r="F459" s="2" t="s">
        <v>19</v>
      </c>
      <c r="G459" s="2" t="s">
        <v>14</v>
      </c>
      <c r="H459" s="2" t="s">
        <v>15</v>
      </c>
      <c r="I459" s="2" t="s">
        <v>22</v>
      </c>
      <c r="J459" s="2" t="s">
        <v>23</v>
      </c>
    </row>
    <row r="460" spans="1:10" hidden="1" x14ac:dyDescent="0.3">
      <c r="A460" s="2" t="s">
        <v>472</v>
      </c>
      <c r="B460" s="2" t="s">
        <v>35</v>
      </c>
      <c r="C460" s="2" t="s">
        <v>43</v>
      </c>
      <c r="D460" s="2">
        <v>1</v>
      </c>
      <c r="E460" s="2">
        <v>7449425536</v>
      </c>
      <c r="F460" s="2" t="s">
        <v>19</v>
      </c>
      <c r="G460" s="2" t="s">
        <v>14</v>
      </c>
      <c r="H460" s="2" t="s">
        <v>21</v>
      </c>
      <c r="I460" s="2" t="s">
        <v>37</v>
      </c>
      <c r="J460" s="2" t="s">
        <v>22</v>
      </c>
    </row>
    <row r="461" spans="1:10" x14ac:dyDescent="0.3">
      <c r="A461" s="2" t="s">
        <v>592</v>
      </c>
      <c r="B461" s="2" t="s">
        <v>11</v>
      </c>
      <c r="C461" s="2" t="s">
        <v>26</v>
      </c>
      <c r="D461" s="2">
        <v>3</v>
      </c>
      <c r="E461" s="2">
        <v>9184741974</v>
      </c>
      <c r="F461" s="2" t="s">
        <v>13</v>
      </c>
      <c r="G461" s="2" t="s">
        <v>14</v>
      </c>
      <c r="H461" s="2" t="s">
        <v>21</v>
      </c>
      <c r="I461" s="2" t="s">
        <v>16</v>
      </c>
      <c r="J461" s="2" t="s">
        <v>17</v>
      </c>
    </row>
    <row r="462" spans="1:10" x14ac:dyDescent="0.3">
      <c r="A462" s="2" t="s">
        <v>194</v>
      </c>
      <c r="B462" s="2" t="s">
        <v>35</v>
      </c>
      <c r="C462" s="2" t="s">
        <v>36</v>
      </c>
      <c r="D462" s="2">
        <v>1</v>
      </c>
      <c r="E462" s="2">
        <v>9161364260</v>
      </c>
      <c r="F462" s="2" t="s">
        <v>13</v>
      </c>
      <c r="G462" s="2" t="s">
        <v>14</v>
      </c>
      <c r="H462" s="2" t="s">
        <v>21</v>
      </c>
      <c r="I462" s="2" t="s">
        <v>22</v>
      </c>
      <c r="J462" s="2" t="s">
        <v>22</v>
      </c>
    </row>
    <row r="463" spans="1:10" x14ac:dyDescent="0.3">
      <c r="A463" s="2" t="s">
        <v>240</v>
      </c>
      <c r="B463" s="2" t="s">
        <v>32</v>
      </c>
      <c r="C463" s="2" t="s">
        <v>43</v>
      </c>
      <c r="D463" s="2">
        <v>7</v>
      </c>
      <c r="E463" s="2">
        <v>6626290114</v>
      </c>
      <c r="F463" s="2" t="s">
        <v>13</v>
      </c>
      <c r="G463" s="2" t="s">
        <v>14</v>
      </c>
      <c r="H463" s="2" t="s">
        <v>15</v>
      </c>
      <c r="I463" s="2" t="s">
        <v>27</v>
      </c>
      <c r="J463" s="2" t="s">
        <v>23</v>
      </c>
    </row>
    <row r="464" spans="1:10" hidden="1" x14ac:dyDescent="0.3">
      <c r="A464" s="2" t="s">
        <v>475</v>
      </c>
      <c r="B464" s="2" t="s">
        <v>32</v>
      </c>
      <c r="C464" s="2" t="s">
        <v>12</v>
      </c>
      <c r="D464" s="2">
        <v>7</v>
      </c>
      <c r="E464" s="2">
        <v>8982599699</v>
      </c>
      <c r="F464" s="2" t="s">
        <v>19</v>
      </c>
      <c r="G464" s="2" t="s">
        <v>20</v>
      </c>
      <c r="H464" s="2" t="s">
        <v>21</v>
      </c>
      <c r="I464" s="2" t="s">
        <v>22</v>
      </c>
      <c r="J464" s="2" t="s">
        <v>17</v>
      </c>
    </row>
    <row r="465" spans="1:10" hidden="1" x14ac:dyDescent="0.3">
      <c r="A465" s="2" t="s">
        <v>476</v>
      </c>
      <c r="B465" s="2" t="s">
        <v>35</v>
      </c>
      <c r="C465" s="2" t="s">
        <v>43</v>
      </c>
      <c r="D465" s="2">
        <v>1</v>
      </c>
      <c r="E465" s="2">
        <v>9884395934</v>
      </c>
      <c r="F465" s="2" t="s">
        <v>19</v>
      </c>
      <c r="G465" s="2" t="s">
        <v>14</v>
      </c>
      <c r="H465" s="2" t="s">
        <v>15</v>
      </c>
      <c r="I465" s="2" t="s">
        <v>22</v>
      </c>
      <c r="J465" s="2" t="s">
        <v>22</v>
      </c>
    </row>
    <row r="466" spans="1:10" hidden="1" x14ac:dyDescent="0.3">
      <c r="A466" s="2" t="s">
        <v>477</v>
      </c>
      <c r="B466" s="2" t="s">
        <v>35</v>
      </c>
      <c r="C466" s="2" t="s">
        <v>26</v>
      </c>
      <c r="D466" s="2">
        <v>1</v>
      </c>
      <c r="E466" s="2">
        <v>7023587431</v>
      </c>
      <c r="F466" s="2" t="s">
        <v>19</v>
      </c>
      <c r="G466" s="2" t="s">
        <v>14</v>
      </c>
      <c r="H466" s="2" t="s">
        <v>21</v>
      </c>
      <c r="I466" s="2" t="s">
        <v>27</v>
      </c>
      <c r="J466" s="2" t="s">
        <v>22</v>
      </c>
    </row>
    <row r="467" spans="1:10" x14ac:dyDescent="0.3">
      <c r="A467" s="2" t="s">
        <v>240</v>
      </c>
      <c r="B467" s="2" t="s">
        <v>35</v>
      </c>
      <c r="C467" s="2" t="s">
        <v>12</v>
      </c>
      <c r="D467" s="2">
        <v>1</v>
      </c>
      <c r="E467" s="2">
        <v>9886073664</v>
      </c>
      <c r="F467" s="2" t="s">
        <v>13</v>
      </c>
      <c r="G467" s="2" t="s">
        <v>20</v>
      </c>
      <c r="H467" s="2" t="s">
        <v>15</v>
      </c>
      <c r="I467" s="2" t="s">
        <v>22</v>
      </c>
      <c r="J467" s="2" t="s">
        <v>22</v>
      </c>
    </row>
    <row r="468" spans="1:10" hidden="1" x14ac:dyDescent="0.3">
      <c r="A468" s="2" t="s">
        <v>479</v>
      </c>
      <c r="B468" s="2" t="s">
        <v>35</v>
      </c>
      <c r="C468" s="2" t="s">
        <v>43</v>
      </c>
      <c r="D468" s="2">
        <v>1</v>
      </c>
      <c r="E468" s="2">
        <v>9423836399</v>
      </c>
      <c r="F468" s="2" t="s">
        <v>19</v>
      </c>
      <c r="G468" s="2" t="s">
        <v>14</v>
      </c>
      <c r="H468" s="2" t="s">
        <v>15</v>
      </c>
      <c r="I468" s="2" t="s">
        <v>22</v>
      </c>
      <c r="J468" s="2" t="s">
        <v>23</v>
      </c>
    </row>
    <row r="469" spans="1:10" hidden="1" x14ac:dyDescent="0.3">
      <c r="A469" s="2" t="s">
        <v>480</v>
      </c>
      <c r="B469" s="2" t="s">
        <v>35</v>
      </c>
      <c r="C469" s="2" t="s">
        <v>26</v>
      </c>
      <c r="D469" s="2">
        <v>1</v>
      </c>
      <c r="E469" s="2">
        <v>7422699392</v>
      </c>
      <c r="F469" s="2" t="s">
        <v>19</v>
      </c>
      <c r="G469" s="2" t="s">
        <v>14</v>
      </c>
      <c r="H469" s="2" t="s">
        <v>15</v>
      </c>
      <c r="I469" s="2" t="s">
        <v>27</v>
      </c>
      <c r="J469" s="2" t="s">
        <v>23</v>
      </c>
    </row>
    <row r="470" spans="1:10" hidden="1" x14ac:dyDescent="0.3">
      <c r="A470" s="2" t="s">
        <v>481</v>
      </c>
      <c r="B470" s="2" t="s">
        <v>11</v>
      </c>
      <c r="C470" s="2" t="s">
        <v>26</v>
      </c>
      <c r="D470" s="2">
        <v>3</v>
      </c>
      <c r="E470" s="2">
        <v>9362476393</v>
      </c>
      <c r="F470" s="2" t="s">
        <v>19</v>
      </c>
      <c r="G470" s="2" t="s">
        <v>20</v>
      </c>
      <c r="H470" s="2" t="s">
        <v>15</v>
      </c>
      <c r="I470" s="2" t="s">
        <v>27</v>
      </c>
      <c r="J470" s="2" t="s">
        <v>22</v>
      </c>
    </row>
    <row r="471" spans="1:10" hidden="1" x14ac:dyDescent="0.3">
      <c r="A471" s="2" t="s">
        <v>482</v>
      </c>
      <c r="B471" s="2" t="s">
        <v>32</v>
      </c>
      <c r="C471" s="2" t="s">
        <v>12</v>
      </c>
      <c r="D471" s="2">
        <v>7</v>
      </c>
      <c r="E471" s="2">
        <v>8663603389</v>
      </c>
      <c r="F471" s="2" t="s">
        <v>19</v>
      </c>
      <c r="G471" s="2" t="s">
        <v>20</v>
      </c>
      <c r="H471" s="2" t="s">
        <v>15</v>
      </c>
      <c r="I471" s="2" t="s">
        <v>27</v>
      </c>
      <c r="J471" s="2" t="s">
        <v>17</v>
      </c>
    </row>
    <row r="472" spans="1:10" hidden="1" x14ac:dyDescent="0.3">
      <c r="A472" s="2" t="s">
        <v>483</v>
      </c>
      <c r="B472" s="2" t="s">
        <v>35</v>
      </c>
      <c r="C472" s="2" t="s">
        <v>33</v>
      </c>
      <c r="D472" s="2">
        <v>1</v>
      </c>
      <c r="E472" s="2">
        <v>9031389119</v>
      </c>
      <c r="F472" s="2" t="s">
        <v>19</v>
      </c>
      <c r="G472" s="2" t="s">
        <v>20</v>
      </c>
      <c r="H472" s="2" t="s">
        <v>21</v>
      </c>
      <c r="I472" s="2" t="s">
        <v>16</v>
      </c>
      <c r="J472" s="2" t="s">
        <v>22</v>
      </c>
    </row>
    <row r="473" spans="1:10" x14ac:dyDescent="0.3">
      <c r="A473" s="2" t="s">
        <v>442</v>
      </c>
      <c r="B473" s="2" t="s">
        <v>32</v>
      </c>
      <c r="C473" s="2" t="s">
        <v>43</v>
      </c>
      <c r="D473" s="2">
        <v>7</v>
      </c>
      <c r="E473" s="2">
        <v>7981115337</v>
      </c>
      <c r="F473" s="2" t="s">
        <v>13</v>
      </c>
      <c r="G473" s="2" t="s">
        <v>14</v>
      </c>
      <c r="H473" s="2" t="s">
        <v>21</v>
      </c>
      <c r="I473" s="2" t="s">
        <v>22</v>
      </c>
      <c r="J473" s="2" t="s">
        <v>22</v>
      </c>
    </row>
    <row r="474" spans="1:10" x14ac:dyDescent="0.3">
      <c r="A474" s="2" t="s">
        <v>596</v>
      </c>
      <c r="B474" s="2" t="s">
        <v>35</v>
      </c>
      <c r="C474" s="2" t="s">
        <v>43</v>
      </c>
      <c r="D474" s="2">
        <v>1</v>
      </c>
      <c r="E474" s="2">
        <v>6858107343</v>
      </c>
      <c r="F474" s="2" t="s">
        <v>13</v>
      </c>
      <c r="G474" s="2" t="s">
        <v>14</v>
      </c>
      <c r="H474" s="2" t="s">
        <v>21</v>
      </c>
      <c r="I474" s="2" t="s">
        <v>41</v>
      </c>
      <c r="J474" s="2" t="s">
        <v>22</v>
      </c>
    </row>
    <row r="475" spans="1:10" hidden="1" x14ac:dyDescent="0.3">
      <c r="A475" s="2" t="s">
        <v>396</v>
      </c>
      <c r="B475" s="2" t="s">
        <v>11</v>
      </c>
      <c r="C475" s="2" t="s">
        <v>33</v>
      </c>
      <c r="D475" s="2">
        <v>3</v>
      </c>
      <c r="E475" s="2">
        <v>8065438945</v>
      </c>
      <c r="F475" s="2" t="s">
        <v>19</v>
      </c>
      <c r="G475" s="2" t="s">
        <v>14</v>
      </c>
      <c r="H475" s="2" t="s">
        <v>21</v>
      </c>
      <c r="I475" s="2" t="s">
        <v>41</v>
      </c>
      <c r="J475" s="2" t="s">
        <v>22</v>
      </c>
    </row>
    <row r="476" spans="1:10" x14ac:dyDescent="0.3">
      <c r="A476" s="2" t="s">
        <v>45</v>
      </c>
      <c r="B476" s="2" t="s">
        <v>32</v>
      </c>
      <c r="C476" s="2" t="s">
        <v>12</v>
      </c>
      <c r="D476" s="2">
        <v>7</v>
      </c>
      <c r="E476" s="2">
        <v>9663364571</v>
      </c>
      <c r="F476" s="2" t="s">
        <v>13</v>
      </c>
      <c r="G476" s="2" t="s">
        <v>14</v>
      </c>
      <c r="H476" s="2" t="s">
        <v>21</v>
      </c>
      <c r="I476" s="2" t="s">
        <v>27</v>
      </c>
      <c r="J476" s="2" t="s">
        <v>22</v>
      </c>
    </row>
    <row r="477" spans="1:10" x14ac:dyDescent="0.3">
      <c r="A477" s="2" t="s">
        <v>542</v>
      </c>
      <c r="B477" s="2" t="s">
        <v>25</v>
      </c>
      <c r="C477" s="2" t="s">
        <v>33</v>
      </c>
      <c r="D477" s="2">
        <v>5</v>
      </c>
      <c r="E477" s="2">
        <v>9425841780</v>
      </c>
      <c r="F477" s="2" t="s">
        <v>13</v>
      </c>
      <c r="G477" s="2" t="s">
        <v>20</v>
      </c>
      <c r="H477" s="2" t="s">
        <v>15</v>
      </c>
      <c r="I477" s="2" t="s">
        <v>37</v>
      </c>
      <c r="J477" s="2" t="s">
        <v>23</v>
      </c>
    </row>
    <row r="478" spans="1:10" x14ac:dyDescent="0.3">
      <c r="A478" s="2" t="s">
        <v>95</v>
      </c>
      <c r="B478" s="2" t="s">
        <v>11</v>
      </c>
      <c r="C478" s="2" t="s">
        <v>12</v>
      </c>
      <c r="D478" s="2">
        <v>3</v>
      </c>
      <c r="E478" s="2">
        <v>6503352129</v>
      </c>
      <c r="F478" s="2" t="s">
        <v>13</v>
      </c>
      <c r="G478" s="2" t="s">
        <v>14</v>
      </c>
      <c r="H478" s="2" t="s">
        <v>21</v>
      </c>
      <c r="I478" s="2" t="s">
        <v>27</v>
      </c>
      <c r="J478" s="2" t="s">
        <v>17</v>
      </c>
    </row>
    <row r="479" spans="1:10" hidden="1" x14ac:dyDescent="0.3">
      <c r="A479" s="2" t="s">
        <v>387</v>
      </c>
      <c r="B479" s="2" t="s">
        <v>35</v>
      </c>
      <c r="C479" s="2" t="s">
        <v>26</v>
      </c>
      <c r="D479" s="2">
        <v>1</v>
      </c>
      <c r="E479" s="2">
        <v>7381251355</v>
      </c>
      <c r="F479" s="2" t="s">
        <v>19</v>
      </c>
      <c r="G479" s="2" t="s">
        <v>20</v>
      </c>
      <c r="H479" s="2" t="s">
        <v>21</v>
      </c>
      <c r="I479" s="2" t="s">
        <v>22</v>
      </c>
      <c r="J479" s="2" t="s">
        <v>22</v>
      </c>
    </row>
    <row r="480" spans="1:10" hidden="1" x14ac:dyDescent="0.3">
      <c r="A480" s="2" t="s">
        <v>489</v>
      </c>
      <c r="B480" s="2" t="s">
        <v>35</v>
      </c>
      <c r="C480" s="2" t="s">
        <v>12</v>
      </c>
      <c r="D480" s="2">
        <v>1</v>
      </c>
      <c r="E480" s="2">
        <v>8757874656</v>
      </c>
      <c r="F480" s="2" t="s">
        <v>19</v>
      </c>
      <c r="G480" s="2" t="s">
        <v>14</v>
      </c>
      <c r="H480" s="2" t="s">
        <v>15</v>
      </c>
      <c r="I480" s="2" t="s">
        <v>29</v>
      </c>
      <c r="J480" s="2" t="s">
        <v>22</v>
      </c>
    </row>
    <row r="481" spans="1:10" x14ac:dyDescent="0.3">
      <c r="A481" s="2" t="s">
        <v>367</v>
      </c>
      <c r="B481" s="2" t="s">
        <v>32</v>
      </c>
      <c r="C481" s="2" t="s">
        <v>43</v>
      </c>
      <c r="D481" s="2">
        <v>7</v>
      </c>
      <c r="E481" s="2">
        <v>6532481726</v>
      </c>
      <c r="F481" s="2" t="s">
        <v>13</v>
      </c>
      <c r="G481" s="2" t="s">
        <v>14</v>
      </c>
      <c r="H481" s="2" t="s">
        <v>15</v>
      </c>
      <c r="I481" s="2" t="s">
        <v>22</v>
      </c>
      <c r="J481" s="2" t="s">
        <v>23</v>
      </c>
    </row>
    <row r="482" spans="1:10" hidden="1" x14ac:dyDescent="0.3">
      <c r="A482" s="2" t="s">
        <v>491</v>
      </c>
      <c r="B482" s="2" t="s">
        <v>35</v>
      </c>
      <c r="C482" s="2" t="s">
        <v>33</v>
      </c>
      <c r="D482" s="2">
        <v>1</v>
      </c>
      <c r="E482" s="2">
        <v>8991465847</v>
      </c>
      <c r="F482" s="2" t="s">
        <v>19</v>
      </c>
      <c r="G482" s="2" t="s">
        <v>20</v>
      </c>
      <c r="H482" s="2" t="s">
        <v>21</v>
      </c>
      <c r="I482" s="2" t="s">
        <v>41</v>
      </c>
      <c r="J482" s="2" t="s">
        <v>23</v>
      </c>
    </row>
    <row r="483" spans="1:10" hidden="1" x14ac:dyDescent="0.3">
      <c r="A483" s="2" t="s">
        <v>492</v>
      </c>
      <c r="B483" s="2" t="s">
        <v>35</v>
      </c>
      <c r="C483" s="2" t="s">
        <v>26</v>
      </c>
      <c r="D483" s="2">
        <v>1</v>
      </c>
      <c r="E483" s="2">
        <v>7712627893</v>
      </c>
      <c r="F483" s="2" t="s">
        <v>19</v>
      </c>
      <c r="G483" s="2" t="s">
        <v>14</v>
      </c>
      <c r="H483" s="2" t="s">
        <v>15</v>
      </c>
      <c r="I483" s="2" t="s">
        <v>37</v>
      </c>
      <c r="J483" s="2" t="s">
        <v>23</v>
      </c>
    </row>
    <row r="484" spans="1:10" hidden="1" x14ac:dyDescent="0.3">
      <c r="A484" s="2" t="s">
        <v>493</v>
      </c>
      <c r="B484" s="2" t="s">
        <v>35</v>
      </c>
      <c r="C484" s="2" t="s">
        <v>36</v>
      </c>
      <c r="D484" s="2">
        <v>1</v>
      </c>
      <c r="E484" s="2">
        <v>9134284930</v>
      </c>
      <c r="F484" s="2" t="s">
        <v>19</v>
      </c>
      <c r="G484" s="2" t="s">
        <v>14</v>
      </c>
      <c r="H484" s="2" t="s">
        <v>15</v>
      </c>
      <c r="I484" s="2" t="s">
        <v>37</v>
      </c>
      <c r="J484" s="2" t="s">
        <v>17</v>
      </c>
    </row>
    <row r="485" spans="1:10" hidden="1" x14ac:dyDescent="0.3">
      <c r="A485" s="2" t="s">
        <v>494</v>
      </c>
      <c r="B485" s="2" t="s">
        <v>32</v>
      </c>
      <c r="C485" s="2" t="s">
        <v>43</v>
      </c>
      <c r="D485" s="2">
        <v>7</v>
      </c>
      <c r="E485" s="2">
        <v>8592739796</v>
      </c>
      <c r="F485" s="2" t="s">
        <v>19</v>
      </c>
      <c r="G485" s="2" t="s">
        <v>14</v>
      </c>
      <c r="H485" s="2" t="s">
        <v>15</v>
      </c>
      <c r="I485" s="2" t="s">
        <v>22</v>
      </c>
      <c r="J485" s="2" t="s">
        <v>22</v>
      </c>
    </row>
    <row r="486" spans="1:10" x14ac:dyDescent="0.3">
      <c r="A486" s="2" t="s">
        <v>367</v>
      </c>
      <c r="B486" s="2" t="s">
        <v>32</v>
      </c>
      <c r="C486" s="2" t="s">
        <v>36</v>
      </c>
      <c r="D486" s="2">
        <v>7</v>
      </c>
      <c r="E486" s="2">
        <v>7488243527</v>
      </c>
      <c r="F486" s="2" t="s">
        <v>13</v>
      </c>
      <c r="G486" s="2" t="s">
        <v>20</v>
      </c>
      <c r="H486" s="2" t="s">
        <v>21</v>
      </c>
      <c r="I486" s="2" t="s">
        <v>41</v>
      </c>
      <c r="J486" s="2" t="s">
        <v>23</v>
      </c>
    </row>
    <row r="487" spans="1:10" hidden="1" x14ac:dyDescent="0.3">
      <c r="A487" s="2" t="s">
        <v>496</v>
      </c>
      <c r="B487" s="2" t="s">
        <v>25</v>
      </c>
      <c r="C487" s="2" t="s">
        <v>33</v>
      </c>
      <c r="D487" s="2">
        <v>5</v>
      </c>
      <c r="E487" s="2">
        <v>6802777637</v>
      </c>
      <c r="F487" s="2" t="s">
        <v>19</v>
      </c>
      <c r="G487" s="2" t="s">
        <v>14</v>
      </c>
      <c r="H487" s="2" t="s">
        <v>15</v>
      </c>
      <c r="I487" s="2" t="s">
        <v>22</v>
      </c>
      <c r="J487" s="2" t="s">
        <v>23</v>
      </c>
    </row>
    <row r="488" spans="1:10" x14ac:dyDescent="0.3">
      <c r="A488" s="2" t="s">
        <v>296</v>
      </c>
      <c r="B488" s="2" t="s">
        <v>11</v>
      </c>
      <c r="C488" s="2" t="s">
        <v>36</v>
      </c>
      <c r="D488" s="2">
        <v>3</v>
      </c>
      <c r="E488" s="2">
        <v>9012070733</v>
      </c>
      <c r="F488" s="2" t="s">
        <v>13</v>
      </c>
      <c r="G488" s="2" t="s">
        <v>20</v>
      </c>
      <c r="H488" s="2" t="s">
        <v>21</v>
      </c>
      <c r="I488" s="2" t="s">
        <v>22</v>
      </c>
      <c r="J488" s="2" t="s">
        <v>22</v>
      </c>
    </row>
    <row r="489" spans="1:10" hidden="1" x14ac:dyDescent="0.3">
      <c r="A489" s="2" t="s">
        <v>497</v>
      </c>
      <c r="B489" s="2" t="s">
        <v>32</v>
      </c>
      <c r="C489" s="2" t="s">
        <v>26</v>
      </c>
      <c r="D489" s="2">
        <v>7</v>
      </c>
      <c r="E489" s="2">
        <v>7452989514</v>
      </c>
      <c r="F489" s="2" t="s">
        <v>19</v>
      </c>
      <c r="G489" s="2" t="s">
        <v>20</v>
      </c>
      <c r="H489" s="2" t="s">
        <v>21</v>
      </c>
      <c r="I489" s="2" t="s">
        <v>22</v>
      </c>
      <c r="J489" s="2" t="s">
        <v>22</v>
      </c>
    </row>
    <row r="490" spans="1:10" x14ac:dyDescent="0.3">
      <c r="A490" s="2" t="s">
        <v>316</v>
      </c>
      <c r="B490" s="2" t="s">
        <v>32</v>
      </c>
      <c r="C490" s="2" t="s">
        <v>12</v>
      </c>
      <c r="D490" s="2">
        <v>7</v>
      </c>
      <c r="E490" s="2">
        <v>9631014275</v>
      </c>
      <c r="F490" s="2" t="s">
        <v>13</v>
      </c>
      <c r="G490" s="2" t="s">
        <v>20</v>
      </c>
      <c r="H490" s="2" t="s">
        <v>21</v>
      </c>
      <c r="I490" s="2" t="s">
        <v>29</v>
      </c>
      <c r="J490" s="2" t="s">
        <v>22</v>
      </c>
    </row>
    <row r="491" spans="1:10" x14ac:dyDescent="0.3">
      <c r="A491" s="2" t="s">
        <v>423</v>
      </c>
      <c r="B491" s="2" t="s">
        <v>32</v>
      </c>
      <c r="C491" s="2" t="s">
        <v>36</v>
      </c>
      <c r="D491" s="2">
        <v>7</v>
      </c>
      <c r="E491" s="2">
        <v>6029120214</v>
      </c>
      <c r="F491" s="2" t="s">
        <v>13</v>
      </c>
      <c r="G491" s="2" t="s">
        <v>14</v>
      </c>
      <c r="H491" s="2" t="s">
        <v>21</v>
      </c>
      <c r="I491" s="2" t="s">
        <v>22</v>
      </c>
      <c r="J491" s="2" t="s">
        <v>22</v>
      </c>
    </row>
    <row r="492" spans="1:10" hidden="1" x14ac:dyDescent="0.3">
      <c r="A492" s="2" t="s">
        <v>448</v>
      </c>
      <c r="B492" s="2" t="s">
        <v>25</v>
      </c>
      <c r="C492" s="2" t="s">
        <v>26</v>
      </c>
      <c r="D492" s="2">
        <v>5</v>
      </c>
      <c r="E492" s="2">
        <v>8050211683</v>
      </c>
      <c r="F492" s="2" t="s">
        <v>19</v>
      </c>
      <c r="G492" s="2" t="s">
        <v>20</v>
      </c>
      <c r="H492" s="2" t="s">
        <v>21</v>
      </c>
      <c r="I492" s="2" t="s">
        <v>22</v>
      </c>
      <c r="J492" s="2" t="s">
        <v>17</v>
      </c>
    </row>
    <row r="493" spans="1:10" hidden="1" x14ac:dyDescent="0.3">
      <c r="A493" s="2" t="s">
        <v>500</v>
      </c>
      <c r="B493" s="2" t="s">
        <v>32</v>
      </c>
      <c r="C493" s="2" t="s">
        <v>26</v>
      </c>
      <c r="D493" s="2">
        <v>7</v>
      </c>
      <c r="E493" s="2">
        <v>8799177556</v>
      </c>
      <c r="F493" s="2" t="s">
        <v>19</v>
      </c>
      <c r="G493" s="2" t="s">
        <v>14</v>
      </c>
      <c r="H493" s="2" t="s">
        <v>21</v>
      </c>
      <c r="I493" s="2" t="s">
        <v>41</v>
      </c>
      <c r="J493" s="2" t="s">
        <v>23</v>
      </c>
    </row>
    <row r="494" spans="1:10" x14ac:dyDescent="0.3">
      <c r="A494" s="2" t="s">
        <v>339</v>
      </c>
      <c r="B494" s="2" t="s">
        <v>11</v>
      </c>
      <c r="C494" s="2" t="s">
        <v>43</v>
      </c>
      <c r="D494" s="2">
        <v>3</v>
      </c>
      <c r="E494" s="2">
        <v>8357282905</v>
      </c>
      <c r="F494" s="2" t="s">
        <v>13</v>
      </c>
      <c r="G494" s="2" t="s">
        <v>20</v>
      </c>
      <c r="H494" s="2" t="s">
        <v>21</v>
      </c>
      <c r="I494" s="2" t="s">
        <v>22</v>
      </c>
      <c r="J494" s="2" t="s">
        <v>22</v>
      </c>
    </row>
    <row r="495" spans="1:10" x14ac:dyDescent="0.3">
      <c r="A495" s="2" t="s">
        <v>560</v>
      </c>
      <c r="B495" s="2" t="s">
        <v>25</v>
      </c>
      <c r="C495" s="2" t="s">
        <v>12</v>
      </c>
      <c r="D495" s="2">
        <v>5</v>
      </c>
      <c r="E495" s="2">
        <v>6370750663</v>
      </c>
      <c r="F495" s="2" t="s">
        <v>13</v>
      </c>
      <c r="G495" s="2" t="s">
        <v>14</v>
      </c>
      <c r="H495" s="2" t="s">
        <v>15</v>
      </c>
      <c r="I495" s="2" t="s">
        <v>22</v>
      </c>
      <c r="J495" s="2" t="s">
        <v>22</v>
      </c>
    </row>
    <row r="496" spans="1:10" hidden="1" x14ac:dyDescent="0.3">
      <c r="A496" s="2" t="s">
        <v>502</v>
      </c>
      <c r="B496" s="2" t="s">
        <v>32</v>
      </c>
      <c r="C496" s="2" t="s">
        <v>33</v>
      </c>
      <c r="D496" s="2">
        <v>7</v>
      </c>
      <c r="E496" s="2">
        <v>6778183212</v>
      </c>
      <c r="F496" s="2" t="s">
        <v>19</v>
      </c>
      <c r="G496" s="2" t="s">
        <v>14</v>
      </c>
      <c r="H496" s="2" t="s">
        <v>15</v>
      </c>
      <c r="I496" s="2" t="s">
        <v>37</v>
      </c>
      <c r="J496" s="2" t="s">
        <v>22</v>
      </c>
    </row>
    <row r="497" spans="1:10" x14ac:dyDescent="0.3">
      <c r="A497" s="2" t="s">
        <v>486</v>
      </c>
      <c r="B497" s="2" t="s">
        <v>32</v>
      </c>
      <c r="C497" s="2" t="s">
        <v>26</v>
      </c>
      <c r="D497" s="2">
        <v>7</v>
      </c>
      <c r="E497" s="2">
        <v>8123120427</v>
      </c>
      <c r="F497" s="2" t="s">
        <v>13</v>
      </c>
      <c r="G497" s="2" t="s">
        <v>20</v>
      </c>
      <c r="H497" s="2" t="s">
        <v>15</v>
      </c>
      <c r="I497" s="2" t="s">
        <v>29</v>
      </c>
      <c r="J497" s="2" t="s">
        <v>22</v>
      </c>
    </row>
    <row r="498" spans="1:10" hidden="1" x14ac:dyDescent="0.3">
      <c r="A498" s="2" t="s">
        <v>504</v>
      </c>
      <c r="B498" s="2" t="s">
        <v>32</v>
      </c>
      <c r="C498" s="2" t="s">
        <v>33</v>
      </c>
      <c r="D498" s="2">
        <v>7</v>
      </c>
      <c r="E498" s="2">
        <v>6085750383</v>
      </c>
      <c r="F498" s="2" t="s">
        <v>19</v>
      </c>
      <c r="G498" s="2" t="s">
        <v>20</v>
      </c>
      <c r="H498" s="2" t="s">
        <v>15</v>
      </c>
      <c r="I498" s="2" t="s">
        <v>22</v>
      </c>
      <c r="J498" s="2" t="s">
        <v>23</v>
      </c>
    </row>
    <row r="499" spans="1:10" hidden="1" x14ac:dyDescent="0.3">
      <c r="A499" s="2" t="s">
        <v>46</v>
      </c>
      <c r="B499" s="2" t="s">
        <v>35</v>
      </c>
      <c r="C499" s="2" t="s">
        <v>12</v>
      </c>
      <c r="D499" s="2">
        <v>1</v>
      </c>
      <c r="E499" s="2">
        <v>6937024662</v>
      </c>
      <c r="F499" s="2" t="s">
        <v>19</v>
      </c>
      <c r="G499" s="2" t="s">
        <v>20</v>
      </c>
      <c r="H499" s="2" t="s">
        <v>15</v>
      </c>
      <c r="I499" s="2" t="s">
        <v>29</v>
      </c>
      <c r="J499" s="2" t="s">
        <v>22</v>
      </c>
    </row>
    <row r="500" spans="1:10" hidden="1" x14ac:dyDescent="0.3">
      <c r="A500" s="2" t="s">
        <v>505</v>
      </c>
      <c r="B500" s="2" t="s">
        <v>35</v>
      </c>
      <c r="C500" s="2" t="s">
        <v>12</v>
      </c>
      <c r="D500" s="2">
        <v>1</v>
      </c>
      <c r="E500" s="2">
        <v>9764627124</v>
      </c>
      <c r="F500" s="2" t="s">
        <v>19</v>
      </c>
      <c r="G500" s="2" t="s">
        <v>20</v>
      </c>
      <c r="H500" s="2" t="s">
        <v>21</v>
      </c>
      <c r="I500" s="2" t="s">
        <v>22</v>
      </c>
      <c r="J500" s="2" t="s">
        <v>23</v>
      </c>
    </row>
    <row r="501" spans="1:10" hidden="1" x14ac:dyDescent="0.3">
      <c r="A501" s="2" t="s">
        <v>506</v>
      </c>
      <c r="B501" s="2" t="s">
        <v>32</v>
      </c>
      <c r="C501" s="2" t="s">
        <v>26</v>
      </c>
      <c r="D501" s="2">
        <v>7</v>
      </c>
      <c r="E501" s="2">
        <v>6894705621</v>
      </c>
      <c r="F501" s="2" t="s">
        <v>19</v>
      </c>
      <c r="G501" s="2" t="s">
        <v>20</v>
      </c>
      <c r="H501" s="2" t="s">
        <v>21</v>
      </c>
      <c r="I501" s="2" t="s">
        <v>27</v>
      </c>
      <c r="J501" s="2" t="s">
        <v>22</v>
      </c>
    </row>
    <row r="502" spans="1:10" hidden="1" x14ac:dyDescent="0.3">
      <c r="A502" s="2" t="s">
        <v>507</v>
      </c>
      <c r="B502" s="2" t="s">
        <v>35</v>
      </c>
      <c r="C502" s="2" t="s">
        <v>43</v>
      </c>
      <c r="D502" s="2">
        <v>1</v>
      </c>
      <c r="E502" s="2">
        <v>7478040919</v>
      </c>
      <c r="F502" s="2" t="s">
        <v>19</v>
      </c>
      <c r="G502" s="2" t="s">
        <v>20</v>
      </c>
      <c r="H502" s="2" t="s">
        <v>15</v>
      </c>
      <c r="I502" s="2" t="s">
        <v>41</v>
      </c>
      <c r="J502" s="2" t="s">
        <v>22</v>
      </c>
    </row>
    <row r="503" spans="1:10" x14ac:dyDescent="0.3">
      <c r="A503" s="2" t="s">
        <v>478</v>
      </c>
      <c r="B503" s="2" t="s">
        <v>32</v>
      </c>
      <c r="C503" s="2" t="s">
        <v>33</v>
      </c>
      <c r="D503" s="2">
        <v>7</v>
      </c>
      <c r="E503" s="2">
        <v>7442807338</v>
      </c>
      <c r="F503" s="2" t="s">
        <v>13</v>
      </c>
      <c r="G503" s="2" t="s">
        <v>14</v>
      </c>
      <c r="H503" s="2" t="s">
        <v>21</v>
      </c>
      <c r="I503" s="2" t="s">
        <v>27</v>
      </c>
      <c r="J503" s="2" t="s">
        <v>23</v>
      </c>
    </row>
    <row r="504" spans="1:10" x14ac:dyDescent="0.3">
      <c r="A504" s="2" t="s">
        <v>247</v>
      </c>
      <c r="B504" s="2" t="s">
        <v>11</v>
      </c>
      <c r="C504" s="2" t="s">
        <v>26</v>
      </c>
      <c r="D504" s="2">
        <v>3</v>
      </c>
      <c r="E504" s="2">
        <v>8696706768</v>
      </c>
      <c r="F504" s="2" t="s">
        <v>13</v>
      </c>
      <c r="G504" s="2" t="s">
        <v>14</v>
      </c>
      <c r="H504" s="2" t="s">
        <v>21</v>
      </c>
      <c r="I504" s="2" t="s">
        <v>27</v>
      </c>
      <c r="J504" s="2" t="s">
        <v>22</v>
      </c>
    </row>
    <row r="505" spans="1:10" x14ac:dyDescent="0.3">
      <c r="A505" s="2" t="s">
        <v>47</v>
      </c>
      <c r="B505" s="2" t="s">
        <v>32</v>
      </c>
      <c r="C505" s="2" t="s">
        <v>36</v>
      </c>
      <c r="D505" s="2">
        <v>7</v>
      </c>
      <c r="E505" s="2">
        <v>6799619179</v>
      </c>
      <c r="F505" s="2" t="s">
        <v>13</v>
      </c>
      <c r="G505" s="2" t="s">
        <v>14</v>
      </c>
      <c r="H505" s="2" t="s">
        <v>21</v>
      </c>
      <c r="I505" s="2" t="s">
        <v>16</v>
      </c>
      <c r="J505" s="2" t="s">
        <v>23</v>
      </c>
    </row>
    <row r="506" spans="1:10" hidden="1" x14ac:dyDescent="0.3">
      <c r="A506" s="2" t="s">
        <v>511</v>
      </c>
      <c r="B506" s="2" t="s">
        <v>25</v>
      </c>
      <c r="C506" s="2" t="s">
        <v>12</v>
      </c>
      <c r="D506" s="2">
        <v>5</v>
      </c>
      <c r="E506" s="2">
        <v>8670642324</v>
      </c>
      <c r="F506" s="2" t="s">
        <v>19</v>
      </c>
      <c r="G506" s="2" t="s">
        <v>20</v>
      </c>
      <c r="H506" s="2" t="s">
        <v>15</v>
      </c>
      <c r="I506" s="2" t="s">
        <v>16</v>
      </c>
      <c r="J506" s="2" t="s">
        <v>17</v>
      </c>
    </row>
    <row r="507" spans="1:10" hidden="1" x14ac:dyDescent="0.3">
      <c r="A507" s="2" t="s">
        <v>512</v>
      </c>
      <c r="B507" s="2" t="s">
        <v>35</v>
      </c>
      <c r="C507" s="2" t="s">
        <v>26</v>
      </c>
      <c r="D507" s="2">
        <v>1</v>
      </c>
      <c r="E507" s="2">
        <v>8608868511</v>
      </c>
      <c r="F507" s="2" t="s">
        <v>19</v>
      </c>
      <c r="G507" s="2" t="s">
        <v>14</v>
      </c>
      <c r="H507" s="2" t="s">
        <v>15</v>
      </c>
      <c r="I507" s="2" t="s">
        <v>29</v>
      </c>
      <c r="J507" s="2" t="s">
        <v>22</v>
      </c>
    </row>
    <row r="508" spans="1:10" x14ac:dyDescent="0.3">
      <c r="A508" s="2" t="s">
        <v>234</v>
      </c>
      <c r="B508" s="2" t="s">
        <v>11</v>
      </c>
      <c r="C508" s="2" t="s">
        <v>33</v>
      </c>
      <c r="D508" s="2">
        <v>3</v>
      </c>
      <c r="E508" s="2">
        <v>6866298228</v>
      </c>
      <c r="F508" s="2" t="s">
        <v>13</v>
      </c>
      <c r="G508" s="2" t="s">
        <v>20</v>
      </c>
      <c r="H508" s="2" t="s">
        <v>15</v>
      </c>
      <c r="I508" s="2" t="s">
        <v>41</v>
      </c>
      <c r="J508" s="2" t="s">
        <v>22</v>
      </c>
    </row>
    <row r="509" spans="1:10" hidden="1" x14ac:dyDescent="0.3">
      <c r="A509" s="2" t="s">
        <v>514</v>
      </c>
      <c r="B509" s="2" t="s">
        <v>32</v>
      </c>
      <c r="C509" s="2" t="s">
        <v>26</v>
      </c>
      <c r="D509" s="2">
        <v>7</v>
      </c>
      <c r="E509" s="2">
        <v>6575664723</v>
      </c>
      <c r="F509" s="2" t="s">
        <v>19</v>
      </c>
      <c r="G509" s="2" t="s">
        <v>14</v>
      </c>
      <c r="H509" s="2" t="s">
        <v>21</v>
      </c>
      <c r="I509" s="2" t="s">
        <v>22</v>
      </c>
      <c r="J509" s="2" t="s">
        <v>23</v>
      </c>
    </row>
    <row r="510" spans="1:10" hidden="1" x14ac:dyDescent="0.3">
      <c r="A510" s="2" t="s">
        <v>432</v>
      </c>
      <c r="B510" s="2" t="s">
        <v>11</v>
      </c>
      <c r="C510" s="2" t="s">
        <v>26</v>
      </c>
      <c r="D510" s="2">
        <v>3</v>
      </c>
      <c r="E510" s="2">
        <v>9708243859</v>
      </c>
      <c r="F510" s="2" t="s">
        <v>19</v>
      </c>
      <c r="G510" s="2" t="s">
        <v>14</v>
      </c>
      <c r="H510" s="2" t="s">
        <v>21</v>
      </c>
      <c r="I510" s="2" t="s">
        <v>22</v>
      </c>
      <c r="J510" s="2" t="s">
        <v>23</v>
      </c>
    </row>
    <row r="511" spans="1:10" hidden="1" x14ac:dyDescent="0.3">
      <c r="A511" s="2" t="s">
        <v>515</v>
      </c>
      <c r="B511" s="2" t="s">
        <v>25</v>
      </c>
      <c r="C511" s="2" t="s">
        <v>33</v>
      </c>
      <c r="D511" s="2">
        <v>5</v>
      </c>
      <c r="E511" s="2">
        <v>6501963377</v>
      </c>
      <c r="F511" s="2" t="s">
        <v>19</v>
      </c>
      <c r="G511" s="2" t="s">
        <v>20</v>
      </c>
      <c r="H511" s="2" t="s">
        <v>15</v>
      </c>
      <c r="I511" s="2" t="s">
        <v>22</v>
      </c>
      <c r="J511" s="2" t="s">
        <v>17</v>
      </c>
    </row>
    <row r="512" spans="1:10" hidden="1" x14ac:dyDescent="0.3">
      <c r="A512" s="2" t="s">
        <v>516</v>
      </c>
      <c r="B512" s="2" t="s">
        <v>11</v>
      </c>
      <c r="C512" s="2" t="s">
        <v>26</v>
      </c>
      <c r="D512" s="2">
        <v>3</v>
      </c>
      <c r="E512" s="2">
        <v>8679500866</v>
      </c>
      <c r="F512" s="2" t="s">
        <v>19</v>
      </c>
      <c r="G512" s="2" t="s">
        <v>20</v>
      </c>
      <c r="H512" s="2" t="s">
        <v>15</v>
      </c>
      <c r="I512" s="2" t="s">
        <v>22</v>
      </c>
      <c r="J512" s="2" t="s">
        <v>22</v>
      </c>
    </row>
    <row r="513" spans="1:10" hidden="1" x14ac:dyDescent="0.3">
      <c r="A513" s="2" t="s">
        <v>517</v>
      </c>
      <c r="B513" s="2" t="s">
        <v>11</v>
      </c>
      <c r="C513" s="2" t="s">
        <v>33</v>
      </c>
      <c r="D513" s="2">
        <v>3</v>
      </c>
      <c r="E513" s="2">
        <v>7304676721</v>
      </c>
      <c r="F513" s="2" t="s">
        <v>19</v>
      </c>
      <c r="G513" s="2" t="s">
        <v>20</v>
      </c>
      <c r="H513" s="2" t="s">
        <v>21</v>
      </c>
      <c r="I513" s="2" t="s">
        <v>16</v>
      </c>
      <c r="J513" s="2" t="s">
        <v>22</v>
      </c>
    </row>
    <row r="514" spans="1:10" x14ac:dyDescent="0.3">
      <c r="A514" s="2" t="s">
        <v>57</v>
      </c>
      <c r="B514" s="2" t="s">
        <v>32</v>
      </c>
      <c r="C514" s="2" t="s">
        <v>33</v>
      </c>
      <c r="D514" s="2">
        <v>7</v>
      </c>
      <c r="E514" s="2">
        <v>6921494613</v>
      </c>
      <c r="F514" s="2" t="s">
        <v>13</v>
      </c>
      <c r="G514" s="2" t="s">
        <v>14</v>
      </c>
      <c r="H514" s="2" t="s">
        <v>15</v>
      </c>
      <c r="I514" s="2" t="s">
        <v>41</v>
      </c>
      <c r="J514" s="2" t="s">
        <v>23</v>
      </c>
    </row>
    <row r="515" spans="1:10" hidden="1" x14ac:dyDescent="0.3">
      <c r="A515" s="2" t="s">
        <v>519</v>
      </c>
      <c r="B515" s="2" t="s">
        <v>11</v>
      </c>
      <c r="C515" s="2" t="s">
        <v>36</v>
      </c>
      <c r="D515" s="2">
        <v>3</v>
      </c>
      <c r="E515" s="2">
        <v>6241830847</v>
      </c>
      <c r="F515" s="2" t="s">
        <v>19</v>
      </c>
      <c r="G515" s="2" t="s">
        <v>20</v>
      </c>
      <c r="H515" s="2" t="s">
        <v>21</v>
      </c>
      <c r="I515" s="2" t="s">
        <v>37</v>
      </c>
      <c r="J515" s="2" t="s">
        <v>22</v>
      </c>
    </row>
    <row r="516" spans="1:10" x14ac:dyDescent="0.3">
      <c r="A516" s="2" t="s">
        <v>428</v>
      </c>
      <c r="B516" s="2" t="s">
        <v>32</v>
      </c>
      <c r="C516" s="2" t="s">
        <v>36</v>
      </c>
      <c r="D516" s="2">
        <v>7</v>
      </c>
      <c r="E516" s="2">
        <v>6636125476</v>
      </c>
      <c r="F516" s="2" t="s">
        <v>13</v>
      </c>
      <c r="G516" s="2" t="s">
        <v>14</v>
      </c>
      <c r="H516" s="2" t="s">
        <v>15</v>
      </c>
      <c r="I516" s="2" t="s">
        <v>41</v>
      </c>
      <c r="J516" s="2" t="s">
        <v>22</v>
      </c>
    </row>
    <row r="517" spans="1:10" hidden="1" x14ac:dyDescent="0.3">
      <c r="A517" s="2" t="s">
        <v>521</v>
      </c>
      <c r="B517" s="2" t="s">
        <v>32</v>
      </c>
      <c r="C517" s="2" t="s">
        <v>33</v>
      </c>
      <c r="D517" s="2">
        <v>7</v>
      </c>
      <c r="E517" s="2">
        <v>9254975927</v>
      </c>
      <c r="F517" s="2" t="s">
        <v>19</v>
      </c>
      <c r="G517" s="2" t="s">
        <v>14</v>
      </c>
      <c r="H517" s="2" t="s">
        <v>21</v>
      </c>
      <c r="I517" s="2" t="s">
        <v>22</v>
      </c>
      <c r="J517" s="2" t="s">
        <v>22</v>
      </c>
    </row>
    <row r="518" spans="1:10" hidden="1" x14ac:dyDescent="0.3">
      <c r="A518" s="2" t="s">
        <v>522</v>
      </c>
      <c r="B518" s="2" t="s">
        <v>25</v>
      </c>
      <c r="C518" s="2" t="s">
        <v>36</v>
      </c>
      <c r="D518" s="2">
        <v>5</v>
      </c>
      <c r="E518" s="2">
        <v>8219286416</v>
      </c>
      <c r="F518" s="2" t="s">
        <v>19</v>
      </c>
      <c r="G518" s="2" t="s">
        <v>14</v>
      </c>
      <c r="H518" s="2" t="s">
        <v>15</v>
      </c>
      <c r="I518" s="2" t="s">
        <v>27</v>
      </c>
      <c r="J518" s="2" t="s">
        <v>17</v>
      </c>
    </row>
    <row r="519" spans="1:10" hidden="1" x14ac:dyDescent="0.3">
      <c r="A519" s="2" t="s">
        <v>523</v>
      </c>
      <c r="B519" s="2" t="s">
        <v>11</v>
      </c>
      <c r="C519" s="2" t="s">
        <v>26</v>
      </c>
      <c r="D519" s="2">
        <v>3</v>
      </c>
      <c r="E519" s="2">
        <v>7366898250</v>
      </c>
      <c r="F519" s="2" t="s">
        <v>19</v>
      </c>
      <c r="G519" s="2" t="s">
        <v>14</v>
      </c>
      <c r="H519" s="2" t="s">
        <v>15</v>
      </c>
      <c r="I519" s="2" t="s">
        <v>22</v>
      </c>
      <c r="J519" s="2" t="s">
        <v>23</v>
      </c>
    </row>
    <row r="520" spans="1:10" hidden="1" x14ac:dyDescent="0.3">
      <c r="A520" s="2" t="s">
        <v>524</v>
      </c>
      <c r="B520" s="2" t="s">
        <v>32</v>
      </c>
      <c r="C520" s="2" t="s">
        <v>26</v>
      </c>
      <c r="D520" s="2">
        <v>7</v>
      </c>
      <c r="E520" s="2">
        <v>6021890263</v>
      </c>
      <c r="F520" s="2" t="s">
        <v>19</v>
      </c>
      <c r="G520" s="2" t="s">
        <v>20</v>
      </c>
      <c r="H520" s="2" t="s">
        <v>15</v>
      </c>
      <c r="I520" s="2" t="s">
        <v>22</v>
      </c>
      <c r="J520" s="2" t="s">
        <v>22</v>
      </c>
    </row>
    <row r="521" spans="1:10" hidden="1" x14ac:dyDescent="0.3">
      <c r="A521" s="2" t="s">
        <v>525</v>
      </c>
      <c r="B521" s="2" t="s">
        <v>32</v>
      </c>
      <c r="C521" s="2" t="s">
        <v>26</v>
      </c>
      <c r="D521" s="2">
        <v>7</v>
      </c>
      <c r="E521" s="2">
        <v>7918713135</v>
      </c>
      <c r="F521" s="2" t="s">
        <v>19</v>
      </c>
      <c r="G521" s="2" t="s">
        <v>14</v>
      </c>
      <c r="H521" s="2" t="s">
        <v>15</v>
      </c>
      <c r="I521" s="2" t="s">
        <v>29</v>
      </c>
      <c r="J521" s="2" t="s">
        <v>22</v>
      </c>
    </row>
    <row r="522" spans="1:10" hidden="1" x14ac:dyDescent="0.3">
      <c r="A522" s="2" t="s">
        <v>526</v>
      </c>
      <c r="B522" s="2" t="s">
        <v>11</v>
      </c>
      <c r="C522" s="2" t="s">
        <v>43</v>
      </c>
      <c r="D522" s="2">
        <v>3</v>
      </c>
      <c r="E522" s="2">
        <v>9178261686</v>
      </c>
      <c r="F522" s="2" t="s">
        <v>19</v>
      </c>
      <c r="G522" s="2" t="s">
        <v>14</v>
      </c>
      <c r="H522" s="2" t="s">
        <v>21</v>
      </c>
      <c r="I522" s="2" t="s">
        <v>37</v>
      </c>
      <c r="J522" s="2" t="s">
        <v>23</v>
      </c>
    </row>
    <row r="523" spans="1:10" x14ac:dyDescent="0.3">
      <c r="A523" s="2" t="s">
        <v>547</v>
      </c>
      <c r="B523" s="2" t="s">
        <v>25</v>
      </c>
      <c r="C523" s="2" t="s">
        <v>33</v>
      </c>
      <c r="D523" s="2">
        <v>5</v>
      </c>
      <c r="E523" s="2">
        <v>8293622460</v>
      </c>
      <c r="F523" s="2" t="s">
        <v>13</v>
      </c>
      <c r="G523" s="2" t="s">
        <v>14</v>
      </c>
      <c r="H523" s="2" t="s">
        <v>15</v>
      </c>
      <c r="I523" s="2" t="s">
        <v>37</v>
      </c>
      <c r="J523" s="2" t="s">
        <v>17</v>
      </c>
    </row>
    <row r="524" spans="1:10" x14ac:dyDescent="0.3">
      <c r="A524" s="2" t="s">
        <v>117</v>
      </c>
      <c r="B524" s="2" t="s">
        <v>25</v>
      </c>
      <c r="C524" s="2" t="s">
        <v>12</v>
      </c>
      <c r="D524" s="2">
        <v>5</v>
      </c>
      <c r="E524" s="2">
        <v>6308037387</v>
      </c>
      <c r="F524" s="2" t="s">
        <v>13</v>
      </c>
      <c r="G524" s="2" t="s">
        <v>14</v>
      </c>
      <c r="H524" s="2" t="s">
        <v>15</v>
      </c>
      <c r="I524" s="2" t="s">
        <v>41</v>
      </c>
      <c r="J524" s="2" t="s">
        <v>17</v>
      </c>
    </row>
    <row r="525" spans="1:10" x14ac:dyDescent="0.3">
      <c r="A525" s="2" t="s">
        <v>83</v>
      </c>
      <c r="B525" s="2" t="s">
        <v>35</v>
      </c>
      <c r="C525" s="2" t="s">
        <v>36</v>
      </c>
      <c r="D525" s="2">
        <v>1</v>
      </c>
      <c r="E525" s="2">
        <v>8114258594</v>
      </c>
      <c r="F525" s="2" t="s">
        <v>13</v>
      </c>
      <c r="G525" s="2" t="s">
        <v>20</v>
      </c>
      <c r="H525" s="2" t="s">
        <v>15</v>
      </c>
      <c r="I525" s="2" t="s">
        <v>37</v>
      </c>
      <c r="J525" s="2" t="s">
        <v>23</v>
      </c>
    </row>
    <row r="526" spans="1:10" x14ac:dyDescent="0.3">
      <c r="A526" s="2" t="s">
        <v>164</v>
      </c>
      <c r="B526" s="2" t="s">
        <v>11</v>
      </c>
      <c r="C526" s="2" t="s">
        <v>12</v>
      </c>
      <c r="D526" s="2">
        <v>3</v>
      </c>
      <c r="E526" s="2">
        <v>6960751126</v>
      </c>
      <c r="F526" s="2" t="s">
        <v>13</v>
      </c>
      <c r="G526" s="2" t="s">
        <v>14</v>
      </c>
      <c r="H526" s="2" t="s">
        <v>21</v>
      </c>
      <c r="I526" s="2" t="s">
        <v>29</v>
      </c>
      <c r="J526" s="2" t="s">
        <v>17</v>
      </c>
    </row>
    <row r="527" spans="1:10" hidden="1" x14ac:dyDescent="0.3">
      <c r="A527" s="2" t="s">
        <v>530</v>
      </c>
      <c r="B527" s="2" t="s">
        <v>25</v>
      </c>
      <c r="C527" s="2" t="s">
        <v>26</v>
      </c>
      <c r="D527" s="2">
        <v>5</v>
      </c>
      <c r="E527" s="2">
        <v>6785071094</v>
      </c>
      <c r="F527" s="2" t="s">
        <v>19</v>
      </c>
      <c r="G527" s="2" t="s">
        <v>20</v>
      </c>
      <c r="H527" s="2" t="s">
        <v>15</v>
      </c>
      <c r="I527" s="2" t="s">
        <v>41</v>
      </c>
      <c r="J527" s="2" t="s">
        <v>23</v>
      </c>
    </row>
    <row r="528" spans="1:10" hidden="1" x14ac:dyDescent="0.3">
      <c r="A528" s="2" t="s">
        <v>531</v>
      </c>
      <c r="B528" s="2" t="s">
        <v>35</v>
      </c>
      <c r="C528" s="2" t="s">
        <v>12</v>
      </c>
      <c r="D528" s="2">
        <v>1</v>
      </c>
      <c r="E528" s="2">
        <v>8231655871</v>
      </c>
      <c r="F528" s="2" t="s">
        <v>19</v>
      </c>
      <c r="G528" s="2" t="s">
        <v>20</v>
      </c>
      <c r="H528" s="2" t="s">
        <v>21</v>
      </c>
      <c r="I528" s="2" t="s">
        <v>16</v>
      </c>
      <c r="J528" s="2" t="s">
        <v>17</v>
      </c>
    </row>
    <row r="529" spans="1:10" x14ac:dyDescent="0.3">
      <c r="A529" s="2" t="s">
        <v>580</v>
      </c>
      <c r="B529" s="2" t="s">
        <v>32</v>
      </c>
      <c r="C529" s="2" t="s">
        <v>43</v>
      </c>
      <c r="D529" s="2">
        <v>7</v>
      </c>
      <c r="E529" s="2">
        <v>7774928235</v>
      </c>
      <c r="F529" s="2" t="s">
        <v>13</v>
      </c>
      <c r="G529" s="2" t="s">
        <v>20</v>
      </c>
      <c r="H529" s="2" t="s">
        <v>21</v>
      </c>
      <c r="I529" s="2" t="s">
        <v>22</v>
      </c>
      <c r="J529" s="2" t="s">
        <v>23</v>
      </c>
    </row>
    <row r="530" spans="1:10" hidden="1" x14ac:dyDescent="0.3">
      <c r="A530" s="2" t="s">
        <v>156</v>
      </c>
      <c r="B530" s="2" t="s">
        <v>11</v>
      </c>
      <c r="C530" s="2" t="s">
        <v>36</v>
      </c>
      <c r="D530" s="2">
        <v>3</v>
      </c>
      <c r="E530" s="2">
        <v>6655421202</v>
      </c>
      <c r="F530" s="2" t="s">
        <v>19</v>
      </c>
      <c r="G530" s="2" t="s">
        <v>14</v>
      </c>
      <c r="H530" s="2" t="s">
        <v>15</v>
      </c>
      <c r="I530" s="2" t="s">
        <v>22</v>
      </c>
      <c r="J530" s="2" t="s">
        <v>22</v>
      </c>
    </row>
    <row r="531" spans="1:10" hidden="1" x14ac:dyDescent="0.3">
      <c r="A531" s="2" t="s">
        <v>533</v>
      </c>
      <c r="B531" s="2" t="s">
        <v>32</v>
      </c>
      <c r="C531" s="2" t="s">
        <v>43</v>
      </c>
      <c r="D531" s="2">
        <v>7</v>
      </c>
      <c r="E531" s="2">
        <v>6195026846</v>
      </c>
      <c r="F531" s="2" t="s">
        <v>19</v>
      </c>
      <c r="G531" s="2" t="s">
        <v>20</v>
      </c>
      <c r="H531" s="2" t="s">
        <v>15</v>
      </c>
      <c r="I531" s="2" t="s">
        <v>16</v>
      </c>
      <c r="J531" s="2" t="s">
        <v>23</v>
      </c>
    </row>
    <row r="532" spans="1:10" x14ac:dyDescent="0.3">
      <c r="A532" s="2" t="s">
        <v>284</v>
      </c>
      <c r="B532" s="2" t="s">
        <v>35</v>
      </c>
      <c r="C532" s="2" t="s">
        <v>43</v>
      </c>
      <c r="D532" s="2">
        <v>1</v>
      </c>
      <c r="E532" s="2">
        <v>6880452593</v>
      </c>
      <c r="F532" s="2" t="s">
        <v>13</v>
      </c>
      <c r="G532" s="2" t="s">
        <v>20</v>
      </c>
      <c r="H532" s="2" t="s">
        <v>21</v>
      </c>
      <c r="I532" s="2" t="s">
        <v>41</v>
      </c>
      <c r="J532" s="2" t="s">
        <v>23</v>
      </c>
    </row>
    <row r="533" spans="1:10" hidden="1" x14ac:dyDescent="0.3">
      <c r="A533" s="2" t="s">
        <v>535</v>
      </c>
      <c r="B533" s="2" t="s">
        <v>35</v>
      </c>
      <c r="C533" s="2" t="s">
        <v>36</v>
      </c>
      <c r="D533" s="2">
        <v>1</v>
      </c>
      <c r="E533" s="2">
        <v>6509196471</v>
      </c>
      <c r="F533" s="2" t="s">
        <v>19</v>
      </c>
      <c r="G533" s="2" t="s">
        <v>20</v>
      </c>
      <c r="H533" s="2" t="s">
        <v>15</v>
      </c>
      <c r="I533" s="2" t="s">
        <v>41</v>
      </c>
      <c r="J533" s="2" t="s">
        <v>22</v>
      </c>
    </row>
    <row r="534" spans="1:10" x14ac:dyDescent="0.3">
      <c r="A534" s="2" t="s">
        <v>165</v>
      </c>
      <c r="B534" s="2" t="s">
        <v>25</v>
      </c>
      <c r="C534" s="2" t="s">
        <v>36</v>
      </c>
      <c r="D534" s="2">
        <v>5</v>
      </c>
      <c r="E534" s="2">
        <v>6259634603</v>
      </c>
      <c r="F534" s="2" t="s">
        <v>13</v>
      </c>
      <c r="G534" s="2" t="s">
        <v>20</v>
      </c>
      <c r="H534" s="2" t="s">
        <v>15</v>
      </c>
      <c r="I534" s="2" t="s">
        <v>22</v>
      </c>
      <c r="J534" s="2" t="s">
        <v>22</v>
      </c>
    </row>
    <row r="535" spans="1:10" hidden="1" x14ac:dyDescent="0.3">
      <c r="A535" s="2" t="s">
        <v>537</v>
      </c>
      <c r="B535" s="2" t="s">
        <v>35</v>
      </c>
      <c r="C535" s="2" t="s">
        <v>36</v>
      </c>
      <c r="D535" s="2">
        <v>1</v>
      </c>
      <c r="E535" s="2">
        <v>9308105932</v>
      </c>
      <c r="F535" s="2" t="s">
        <v>19</v>
      </c>
      <c r="G535" s="2" t="s">
        <v>14</v>
      </c>
      <c r="H535" s="2" t="s">
        <v>15</v>
      </c>
      <c r="I535" s="2" t="s">
        <v>41</v>
      </c>
      <c r="J535" s="2" t="s">
        <v>23</v>
      </c>
    </row>
    <row r="536" spans="1:10" x14ac:dyDescent="0.3">
      <c r="A536" s="2" t="s">
        <v>99</v>
      </c>
      <c r="B536" s="2" t="s">
        <v>11</v>
      </c>
      <c r="C536" s="2" t="s">
        <v>43</v>
      </c>
      <c r="D536" s="2">
        <v>3</v>
      </c>
      <c r="E536" s="2">
        <v>6353238458</v>
      </c>
      <c r="F536" s="2" t="s">
        <v>13</v>
      </c>
      <c r="G536" s="2" t="s">
        <v>20</v>
      </c>
      <c r="H536" s="2" t="s">
        <v>15</v>
      </c>
      <c r="I536" s="2" t="s">
        <v>22</v>
      </c>
      <c r="J536" s="2" t="s">
        <v>23</v>
      </c>
    </row>
    <row r="537" spans="1:10" hidden="1" x14ac:dyDescent="0.3">
      <c r="A537" s="2" t="s">
        <v>539</v>
      </c>
      <c r="B537" s="2" t="s">
        <v>35</v>
      </c>
      <c r="C537" s="2" t="s">
        <v>12</v>
      </c>
      <c r="D537" s="2">
        <v>1</v>
      </c>
      <c r="E537" s="2">
        <v>8758498860</v>
      </c>
      <c r="F537" s="2" t="s">
        <v>19</v>
      </c>
      <c r="G537" s="2" t="s">
        <v>20</v>
      </c>
      <c r="H537" s="2" t="s">
        <v>21</v>
      </c>
      <c r="I537" s="2" t="s">
        <v>22</v>
      </c>
      <c r="J537" s="2" t="s">
        <v>17</v>
      </c>
    </row>
    <row r="538" spans="1:10" hidden="1" x14ac:dyDescent="0.3">
      <c r="A538" s="2" t="s">
        <v>540</v>
      </c>
      <c r="B538" s="2" t="s">
        <v>35</v>
      </c>
      <c r="C538" s="2" t="s">
        <v>26</v>
      </c>
      <c r="D538" s="2">
        <v>1</v>
      </c>
      <c r="E538" s="2">
        <v>9398881248</v>
      </c>
      <c r="F538" s="2" t="s">
        <v>19</v>
      </c>
      <c r="G538" s="2" t="s">
        <v>14</v>
      </c>
      <c r="H538" s="2" t="s">
        <v>15</v>
      </c>
      <c r="I538" s="2" t="s">
        <v>27</v>
      </c>
      <c r="J538" s="2" t="s">
        <v>22</v>
      </c>
    </row>
    <row r="539" spans="1:10" hidden="1" x14ac:dyDescent="0.3">
      <c r="A539" s="2" t="s">
        <v>541</v>
      </c>
      <c r="B539" s="2" t="s">
        <v>35</v>
      </c>
      <c r="C539" s="2" t="s">
        <v>26</v>
      </c>
      <c r="D539" s="2">
        <v>1</v>
      </c>
      <c r="E539" s="2">
        <v>8615835306</v>
      </c>
      <c r="F539" s="2" t="s">
        <v>19</v>
      </c>
      <c r="G539" s="2" t="s">
        <v>14</v>
      </c>
      <c r="H539" s="2" t="s">
        <v>21</v>
      </c>
      <c r="I539" s="2" t="s">
        <v>41</v>
      </c>
      <c r="J539" s="2" t="s">
        <v>22</v>
      </c>
    </row>
    <row r="540" spans="1:10" x14ac:dyDescent="0.3">
      <c r="A540" s="2" t="s">
        <v>364</v>
      </c>
      <c r="B540" s="2" t="s">
        <v>25</v>
      </c>
      <c r="C540" s="2" t="s">
        <v>33</v>
      </c>
      <c r="D540" s="2">
        <v>5</v>
      </c>
      <c r="E540" s="2">
        <v>9790828308</v>
      </c>
      <c r="F540" s="2" t="s">
        <v>13</v>
      </c>
      <c r="G540" s="2" t="s">
        <v>20</v>
      </c>
      <c r="H540" s="2" t="s">
        <v>21</v>
      </c>
      <c r="I540" s="2" t="s">
        <v>22</v>
      </c>
      <c r="J540" s="2" t="s">
        <v>23</v>
      </c>
    </row>
    <row r="541" spans="1:10" x14ac:dyDescent="0.3">
      <c r="A541" s="2" t="s">
        <v>253</v>
      </c>
      <c r="B541" s="2" t="s">
        <v>32</v>
      </c>
      <c r="C541" s="2" t="s">
        <v>43</v>
      </c>
      <c r="D541" s="2">
        <v>7</v>
      </c>
      <c r="E541" s="2">
        <v>6942766830</v>
      </c>
      <c r="F541" s="2" t="s">
        <v>13</v>
      </c>
      <c r="G541" s="2" t="s">
        <v>14</v>
      </c>
      <c r="H541" s="2" t="s">
        <v>21</v>
      </c>
      <c r="I541" s="2" t="s">
        <v>37</v>
      </c>
      <c r="J541" s="2" t="s">
        <v>22</v>
      </c>
    </row>
    <row r="542" spans="1:10" hidden="1" x14ac:dyDescent="0.3">
      <c r="A542" s="2" t="s">
        <v>544</v>
      </c>
      <c r="B542" s="2" t="s">
        <v>11</v>
      </c>
      <c r="C542" s="2" t="s">
        <v>33</v>
      </c>
      <c r="D542" s="2">
        <v>3</v>
      </c>
      <c r="E542" s="2">
        <v>6650420596</v>
      </c>
      <c r="F542" s="2" t="s">
        <v>19</v>
      </c>
      <c r="G542" s="2" t="s">
        <v>14</v>
      </c>
      <c r="H542" s="2" t="s">
        <v>15</v>
      </c>
      <c r="I542" s="2" t="s">
        <v>29</v>
      </c>
      <c r="J542" s="2" t="s">
        <v>22</v>
      </c>
    </row>
    <row r="543" spans="1:10" x14ac:dyDescent="0.3">
      <c r="A543" s="2" t="s">
        <v>171</v>
      </c>
      <c r="B543" s="2" t="s">
        <v>25</v>
      </c>
      <c r="C543" s="2" t="s">
        <v>12</v>
      </c>
      <c r="D543" s="2">
        <v>5</v>
      </c>
      <c r="E543" s="2">
        <v>9879224090</v>
      </c>
      <c r="F543" s="2" t="s">
        <v>13</v>
      </c>
      <c r="G543" s="2" t="s">
        <v>14</v>
      </c>
      <c r="H543" s="2" t="s">
        <v>15</v>
      </c>
      <c r="I543" s="2" t="s">
        <v>41</v>
      </c>
      <c r="J543" s="2" t="s">
        <v>22</v>
      </c>
    </row>
    <row r="544" spans="1:10" x14ac:dyDescent="0.3">
      <c r="A544" s="2" t="s">
        <v>38</v>
      </c>
      <c r="B544" s="2" t="s">
        <v>35</v>
      </c>
      <c r="C544" s="2" t="s">
        <v>12</v>
      </c>
      <c r="D544" s="2">
        <v>1</v>
      </c>
      <c r="E544" s="2">
        <v>8951489573</v>
      </c>
      <c r="F544" s="2" t="s">
        <v>13</v>
      </c>
      <c r="G544" s="2" t="s">
        <v>14</v>
      </c>
      <c r="H544" s="2" t="s">
        <v>15</v>
      </c>
      <c r="I544" s="2" t="s">
        <v>29</v>
      </c>
      <c r="J544" s="2" t="s">
        <v>17</v>
      </c>
    </row>
    <row r="545" spans="1:10" x14ac:dyDescent="0.3">
      <c r="A545" s="2" t="s">
        <v>355</v>
      </c>
      <c r="B545" s="2" t="s">
        <v>35</v>
      </c>
      <c r="C545" s="2" t="s">
        <v>43</v>
      </c>
      <c r="D545" s="2">
        <v>1</v>
      </c>
      <c r="E545" s="2">
        <v>9576395488</v>
      </c>
      <c r="F545" s="2" t="s">
        <v>13</v>
      </c>
      <c r="G545" s="2" t="s">
        <v>20</v>
      </c>
      <c r="H545" s="2" t="s">
        <v>15</v>
      </c>
      <c r="I545" s="2" t="s">
        <v>22</v>
      </c>
      <c r="J545" s="2" t="s">
        <v>17</v>
      </c>
    </row>
    <row r="546" spans="1:10" x14ac:dyDescent="0.3">
      <c r="A546" s="2" t="s">
        <v>394</v>
      </c>
      <c r="B546" s="2" t="s">
        <v>11</v>
      </c>
      <c r="C546" s="2" t="s">
        <v>33</v>
      </c>
      <c r="D546" s="2">
        <v>3</v>
      </c>
      <c r="E546" s="2">
        <v>9416409051</v>
      </c>
      <c r="F546" s="2" t="s">
        <v>13</v>
      </c>
      <c r="G546" s="2" t="s">
        <v>20</v>
      </c>
      <c r="H546" s="2" t="s">
        <v>21</v>
      </c>
      <c r="I546" s="2" t="s">
        <v>22</v>
      </c>
      <c r="J546" s="2" t="s">
        <v>22</v>
      </c>
    </row>
    <row r="547" spans="1:10" hidden="1" x14ac:dyDescent="0.3">
      <c r="A547" s="2" t="s">
        <v>549</v>
      </c>
      <c r="B547" s="2" t="s">
        <v>35</v>
      </c>
      <c r="C547" s="2" t="s">
        <v>12</v>
      </c>
      <c r="D547" s="2">
        <v>1</v>
      </c>
      <c r="E547" s="2">
        <v>6482716114</v>
      </c>
      <c r="F547" s="2" t="s">
        <v>19</v>
      </c>
      <c r="G547" s="2" t="s">
        <v>14</v>
      </c>
      <c r="H547" s="2" t="s">
        <v>15</v>
      </c>
      <c r="I547" s="2" t="s">
        <v>22</v>
      </c>
      <c r="J547" s="2" t="s">
        <v>22</v>
      </c>
    </row>
    <row r="548" spans="1:10" x14ac:dyDescent="0.3">
      <c r="A548" s="2" t="s">
        <v>444</v>
      </c>
      <c r="B548" s="2" t="s">
        <v>32</v>
      </c>
      <c r="C548" s="2" t="s">
        <v>43</v>
      </c>
      <c r="D548" s="2">
        <v>7</v>
      </c>
      <c r="E548" s="2">
        <v>6043371887</v>
      </c>
      <c r="F548" s="2" t="s">
        <v>13</v>
      </c>
      <c r="G548" s="2" t="s">
        <v>20</v>
      </c>
      <c r="H548" s="2" t="s">
        <v>21</v>
      </c>
      <c r="I548" s="2" t="s">
        <v>29</v>
      </c>
      <c r="J548" s="2" t="s">
        <v>17</v>
      </c>
    </row>
    <row r="549" spans="1:10" x14ac:dyDescent="0.3">
      <c r="A549" s="2" t="s">
        <v>258</v>
      </c>
      <c r="B549" s="2" t="s">
        <v>25</v>
      </c>
      <c r="C549" s="2" t="s">
        <v>12</v>
      </c>
      <c r="D549" s="2">
        <v>5</v>
      </c>
      <c r="E549" s="2">
        <v>7256217471</v>
      </c>
      <c r="F549" s="2" t="s">
        <v>13</v>
      </c>
      <c r="G549" s="2" t="s">
        <v>14</v>
      </c>
      <c r="H549" s="2" t="s">
        <v>21</v>
      </c>
      <c r="I549" s="2" t="s">
        <v>22</v>
      </c>
      <c r="J549" s="2" t="s">
        <v>23</v>
      </c>
    </row>
    <row r="550" spans="1:10" x14ac:dyDescent="0.3">
      <c r="A550" s="2" t="s">
        <v>437</v>
      </c>
      <c r="B550" s="2" t="s">
        <v>35</v>
      </c>
      <c r="C550" s="2" t="s">
        <v>36</v>
      </c>
      <c r="D550" s="2">
        <v>1</v>
      </c>
      <c r="E550" s="2">
        <v>7329081362</v>
      </c>
      <c r="F550" s="2" t="s">
        <v>13</v>
      </c>
      <c r="G550" s="2" t="s">
        <v>20</v>
      </c>
      <c r="H550" s="2" t="s">
        <v>21</v>
      </c>
      <c r="I550" s="2" t="s">
        <v>22</v>
      </c>
      <c r="J550" s="2" t="s">
        <v>17</v>
      </c>
    </row>
    <row r="551" spans="1:10" hidden="1" x14ac:dyDescent="0.3">
      <c r="A551" s="2" t="s">
        <v>553</v>
      </c>
      <c r="B551" s="2" t="s">
        <v>32</v>
      </c>
      <c r="C551" s="2" t="s">
        <v>33</v>
      </c>
      <c r="D551" s="2">
        <v>7</v>
      </c>
      <c r="E551" s="2">
        <v>9400327196</v>
      </c>
      <c r="F551" s="2" t="s">
        <v>19</v>
      </c>
      <c r="G551" s="2" t="s">
        <v>20</v>
      </c>
      <c r="H551" s="2" t="s">
        <v>15</v>
      </c>
      <c r="I551" s="2" t="s">
        <v>29</v>
      </c>
      <c r="J551" s="2" t="s">
        <v>17</v>
      </c>
    </row>
    <row r="552" spans="1:10" x14ac:dyDescent="0.3">
      <c r="A552" s="2" t="s">
        <v>499</v>
      </c>
      <c r="B552" s="2" t="s">
        <v>25</v>
      </c>
      <c r="C552" s="2" t="s">
        <v>36</v>
      </c>
      <c r="D552" s="2">
        <v>5</v>
      </c>
      <c r="E552" s="2">
        <v>9358394387</v>
      </c>
      <c r="F552" s="2" t="s">
        <v>13</v>
      </c>
      <c r="G552" s="2" t="s">
        <v>14</v>
      </c>
      <c r="H552" s="2" t="s">
        <v>21</v>
      </c>
      <c r="I552" s="2" t="s">
        <v>22</v>
      </c>
      <c r="J552" s="2" t="s">
        <v>17</v>
      </c>
    </row>
    <row r="553" spans="1:10" hidden="1" x14ac:dyDescent="0.3">
      <c r="A553" s="2" t="s">
        <v>555</v>
      </c>
      <c r="B553" s="2" t="s">
        <v>35</v>
      </c>
      <c r="C553" s="2" t="s">
        <v>36</v>
      </c>
      <c r="D553" s="2">
        <v>1</v>
      </c>
      <c r="E553" s="2">
        <v>7335568316</v>
      </c>
      <c r="F553" s="2" t="s">
        <v>19</v>
      </c>
      <c r="G553" s="2" t="s">
        <v>20</v>
      </c>
      <c r="H553" s="2" t="s">
        <v>21</v>
      </c>
      <c r="I553" s="2" t="s">
        <v>37</v>
      </c>
      <c r="J553" s="2" t="s">
        <v>22</v>
      </c>
    </row>
    <row r="554" spans="1:10" x14ac:dyDescent="0.3">
      <c r="A554" s="2" t="s">
        <v>441</v>
      </c>
      <c r="B554" s="2" t="s">
        <v>11</v>
      </c>
      <c r="C554" s="2" t="s">
        <v>43</v>
      </c>
      <c r="D554" s="2">
        <v>3</v>
      </c>
      <c r="E554" s="2">
        <v>7578639935</v>
      </c>
      <c r="F554" s="2" t="s">
        <v>13</v>
      </c>
      <c r="G554" s="2" t="s">
        <v>20</v>
      </c>
      <c r="H554" s="2" t="s">
        <v>21</v>
      </c>
      <c r="I554" s="2" t="s">
        <v>27</v>
      </c>
      <c r="J554" s="2" t="s">
        <v>23</v>
      </c>
    </row>
    <row r="555" spans="1:10" x14ac:dyDescent="0.3">
      <c r="A555" s="2" t="s">
        <v>403</v>
      </c>
      <c r="B555" s="2" t="s">
        <v>35</v>
      </c>
      <c r="C555" s="2" t="s">
        <v>43</v>
      </c>
      <c r="D555" s="2">
        <v>1</v>
      </c>
      <c r="E555" s="2">
        <v>6829011064</v>
      </c>
      <c r="F555" s="2" t="s">
        <v>13</v>
      </c>
      <c r="G555" s="2" t="s">
        <v>20</v>
      </c>
      <c r="H555" s="2" t="s">
        <v>21</v>
      </c>
      <c r="I555" s="2" t="s">
        <v>29</v>
      </c>
      <c r="J555" s="2" t="s">
        <v>22</v>
      </c>
    </row>
    <row r="556" spans="1:10" x14ac:dyDescent="0.3">
      <c r="A556" s="2" t="s">
        <v>388</v>
      </c>
      <c r="B556" s="2" t="s">
        <v>25</v>
      </c>
      <c r="C556" s="2" t="s">
        <v>43</v>
      </c>
      <c r="D556" s="2">
        <v>5</v>
      </c>
      <c r="E556" s="2">
        <v>6978398514</v>
      </c>
      <c r="F556" s="2" t="s">
        <v>13</v>
      </c>
      <c r="G556" s="2" t="s">
        <v>20</v>
      </c>
      <c r="H556" s="2" t="s">
        <v>15</v>
      </c>
      <c r="I556" s="2" t="s">
        <v>29</v>
      </c>
      <c r="J556" s="2" t="s">
        <v>17</v>
      </c>
    </row>
    <row r="557" spans="1:10" hidden="1" x14ac:dyDescent="0.3">
      <c r="A557" s="2" t="s">
        <v>559</v>
      </c>
      <c r="B557" s="2" t="s">
        <v>32</v>
      </c>
      <c r="C557" s="2" t="s">
        <v>33</v>
      </c>
      <c r="D557" s="2">
        <v>7</v>
      </c>
      <c r="E557" s="2">
        <v>8898878405</v>
      </c>
      <c r="F557" s="2" t="s">
        <v>19</v>
      </c>
      <c r="G557" s="2" t="s">
        <v>20</v>
      </c>
      <c r="H557" s="2" t="s">
        <v>15</v>
      </c>
      <c r="I557" s="2" t="s">
        <v>29</v>
      </c>
      <c r="J557" s="2" t="s">
        <v>22</v>
      </c>
    </row>
    <row r="558" spans="1:10" x14ac:dyDescent="0.3">
      <c r="A558" s="2" t="s">
        <v>342</v>
      </c>
      <c r="B558" s="2" t="s">
        <v>11</v>
      </c>
      <c r="C558" s="2" t="s">
        <v>26</v>
      </c>
      <c r="D558" s="2">
        <v>3</v>
      </c>
      <c r="E558" s="2">
        <v>6887661013</v>
      </c>
      <c r="F558" s="2" t="s">
        <v>13</v>
      </c>
      <c r="G558" s="2" t="s">
        <v>20</v>
      </c>
      <c r="H558" s="2" t="s">
        <v>15</v>
      </c>
      <c r="I558" s="2" t="s">
        <v>37</v>
      </c>
      <c r="J558" s="2" t="s">
        <v>22</v>
      </c>
    </row>
    <row r="559" spans="1:10" x14ac:dyDescent="0.3">
      <c r="A559" s="2" t="s">
        <v>79</v>
      </c>
      <c r="B559" s="2" t="s">
        <v>35</v>
      </c>
      <c r="C559" s="2" t="s">
        <v>43</v>
      </c>
      <c r="D559" s="2">
        <v>1</v>
      </c>
      <c r="E559" s="2">
        <v>9465256008</v>
      </c>
      <c r="F559" s="2" t="s">
        <v>13</v>
      </c>
      <c r="G559" s="2" t="s">
        <v>20</v>
      </c>
      <c r="H559" s="2" t="s">
        <v>15</v>
      </c>
      <c r="I559" s="2" t="s">
        <v>16</v>
      </c>
      <c r="J559" s="2" t="s">
        <v>17</v>
      </c>
    </row>
    <row r="560" spans="1:10" hidden="1" x14ac:dyDescent="0.3">
      <c r="A560" s="2" t="s">
        <v>562</v>
      </c>
      <c r="B560" s="2" t="s">
        <v>32</v>
      </c>
      <c r="C560" s="2" t="s">
        <v>43</v>
      </c>
      <c r="D560" s="2">
        <v>7</v>
      </c>
      <c r="E560" s="2">
        <v>7140407908</v>
      </c>
      <c r="F560" s="2" t="s">
        <v>19</v>
      </c>
      <c r="G560" s="2" t="s">
        <v>20</v>
      </c>
      <c r="H560" s="2" t="s">
        <v>21</v>
      </c>
      <c r="I560" s="2" t="s">
        <v>37</v>
      </c>
      <c r="J560" s="2" t="s">
        <v>22</v>
      </c>
    </row>
    <row r="561" spans="1:10" hidden="1" x14ac:dyDescent="0.3">
      <c r="A561" s="2" t="s">
        <v>563</v>
      </c>
      <c r="B561" s="2" t="s">
        <v>32</v>
      </c>
      <c r="C561" s="2" t="s">
        <v>12</v>
      </c>
      <c r="D561" s="2">
        <v>7</v>
      </c>
      <c r="E561" s="2">
        <v>7219227246</v>
      </c>
      <c r="F561" s="2" t="s">
        <v>19</v>
      </c>
      <c r="G561" s="2" t="s">
        <v>20</v>
      </c>
      <c r="H561" s="2" t="s">
        <v>21</v>
      </c>
      <c r="I561" s="2" t="s">
        <v>16</v>
      </c>
      <c r="J561" s="2" t="s">
        <v>17</v>
      </c>
    </row>
    <row r="562" spans="1:10" hidden="1" x14ac:dyDescent="0.3">
      <c r="A562" s="2" t="s">
        <v>564</v>
      </c>
      <c r="B562" s="2" t="s">
        <v>25</v>
      </c>
      <c r="C562" s="2" t="s">
        <v>33</v>
      </c>
      <c r="D562" s="2">
        <v>5</v>
      </c>
      <c r="E562" s="2">
        <v>6924752263</v>
      </c>
      <c r="F562" s="2" t="s">
        <v>19</v>
      </c>
      <c r="G562" s="2" t="s">
        <v>14</v>
      </c>
      <c r="H562" s="2" t="s">
        <v>21</v>
      </c>
      <c r="I562" s="2" t="s">
        <v>41</v>
      </c>
      <c r="J562" s="2" t="s">
        <v>17</v>
      </c>
    </row>
    <row r="563" spans="1:10" x14ac:dyDescent="0.3">
      <c r="A563" s="2" t="s">
        <v>217</v>
      </c>
      <c r="B563" s="2" t="s">
        <v>25</v>
      </c>
      <c r="C563" s="2" t="s">
        <v>36</v>
      </c>
      <c r="D563" s="2">
        <v>5</v>
      </c>
      <c r="E563" s="2">
        <v>7825327920</v>
      </c>
      <c r="F563" s="2" t="s">
        <v>13</v>
      </c>
      <c r="G563" s="2" t="s">
        <v>20</v>
      </c>
      <c r="H563" s="2" t="s">
        <v>21</v>
      </c>
      <c r="I563" s="2" t="s">
        <v>22</v>
      </c>
      <c r="J563" s="2" t="s">
        <v>22</v>
      </c>
    </row>
    <row r="564" spans="1:10" x14ac:dyDescent="0.3">
      <c r="A564" s="2" t="s">
        <v>174</v>
      </c>
      <c r="B564" s="2" t="s">
        <v>25</v>
      </c>
      <c r="C564" s="2" t="s">
        <v>12</v>
      </c>
      <c r="D564" s="2">
        <v>5</v>
      </c>
      <c r="E564" s="2">
        <v>7203514151</v>
      </c>
      <c r="F564" s="2" t="s">
        <v>13</v>
      </c>
      <c r="G564" s="2" t="s">
        <v>20</v>
      </c>
      <c r="H564" s="2" t="s">
        <v>15</v>
      </c>
      <c r="I564" s="2" t="s">
        <v>41</v>
      </c>
      <c r="J564" s="2" t="s">
        <v>22</v>
      </c>
    </row>
    <row r="565" spans="1:10" hidden="1" x14ac:dyDescent="0.3">
      <c r="A565" s="2" t="s">
        <v>567</v>
      </c>
      <c r="B565" s="2" t="s">
        <v>25</v>
      </c>
      <c r="C565" s="2" t="s">
        <v>12</v>
      </c>
      <c r="D565" s="2">
        <v>5</v>
      </c>
      <c r="E565" s="2">
        <v>6855104557</v>
      </c>
      <c r="F565" s="2" t="s">
        <v>19</v>
      </c>
      <c r="G565" s="2" t="s">
        <v>20</v>
      </c>
      <c r="H565" s="2" t="s">
        <v>21</v>
      </c>
      <c r="I565" s="2" t="s">
        <v>41</v>
      </c>
      <c r="J565" s="2" t="s">
        <v>17</v>
      </c>
    </row>
    <row r="566" spans="1:10" x14ac:dyDescent="0.3">
      <c r="A566" s="2" t="s">
        <v>443</v>
      </c>
      <c r="B566" s="2" t="s">
        <v>32</v>
      </c>
      <c r="C566" s="2" t="s">
        <v>43</v>
      </c>
      <c r="D566" s="2">
        <v>7</v>
      </c>
      <c r="E566" s="2">
        <v>6759915509</v>
      </c>
      <c r="F566" s="2" t="s">
        <v>13</v>
      </c>
      <c r="G566" s="2" t="s">
        <v>14</v>
      </c>
      <c r="H566" s="2" t="s">
        <v>21</v>
      </c>
      <c r="I566" s="2" t="s">
        <v>29</v>
      </c>
      <c r="J566" s="2" t="s">
        <v>22</v>
      </c>
    </row>
    <row r="567" spans="1:10" x14ac:dyDescent="0.3">
      <c r="A567" s="2" t="s">
        <v>77</v>
      </c>
      <c r="B567" s="2" t="s">
        <v>32</v>
      </c>
      <c r="C567" s="2" t="s">
        <v>33</v>
      </c>
      <c r="D567" s="2">
        <v>7</v>
      </c>
      <c r="E567" s="2">
        <v>6193128782</v>
      </c>
      <c r="F567" s="2" t="s">
        <v>13</v>
      </c>
      <c r="G567" s="2" t="s">
        <v>20</v>
      </c>
      <c r="H567" s="2" t="s">
        <v>21</v>
      </c>
      <c r="I567" s="2" t="s">
        <v>22</v>
      </c>
      <c r="J567" s="2" t="s">
        <v>22</v>
      </c>
    </row>
    <row r="568" spans="1:10" hidden="1" x14ac:dyDescent="0.3">
      <c r="A568" s="2" t="s">
        <v>570</v>
      </c>
      <c r="B568" s="2" t="s">
        <v>32</v>
      </c>
      <c r="C568" s="2" t="s">
        <v>36</v>
      </c>
      <c r="D568" s="2">
        <v>7</v>
      </c>
      <c r="E568" s="2">
        <v>8133614467</v>
      </c>
      <c r="F568" s="2" t="s">
        <v>19</v>
      </c>
      <c r="G568" s="2" t="s">
        <v>14</v>
      </c>
      <c r="H568" s="2" t="s">
        <v>15</v>
      </c>
      <c r="I568" s="2" t="s">
        <v>41</v>
      </c>
      <c r="J568" s="2" t="s">
        <v>17</v>
      </c>
    </row>
    <row r="569" spans="1:10" x14ac:dyDescent="0.3">
      <c r="A569" s="2" t="s">
        <v>235</v>
      </c>
      <c r="B569" s="2" t="s">
        <v>32</v>
      </c>
      <c r="C569" s="2" t="s">
        <v>33</v>
      </c>
      <c r="D569" s="2">
        <v>7</v>
      </c>
      <c r="E569" s="2">
        <v>6267426911</v>
      </c>
      <c r="F569" s="2" t="s">
        <v>13</v>
      </c>
      <c r="G569" s="2" t="s">
        <v>20</v>
      </c>
      <c r="H569" s="2" t="s">
        <v>15</v>
      </c>
      <c r="I569" s="2" t="s">
        <v>41</v>
      </c>
      <c r="J569" s="2" t="s">
        <v>22</v>
      </c>
    </row>
    <row r="570" spans="1:10" hidden="1" x14ac:dyDescent="0.3">
      <c r="A570" s="2" t="s">
        <v>572</v>
      </c>
      <c r="B570" s="2" t="s">
        <v>25</v>
      </c>
      <c r="C570" s="2" t="s">
        <v>26</v>
      </c>
      <c r="D570" s="2">
        <v>5</v>
      </c>
      <c r="E570" s="2">
        <v>7076837972</v>
      </c>
      <c r="F570" s="2" t="s">
        <v>19</v>
      </c>
      <c r="G570" s="2" t="s">
        <v>14</v>
      </c>
      <c r="H570" s="2" t="s">
        <v>15</v>
      </c>
      <c r="I570" s="2" t="s">
        <v>16</v>
      </c>
      <c r="J570" s="2" t="s">
        <v>17</v>
      </c>
    </row>
    <row r="571" spans="1:10" hidden="1" x14ac:dyDescent="0.3">
      <c r="A571" s="2" t="s">
        <v>65</v>
      </c>
      <c r="B571" s="2" t="s">
        <v>25</v>
      </c>
      <c r="C571" s="2" t="s">
        <v>36</v>
      </c>
      <c r="D571" s="2">
        <v>5</v>
      </c>
      <c r="E571" s="2">
        <v>6659008742</v>
      </c>
      <c r="F571" s="2" t="s">
        <v>19</v>
      </c>
      <c r="G571" s="2" t="s">
        <v>20</v>
      </c>
      <c r="H571" s="2" t="s">
        <v>21</v>
      </c>
      <c r="I571" s="2" t="s">
        <v>27</v>
      </c>
      <c r="J571" s="2" t="s">
        <v>22</v>
      </c>
    </row>
    <row r="572" spans="1:10" hidden="1" x14ac:dyDescent="0.3">
      <c r="A572" s="2" t="s">
        <v>573</v>
      </c>
      <c r="B572" s="2" t="s">
        <v>35</v>
      </c>
      <c r="C572" s="2" t="s">
        <v>12</v>
      </c>
      <c r="D572" s="2">
        <v>1</v>
      </c>
      <c r="E572" s="2">
        <v>6581669564</v>
      </c>
      <c r="F572" s="2" t="s">
        <v>19</v>
      </c>
      <c r="G572" s="2" t="s">
        <v>14</v>
      </c>
      <c r="H572" s="2" t="s">
        <v>15</v>
      </c>
      <c r="I572" s="2" t="s">
        <v>22</v>
      </c>
      <c r="J572" s="2" t="s">
        <v>23</v>
      </c>
    </row>
    <row r="573" spans="1:10" hidden="1" x14ac:dyDescent="0.3">
      <c r="A573" s="2" t="s">
        <v>574</v>
      </c>
      <c r="B573" s="2" t="s">
        <v>11</v>
      </c>
      <c r="C573" s="2" t="s">
        <v>33</v>
      </c>
      <c r="D573" s="2">
        <v>3</v>
      </c>
      <c r="E573" s="2">
        <v>7576405064</v>
      </c>
      <c r="F573" s="2" t="s">
        <v>19</v>
      </c>
      <c r="G573" s="2" t="s">
        <v>20</v>
      </c>
      <c r="H573" s="2" t="s">
        <v>15</v>
      </c>
      <c r="I573" s="2" t="s">
        <v>22</v>
      </c>
      <c r="J573" s="2" t="s">
        <v>17</v>
      </c>
    </row>
    <row r="574" spans="1:10" hidden="1" x14ac:dyDescent="0.3">
      <c r="A574" s="2" t="s">
        <v>575</v>
      </c>
      <c r="B574" s="2" t="s">
        <v>35</v>
      </c>
      <c r="C574" s="2" t="s">
        <v>26</v>
      </c>
      <c r="D574" s="2">
        <v>1</v>
      </c>
      <c r="E574" s="2">
        <v>8640490987</v>
      </c>
      <c r="F574" s="2" t="s">
        <v>19</v>
      </c>
      <c r="G574" s="2" t="s">
        <v>20</v>
      </c>
      <c r="H574" s="2" t="s">
        <v>21</v>
      </c>
      <c r="I574" s="2" t="s">
        <v>22</v>
      </c>
      <c r="J574" s="2" t="s">
        <v>22</v>
      </c>
    </row>
    <row r="575" spans="1:10" hidden="1" x14ac:dyDescent="0.3">
      <c r="A575" s="2" t="s">
        <v>576</v>
      </c>
      <c r="B575" s="2" t="s">
        <v>25</v>
      </c>
      <c r="C575" s="2" t="s">
        <v>36</v>
      </c>
      <c r="D575" s="2">
        <v>5</v>
      </c>
      <c r="E575" s="2">
        <v>7857290666</v>
      </c>
      <c r="F575" s="2" t="s">
        <v>19</v>
      </c>
      <c r="G575" s="2" t="s">
        <v>20</v>
      </c>
      <c r="H575" s="2" t="s">
        <v>21</v>
      </c>
      <c r="I575" s="2" t="s">
        <v>29</v>
      </c>
      <c r="J575" s="2" t="s">
        <v>23</v>
      </c>
    </row>
    <row r="576" spans="1:10" hidden="1" x14ac:dyDescent="0.3">
      <c r="A576" s="2" t="s">
        <v>577</v>
      </c>
      <c r="B576" s="2" t="s">
        <v>11</v>
      </c>
      <c r="C576" s="2" t="s">
        <v>36</v>
      </c>
      <c r="D576" s="2">
        <v>3</v>
      </c>
      <c r="E576" s="2">
        <v>9677037792</v>
      </c>
      <c r="F576" s="2" t="s">
        <v>19</v>
      </c>
      <c r="G576" s="2" t="s">
        <v>14</v>
      </c>
      <c r="H576" s="2" t="s">
        <v>21</v>
      </c>
      <c r="I576" s="2" t="s">
        <v>22</v>
      </c>
      <c r="J576" s="2" t="s">
        <v>22</v>
      </c>
    </row>
    <row r="577" spans="1:10" x14ac:dyDescent="0.3">
      <c r="A577" s="2" t="s">
        <v>352</v>
      </c>
      <c r="B577" s="2" t="s">
        <v>35</v>
      </c>
      <c r="C577" s="2" t="s">
        <v>36</v>
      </c>
      <c r="D577" s="2">
        <v>1</v>
      </c>
      <c r="E577" s="2">
        <v>9957198283</v>
      </c>
      <c r="F577" s="2" t="s">
        <v>13</v>
      </c>
      <c r="G577" s="2" t="s">
        <v>20</v>
      </c>
      <c r="H577" s="2" t="s">
        <v>21</v>
      </c>
      <c r="I577" s="2" t="s">
        <v>22</v>
      </c>
      <c r="J577" s="2" t="s">
        <v>22</v>
      </c>
    </row>
    <row r="578" spans="1:10" x14ac:dyDescent="0.3">
      <c r="A578" s="2" t="s">
        <v>538</v>
      </c>
      <c r="B578" s="2" t="s">
        <v>32</v>
      </c>
      <c r="C578" s="2" t="s">
        <v>12</v>
      </c>
      <c r="D578" s="2">
        <v>7</v>
      </c>
      <c r="E578" s="2">
        <v>8085452036</v>
      </c>
      <c r="F578" s="2" t="s">
        <v>13</v>
      </c>
      <c r="G578" s="2" t="s">
        <v>20</v>
      </c>
      <c r="H578" s="2" t="s">
        <v>21</v>
      </c>
      <c r="I578" s="2" t="s">
        <v>22</v>
      </c>
      <c r="J578" s="2" t="s">
        <v>22</v>
      </c>
    </row>
    <row r="579" spans="1:10" x14ac:dyDescent="0.3">
      <c r="A579" s="2" t="s">
        <v>169</v>
      </c>
      <c r="B579" s="2" t="s">
        <v>11</v>
      </c>
      <c r="C579" s="2" t="s">
        <v>33</v>
      </c>
      <c r="D579" s="2">
        <v>3</v>
      </c>
      <c r="E579" s="2">
        <v>7075735790</v>
      </c>
      <c r="F579" s="2" t="s">
        <v>13</v>
      </c>
      <c r="G579" s="2" t="s">
        <v>20</v>
      </c>
      <c r="H579" s="2" t="s">
        <v>21</v>
      </c>
      <c r="I579" s="2" t="s">
        <v>27</v>
      </c>
      <c r="J579" s="2" t="s">
        <v>23</v>
      </c>
    </row>
    <row r="580" spans="1:10" x14ac:dyDescent="0.3">
      <c r="A580" s="2" t="s">
        <v>267</v>
      </c>
      <c r="B580" s="2" t="s">
        <v>25</v>
      </c>
      <c r="C580" s="2" t="s">
        <v>43</v>
      </c>
      <c r="D580" s="2">
        <v>5</v>
      </c>
      <c r="E580" s="2">
        <v>9668041763</v>
      </c>
      <c r="F580" s="2" t="s">
        <v>13</v>
      </c>
      <c r="G580" s="2" t="s">
        <v>14</v>
      </c>
      <c r="H580" s="2" t="s">
        <v>15</v>
      </c>
      <c r="I580" s="2" t="s">
        <v>37</v>
      </c>
      <c r="J580" s="2" t="s">
        <v>22</v>
      </c>
    </row>
    <row r="581" spans="1:10" x14ac:dyDescent="0.3">
      <c r="A581" s="2" t="s">
        <v>263</v>
      </c>
      <c r="B581" s="2" t="s">
        <v>35</v>
      </c>
      <c r="C581" s="2" t="s">
        <v>12</v>
      </c>
      <c r="D581" s="2">
        <v>1</v>
      </c>
      <c r="E581" s="2">
        <v>6570307637</v>
      </c>
      <c r="F581" s="2" t="s">
        <v>13</v>
      </c>
      <c r="G581" s="2" t="s">
        <v>14</v>
      </c>
      <c r="H581" s="2" t="s">
        <v>21</v>
      </c>
      <c r="I581" s="2" t="s">
        <v>37</v>
      </c>
      <c r="J581" s="2" t="s">
        <v>17</v>
      </c>
    </row>
    <row r="582" spans="1:10" hidden="1" x14ac:dyDescent="0.3">
      <c r="A582" s="2" t="s">
        <v>582</v>
      </c>
      <c r="B582" s="2" t="s">
        <v>32</v>
      </c>
      <c r="C582" s="2" t="s">
        <v>26</v>
      </c>
      <c r="D582" s="2">
        <v>7</v>
      </c>
      <c r="E582" s="2">
        <v>9474566659</v>
      </c>
      <c r="F582" s="2" t="s">
        <v>19</v>
      </c>
      <c r="G582" s="2" t="s">
        <v>20</v>
      </c>
      <c r="H582" s="2" t="s">
        <v>15</v>
      </c>
      <c r="I582" s="2" t="s">
        <v>29</v>
      </c>
      <c r="J582" s="2" t="s">
        <v>23</v>
      </c>
    </row>
    <row r="583" spans="1:10" hidden="1" x14ac:dyDescent="0.3">
      <c r="A583" s="2" t="s">
        <v>583</v>
      </c>
      <c r="B583" s="2" t="s">
        <v>35</v>
      </c>
      <c r="C583" s="2" t="s">
        <v>26</v>
      </c>
      <c r="D583" s="2">
        <v>1</v>
      </c>
      <c r="E583" s="2">
        <v>7530342597</v>
      </c>
      <c r="F583" s="2" t="s">
        <v>19</v>
      </c>
      <c r="G583" s="2" t="s">
        <v>14</v>
      </c>
      <c r="H583" s="2" t="s">
        <v>15</v>
      </c>
      <c r="I583" s="2" t="s">
        <v>29</v>
      </c>
      <c r="J583" s="2" t="s">
        <v>17</v>
      </c>
    </row>
    <row r="584" spans="1:10" hidden="1" x14ac:dyDescent="0.3">
      <c r="A584" s="2" t="s">
        <v>584</v>
      </c>
      <c r="B584" s="2" t="s">
        <v>11</v>
      </c>
      <c r="C584" s="2" t="s">
        <v>26</v>
      </c>
      <c r="D584" s="2">
        <v>3</v>
      </c>
      <c r="E584" s="2">
        <v>7507724242</v>
      </c>
      <c r="F584" s="2" t="s">
        <v>19</v>
      </c>
      <c r="G584" s="2" t="s">
        <v>20</v>
      </c>
      <c r="H584" s="2" t="s">
        <v>15</v>
      </c>
      <c r="I584" s="2" t="s">
        <v>37</v>
      </c>
      <c r="J584" s="2" t="s">
        <v>17</v>
      </c>
    </row>
    <row r="585" spans="1:10" x14ac:dyDescent="0.3">
      <c r="A585" s="2" t="s">
        <v>385</v>
      </c>
      <c r="B585" s="2" t="s">
        <v>11</v>
      </c>
      <c r="C585" s="2" t="s">
        <v>36</v>
      </c>
      <c r="D585" s="2">
        <v>3</v>
      </c>
      <c r="E585" s="2">
        <v>9537716519</v>
      </c>
      <c r="F585" s="2" t="s">
        <v>13</v>
      </c>
      <c r="G585" s="2" t="s">
        <v>20</v>
      </c>
      <c r="H585" s="2" t="s">
        <v>21</v>
      </c>
      <c r="I585" s="2" t="s">
        <v>29</v>
      </c>
      <c r="J585" s="2" t="s">
        <v>17</v>
      </c>
    </row>
    <row r="586" spans="1:10" hidden="1" x14ac:dyDescent="0.3">
      <c r="A586" s="2" t="s">
        <v>60</v>
      </c>
      <c r="B586" s="2" t="s">
        <v>25</v>
      </c>
      <c r="C586" s="2" t="s">
        <v>33</v>
      </c>
      <c r="D586" s="2">
        <v>5</v>
      </c>
      <c r="E586" s="2">
        <v>8472602880</v>
      </c>
      <c r="F586" s="2" t="s">
        <v>19</v>
      </c>
      <c r="G586" s="2" t="s">
        <v>20</v>
      </c>
      <c r="H586" s="2" t="s">
        <v>21</v>
      </c>
      <c r="I586" s="2" t="s">
        <v>16</v>
      </c>
      <c r="J586" s="2" t="s">
        <v>22</v>
      </c>
    </row>
    <row r="587" spans="1:10" x14ac:dyDescent="0.3">
      <c r="A587" s="2" t="s">
        <v>532</v>
      </c>
      <c r="B587" s="2" t="s">
        <v>11</v>
      </c>
      <c r="C587" s="2" t="s">
        <v>36</v>
      </c>
      <c r="D587" s="2">
        <v>3</v>
      </c>
      <c r="E587" s="2">
        <v>9835142753</v>
      </c>
      <c r="F587" s="2" t="s">
        <v>13</v>
      </c>
      <c r="G587" s="2" t="s">
        <v>20</v>
      </c>
      <c r="H587" s="2" t="s">
        <v>15</v>
      </c>
      <c r="I587" s="2" t="s">
        <v>41</v>
      </c>
      <c r="J587" s="2" t="s">
        <v>17</v>
      </c>
    </row>
    <row r="588" spans="1:10" hidden="1" x14ac:dyDescent="0.3">
      <c r="A588" s="2" t="s">
        <v>587</v>
      </c>
      <c r="B588" s="2" t="s">
        <v>32</v>
      </c>
      <c r="C588" s="2" t="s">
        <v>43</v>
      </c>
      <c r="D588" s="2">
        <v>7</v>
      </c>
      <c r="E588" s="2">
        <v>8222411847</v>
      </c>
      <c r="F588" s="2" t="s">
        <v>19</v>
      </c>
      <c r="G588" s="2" t="s">
        <v>14</v>
      </c>
      <c r="H588" s="2" t="s">
        <v>15</v>
      </c>
      <c r="I588" s="2" t="s">
        <v>29</v>
      </c>
      <c r="J588" s="2" t="s">
        <v>17</v>
      </c>
    </row>
    <row r="589" spans="1:10" hidden="1" x14ac:dyDescent="0.3">
      <c r="A589" s="2" t="s">
        <v>588</v>
      </c>
      <c r="B589" s="2" t="s">
        <v>25</v>
      </c>
      <c r="C589" s="2" t="s">
        <v>36</v>
      </c>
      <c r="D589" s="2">
        <v>5</v>
      </c>
      <c r="E589" s="2">
        <v>6121596566</v>
      </c>
      <c r="F589" s="2" t="s">
        <v>19</v>
      </c>
      <c r="G589" s="2" t="s">
        <v>20</v>
      </c>
      <c r="H589" s="2" t="s">
        <v>21</v>
      </c>
      <c r="I589" s="2" t="s">
        <v>27</v>
      </c>
      <c r="J589" s="2" t="s">
        <v>22</v>
      </c>
    </row>
    <row r="590" spans="1:10" x14ac:dyDescent="0.3">
      <c r="A590" s="2" t="s">
        <v>189</v>
      </c>
      <c r="B590" s="2" t="s">
        <v>11</v>
      </c>
      <c r="C590" s="2" t="s">
        <v>33</v>
      </c>
      <c r="D590" s="2">
        <v>3</v>
      </c>
      <c r="E590" s="2">
        <v>6658324986</v>
      </c>
      <c r="F590" s="2" t="s">
        <v>13</v>
      </c>
      <c r="G590" s="2" t="s">
        <v>20</v>
      </c>
      <c r="H590" s="2" t="s">
        <v>21</v>
      </c>
      <c r="I590" s="2" t="s">
        <v>22</v>
      </c>
      <c r="J590" s="2" t="s">
        <v>17</v>
      </c>
    </row>
    <row r="591" spans="1:10" hidden="1" x14ac:dyDescent="0.3">
      <c r="A591" s="2" t="s">
        <v>590</v>
      </c>
      <c r="B591" s="2" t="s">
        <v>35</v>
      </c>
      <c r="C591" s="2" t="s">
        <v>36</v>
      </c>
      <c r="D591" s="2">
        <v>1</v>
      </c>
      <c r="E591" s="2">
        <v>7814362402</v>
      </c>
      <c r="F591" s="2" t="s">
        <v>19</v>
      </c>
      <c r="G591" s="2" t="s">
        <v>20</v>
      </c>
      <c r="H591" s="2" t="s">
        <v>15</v>
      </c>
      <c r="I591" s="2" t="s">
        <v>37</v>
      </c>
      <c r="J591" s="2" t="s">
        <v>17</v>
      </c>
    </row>
    <row r="592" spans="1:10" x14ac:dyDescent="0.3">
      <c r="A592" s="2" t="s">
        <v>273</v>
      </c>
      <c r="B592" s="2" t="s">
        <v>25</v>
      </c>
      <c r="C592" s="2" t="s">
        <v>33</v>
      </c>
      <c r="D592" s="2">
        <v>5</v>
      </c>
      <c r="E592" s="2">
        <v>7409594170</v>
      </c>
      <c r="F592" s="2" t="s">
        <v>13</v>
      </c>
      <c r="G592" s="2" t="s">
        <v>14</v>
      </c>
      <c r="H592" s="2" t="s">
        <v>15</v>
      </c>
      <c r="I592" s="2" t="s">
        <v>27</v>
      </c>
      <c r="J592" s="2" t="s">
        <v>22</v>
      </c>
    </row>
    <row r="593" spans="1:10" x14ac:dyDescent="0.3">
      <c r="A593" s="2" t="s">
        <v>548</v>
      </c>
      <c r="B593" s="2" t="s">
        <v>11</v>
      </c>
      <c r="C593" s="2" t="s">
        <v>36</v>
      </c>
      <c r="D593" s="2">
        <v>3</v>
      </c>
      <c r="E593" s="2">
        <v>6413890731</v>
      </c>
      <c r="F593" s="2" t="s">
        <v>13</v>
      </c>
      <c r="G593" s="2" t="s">
        <v>20</v>
      </c>
      <c r="H593" s="2" t="s">
        <v>21</v>
      </c>
      <c r="I593" s="2" t="s">
        <v>16</v>
      </c>
      <c r="J593" s="2" t="s">
        <v>22</v>
      </c>
    </row>
    <row r="594" spans="1:10" x14ac:dyDescent="0.3">
      <c r="A594" s="2" t="s">
        <v>193</v>
      </c>
      <c r="B594" s="2" t="s">
        <v>35</v>
      </c>
      <c r="C594" s="2" t="s">
        <v>33</v>
      </c>
      <c r="D594" s="2">
        <v>1</v>
      </c>
      <c r="E594" s="2">
        <v>7892758248</v>
      </c>
      <c r="F594" s="2" t="s">
        <v>13</v>
      </c>
      <c r="G594" s="2" t="s">
        <v>14</v>
      </c>
      <c r="H594" s="2" t="s">
        <v>15</v>
      </c>
      <c r="I594" s="2" t="s">
        <v>16</v>
      </c>
      <c r="J594" s="2" t="s">
        <v>22</v>
      </c>
    </row>
    <row r="595" spans="1:10" hidden="1" x14ac:dyDescent="0.3">
      <c r="A595" s="2" t="s">
        <v>594</v>
      </c>
      <c r="B595" s="2" t="s">
        <v>32</v>
      </c>
      <c r="C595" s="2" t="s">
        <v>33</v>
      </c>
      <c r="D595" s="2">
        <v>7</v>
      </c>
      <c r="E595" s="2">
        <v>6583374756</v>
      </c>
      <c r="F595" s="2" t="s">
        <v>19</v>
      </c>
      <c r="G595" s="2" t="s">
        <v>14</v>
      </c>
      <c r="H595" s="2" t="s">
        <v>15</v>
      </c>
      <c r="I595" s="2" t="s">
        <v>22</v>
      </c>
      <c r="J595" s="2" t="s">
        <v>17</v>
      </c>
    </row>
    <row r="596" spans="1:10" x14ac:dyDescent="0.3">
      <c r="A596" s="2" t="s">
        <v>220</v>
      </c>
      <c r="B596" s="2" t="s">
        <v>25</v>
      </c>
      <c r="C596" s="2" t="s">
        <v>12</v>
      </c>
      <c r="D596" s="2">
        <v>5</v>
      </c>
      <c r="E596" s="2">
        <v>7438690398</v>
      </c>
      <c r="F596" s="2" t="s">
        <v>13</v>
      </c>
      <c r="G596" s="2" t="s">
        <v>20</v>
      </c>
      <c r="H596" s="2" t="s">
        <v>15</v>
      </c>
      <c r="I596" s="2" t="s">
        <v>22</v>
      </c>
      <c r="J596" s="2" t="s">
        <v>17</v>
      </c>
    </row>
    <row r="597" spans="1:10" x14ac:dyDescent="0.3">
      <c r="A597" s="2" t="s">
        <v>411</v>
      </c>
      <c r="B597" s="2" t="s">
        <v>25</v>
      </c>
      <c r="C597" s="2" t="s">
        <v>26</v>
      </c>
      <c r="D597" s="2">
        <v>5</v>
      </c>
      <c r="E597" s="2">
        <v>9622874622</v>
      </c>
      <c r="F597" s="2" t="s">
        <v>13</v>
      </c>
      <c r="G597" s="2" t="s">
        <v>14</v>
      </c>
      <c r="H597" s="2" t="s">
        <v>21</v>
      </c>
      <c r="I597" s="2" t="s">
        <v>29</v>
      </c>
      <c r="J597" s="2" t="s">
        <v>22</v>
      </c>
    </row>
    <row r="598" spans="1:10" hidden="1" x14ac:dyDescent="0.3">
      <c r="A598" s="2" t="s">
        <v>597</v>
      </c>
      <c r="B598" s="2" t="s">
        <v>11</v>
      </c>
      <c r="C598" s="2" t="s">
        <v>33</v>
      </c>
      <c r="D598" s="2">
        <v>3</v>
      </c>
      <c r="E598" s="2">
        <v>6711963659</v>
      </c>
      <c r="F598" s="2" t="s">
        <v>19</v>
      </c>
      <c r="G598" s="2" t="s">
        <v>14</v>
      </c>
      <c r="H598" s="2" t="s">
        <v>15</v>
      </c>
      <c r="I598" s="2" t="s">
        <v>37</v>
      </c>
      <c r="J598" s="2" t="s">
        <v>17</v>
      </c>
    </row>
    <row r="599" spans="1:10" x14ac:dyDescent="0.3">
      <c r="A599" s="2" t="s">
        <v>272</v>
      </c>
      <c r="B599" s="2" t="s">
        <v>11</v>
      </c>
      <c r="C599" s="2" t="s">
        <v>12</v>
      </c>
      <c r="D599" s="2">
        <v>3</v>
      </c>
      <c r="E599" s="2">
        <v>9905412979</v>
      </c>
      <c r="F599" s="2" t="s">
        <v>13</v>
      </c>
      <c r="G599" s="2" t="s">
        <v>20</v>
      </c>
      <c r="H599" s="2" t="s">
        <v>15</v>
      </c>
      <c r="I599" s="2" t="s">
        <v>41</v>
      </c>
      <c r="J599" s="2" t="s">
        <v>22</v>
      </c>
    </row>
    <row r="600" spans="1:10" hidden="1" x14ac:dyDescent="0.3">
      <c r="A600" s="2" t="s">
        <v>598</v>
      </c>
      <c r="B600" s="2" t="s">
        <v>25</v>
      </c>
      <c r="C600" s="2" t="s">
        <v>36</v>
      </c>
      <c r="D600" s="2">
        <v>5</v>
      </c>
      <c r="E600" s="2">
        <v>8400810214</v>
      </c>
      <c r="F600" s="2" t="s">
        <v>19</v>
      </c>
      <c r="G600" s="2" t="s">
        <v>20</v>
      </c>
      <c r="H600" s="2" t="s">
        <v>15</v>
      </c>
      <c r="I600" s="2" t="s">
        <v>22</v>
      </c>
      <c r="J600" s="2" t="s">
        <v>22</v>
      </c>
    </row>
    <row r="601" spans="1:10" x14ac:dyDescent="0.3">
      <c r="A601" s="2" t="s">
        <v>272</v>
      </c>
      <c r="B601" s="2" t="s">
        <v>11</v>
      </c>
      <c r="C601" s="2" t="s">
        <v>36</v>
      </c>
      <c r="D601" s="2">
        <v>3</v>
      </c>
      <c r="E601" s="2">
        <v>8777180060</v>
      </c>
      <c r="F601" s="2" t="s">
        <v>13</v>
      </c>
      <c r="G601" s="2" t="s">
        <v>14</v>
      </c>
      <c r="H601" s="2" t="s">
        <v>21</v>
      </c>
      <c r="I601" s="2" t="s">
        <v>41</v>
      </c>
      <c r="J601" s="2" t="s">
        <v>23</v>
      </c>
    </row>
  </sheetData>
  <autoFilter ref="A1:J601" xr:uid="{B94D2CDD-E62A-40B6-AAC3-17A1B87CB436}">
    <filterColumn colId="5">
      <filters>
        <filter val="Due"/>
      </filters>
    </filterColumn>
    <sortState xmlns:xlrd2="http://schemas.microsoft.com/office/spreadsheetml/2017/richdata2" ref="A2:J601">
      <sortCondition ref="A1:A601"/>
    </sortState>
  </autoFilter>
  <conditionalFormatting sqref="H2:H601">
    <cfRule type="expression" dxfId="37" priority="1" stopIfTrue="1">
      <formula>$H2="Non-Veg"</formula>
    </cfRule>
    <cfRule type="expression" dxfId="36" priority="2" stopIfTrue="1">
      <formula>$H2="Veg"</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90C2-E9FB-444D-A681-E474308A6BC7}">
  <dimension ref="A1:AB601"/>
  <sheetViews>
    <sheetView topLeftCell="J17" zoomScale="89" zoomScaleNormal="89" workbookViewId="0">
      <selection activeCell="P32" sqref="P32"/>
    </sheetView>
  </sheetViews>
  <sheetFormatPr defaultRowHeight="14.4" x14ac:dyDescent="0.3"/>
  <cols>
    <col min="1" max="1" width="17.77734375" bestFit="1" customWidth="1"/>
    <col min="2" max="2" width="4.6640625" bestFit="1" customWidth="1"/>
    <col min="3" max="3" width="11.109375" bestFit="1" customWidth="1"/>
    <col min="4" max="4" width="8.77734375" bestFit="1" customWidth="1"/>
    <col min="5" max="5" width="13.88671875" bestFit="1" customWidth="1"/>
    <col min="6" max="6" width="17.5546875" bestFit="1" customWidth="1"/>
    <col min="7" max="7" width="16" bestFit="1" customWidth="1"/>
    <col min="8" max="8" width="14.88671875" bestFit="1" customWidth="1"/>
    <col min="9" max="9" width="20.109375" bestFit="1" customWidth="1"/>
    <col min="10" max="10" width="22.77734375" bestFit="1" customWidth="1"/>
    <col min="11" max="11" width="10.33203125" customWidth="1"/>
    <col min="12" max="12" width="29.88671875" customWidth="1"/>
    <col min="13" max="13" width="22.109375" bestFit="1" customWidth="1"/>
    <col min="14" max="14" width="5.21875" bestFit="1" customWidth="1"/>
    <col min="15" max="18" width="21.88671875" bestFit="1" customWidth="1"/>
    <col min="19" max="19" width="10.5546875" bestFit="1" customWidth="1"/>
  </cols>
  <sheetData>
    <row r="1" spans="1:18" x14ac:dyDescent="0.3">
      <c r="A1" s="3" t="s">
        <v>0</v>
      </c>
      <c r="B1" s="3" t="s">
        <v>1</v>
      </c>
      <c r="C1" s="3" t="s">
        <v>2</v>
      </c>
      <c r="D1" s="3" t="s">
        <v>3</v>
      </c>
      <c r="E1" s="3" t="s">
        <v>4</v>
      </c>
      <c r="F1" s="3" t="s">
        <v>5</v>
      </c>
      <c r="G1" s="3" t="s">
        <v>6</v>
      </c>
      <c r="H1" s="3" t="s">
        <v>7</v>
      </c>
      <c r="I1" s="3" t="s">
        <v>8</v>
      </c>
      <c r="J1" s="3" t="s">
        <v>9</v>
      </c>
    </row>
    <row r="2" spans="1:18" x14ac:dyDescent="0.3">
      <c r="A2" s="2" t="s">
        <v>10</v>
      </c>
      <c r="B2" s="2" t="s">
        <v>11</v>
      </c>
      <c r="C2" s="2" t="s">
        <v>12</v>
      </c>
      <c r="D2" s="2">
        <v>3</v>
      </c>
      <c r="E2" s="2">
        <v>9706233821</v>
      </c>
      <c r="F2" s="2" t="s">
        <v>13</v>
      </c>
      <c r="G2" s="2" t="s">
        <v>14</v>
      </c>
      <c r="H2" s="2" t="s">
        <v>15</v>
      </c>
      <c r="I2" s="2" t="s">
        <v>16</v>
      </c>
      <c r="J2" s="2" t="s">
        <v>17</v>
      </c>
      <c r="L2" s="26"/>
      <c r="M2" s="34" t="s">
        <v>630</v>
      </c>
    </row>
    <row r="3" spans="1:18" x14ac:dyDescent="0.3">
      <c r="A3" s="2" t="s">
        <v>18</v>
      </c>
      <c r="B3" s="2" t="s">
        <v>11</v>
      </c>
      <c r="C3" s="2" t="s">
        <v>12</v>
      </c>
      <c r="D3" s="2">
        <v>3</v>
      </c>
      <c r="E3" s="2">
        <v>6669525518</v>
      </c>
      <c r="F3" s="2" t="s">
        <v>19</v>
      </c>
      <c r="G3" s="2" t="s">
        <v>20</v>
      </c>
      <c r="H3" s="2" t="s">
        <v>21</v>
      </c>
      <c r="I3" s="2" t="s">
        <v>22</v>
      </c>
      <c r="J3" s="2" t="s">
        <v>23</v>
      </c>
    </row>
    <row r="4" spans="1:18" x14ac:dyDescent="0.3">
      <c r="A4" s="2" t="s">
        <v>24</v>
      </c>
      <c r="B4" s="2" t="s">
        <v>25</v>
      </c>
      <c r="C4" s="2" t="s">
        <v>26</v>
      </c>
      <c r="D4" s="2">
        <v>5</v>
      </c>
      <c r="E4" s="2">
        <v>6105851450</v>
      </c>
      <c r="F4" s="2" t="s">
        <v>13</v>
      </c>
      <c r="G4" s="2" t="s">
        <v>14</v>
      </c>
      <c r="H4" s="2" t="s">
        <v>15</v>
      </c>
      <c r="I4" s="2" t="s">
        <v>27</v>
      </c>
      <c r="J4" s="2" t="s">
        <v>22</v>
      </c>
      <c r="L4" s="25" t="s">
        <v>609</v>
      </c>
      <c r="M4" s="25"/>
      <c r="N4" s="25"/>
      <c r="O4" s="25"/>
    </row>
    <row r="5" spans="1:18" x14ac:dyDescent="0.3">
      <c r="A5" s="2" t="s">
        <v>28</v>
      </c>
      <c r="B5" s="2" t="s">
        <v>11</v>
      </c>
      <c r="C5" s="2" t="s">
        <v>26</v>
      </c>
      <c r="D5" s="2">
        <v>3</v>
      </c>
      <c r="E5" s="2">
        <v>6421418421</v>
      </c>
      <c r="F5" s="2" t="s">
        <v>19</v>
      </c>
      <c r="G5" s="2" t="s">
        <v>20</v>
      </c>
      <c r="H5" s="2" t="s">
        <v>21</v>
      </c>
      <c r="I5" s="2" t="s">
        <v>29</v>
      </c>
      <c r="J5" s="2" t="s">
        <v>17</v>
      </c>
    </row>
    <row r="6" spans="1:18" x14ac:dyDescent="0.3">
      <c r="A6" s="2" t="s">
        <v>30</v>
      </c>
      <c r="B6" s="2" t="s">
        <v>25</v>
      </c>
      <c r="C6" s="2" t="s">
        <v>12</v>
      </c>
      <c r="D6" s="2">
        <v>5</v>
      </c>
      <c r="E6" s="2">
        <v>6345416297</v>
      </c>
      <c r="F6" s="2" t="s">
        <v>19</v>
      </c>
      <c r="G6" s="2" t="s">
        <v>14</v>
      </c>
      <c r="H6" s="2" t="s">
        <v>21</v>
      </c>
      <c r="I6" s="2" t="s">
        <v>22</v>
      </c>
      <c r="J6" s="2" t="s">
        <v>22</v>
      </c>
      <c r="M6" s="2"/>
      <c r="N6" s="5"/>
      <c r="O6" s="5" t="s">
        <v>628</v>
      </c>
    </row>
    <row r="7" spans="1:18" x14ac:dyDescent="0.3">
      <c r="A7" s="2" t="s">
        <v>31</v>
      </c>
      <c r="B7" s="2" t="s">
        <v>32</v>
      </c>
      <c r="C7" s="2" t="s">
        <v>33</v>
      </c>
      <c r="D7" s="2">
        <v>7</v>
      </c>
      <c r="E7" s="2">
        <v>9825291736</v>
      </c>
      <c r="F7" s="2" t="s">
        <v>19</v>
      </c>
      <c r="G7" s="2" t="s">
        <v>20</v>
      </c>
      <c r="H7" s="2" t="s">
        <v>15</v>
      </c>
      <c r="I7" s="2" t="s">
        <v>22</v>
      </c>
      <c r="J7" s="2" t="s">
        <v>23</v>
      </c>
      <c r="M7" s="5" t="s">
        <v>627</v>
      </c>
      <c r="N7" s="5"/>
      <c r="O7" s="5">
        <f>COUNTIFS(C2:C601,"CSE",B2:B601,"2nd",F2:F601,"Paid")</f>
        <v>16</v>
      </c>
    </row>
    <row r="8" spans="1:18" x14ac:dyDescent="0.3">
      <c r="A8" s="2" t="s">
        <v>34</v>
      </c>
      <c r="B8" s="2" t="s">
        <v>35</v>
      </c>
      <c r="C8" s="2" t="s">
        <v>36</v>
      </c>
      <c r="D8" s="2">
        <v>1</v>
      </c>
      <c r="E8" s="2">
        <v>6196589644</v>
      </c>
      <c r="F8" s="2" t="s">
        <v>19</v>
      </c>
      <c r="G8" s="2" t="s">
        <v>14</v>
      </c>
      <c r="H8" s="2" t="s">
        <v>21</v>
      </c>
      <c r="I8" s="2" t="s">
        <v>37</v>
      </c>
      <c r="J8" s="2" t="s">
        <v>23</v>
      </c>
    </row>
    <row r="9" spans="1:18" x14ac:dyDescent="0.3">
      <c r="A9" s="2" t="s">
        <v>38</v>
      </c>
      <c r="B9" s="2" t="s">
        <v>35</v>
      </c>
      <c r="C9" s="2" t="s">
        <v>12</v>
      </c>
      <c r="D9" s="2">
        <v>1</v>
      </c>
      <c r="E9" s="2">
        <v>8951489573</v>
      </c>
      <c r="F9" s="2" t="s">
        <v>13</v>
      </c>
      <c r="G9" s="2" t="s">
        <v>14</v>
      </c>
      <c r="H9" s="2" t="s">
        <v>15</v>
      </c>
      <c r="I9" s="2" t="s">
        <v>29</v>
      </c>
      <c r="J9" s="2" t="s">
        <v>17</v>
      </c>
      <c r="L9" s="25" t="s">
        <v>631</v>
      </c>
      <c r="M9" s="25"/>
      <c r="N9" s="25"/>
      <c r="O9" s="25"/>
      <c r="P9" s="25"/>
      <c r="Q9" s="25"/>
      <c r="R9" s="25"/>
    </row>
    <row r="10" spans="1:18" x14ac:dyDescent="0.3">
      <c r="A10" s="2" t="s">
        <v>39</v>
      </c>
      <c r="B10" s="2" t="s">
        <v>35</v>
      </c>
      <c r="C10" s="2" t="s">
        <v>36</v>
      </c>
      <c r="D10" s="2">
        <v>1</v>
      </c>
      <c r="E10" s="2">
        <v>6429670666</v>
      </c>
      <c r="F10" s="2" t="s">
        <v>13</v>
      </c>
      <c r="G10" s="2" t="s">
        <v>20</v>
      </c>
      <c r="H10" s="2" t="s">
        <v>15</v>
      </c>
      <c r="I10" s="2" t="s">
        <v>27</v>
      </c>
      <c r="J10" s="2" t="s">
        <v>17</v>
      </c>
    </row>
    <row r="11" spans="1:18" x14ac:dyDescent="0.3">
      <c r="A11" s="2" t="s">
        <v>40</v>
      </c>
      <c r="B11" s="2" t="s">
        <v>11</v>
      </c>
      <c r="C11" s="2" t="s">
        <v>33</v>
      </c>
      <c r="D11" s="2">
        <v>3</v>
      </c>
      <c r="E11" s="2">
        <v>8887349101</v>
      </c>
      <c r="F11" s="2" t="s">
        <v>19</v>
      </c>
      <c r="G11" s="2" t="s">
        <v>14</v>
      </c>
      <c r="H11" s="2" t="s">
        <v>15</v>
      </c>
      <c r="I11" s="2" t="s">
        <v>41</v>
      </c>
      <c r="J11" s="2" t="s">
        <v>22</v>
      </c>
      <c r="L11" s="5"/>
      <c r="M11" s="5"/>
      <c r="N11" s="5"/>
      <c r="O11" s="5" t="s">
        <v>633</v>
      </c>
      <c r="P11" s="5"/>
      <c r="Q11" s="5"/>
    </row>
    <row r="12" spans="1:18" x14ac:dyDescent="0.3">
      <c r="A12" s="2" t="s">
        <v>42</v>
      </c>
      <c r="B12" s="2" t="s">
        <v>32</v>
      </c>
      <c r="C12" s="2" t="s">
        <v>43</v>
      </c>
      <c r="D12" s="2">
        <v>7</v>
      </c>
      <c r="E12" s="2">
        <v>6298823994</v>
      </c>
      <c r="F12" s="2" t="s">
        <v>19</v>
      </c>
      <c r="G12" s="2" t="s">
        <v>20</v>
      </c>
      <c r="H12" s="2" t="s">
        <v>15</v>
      </c>
      <c r="I12" s="2" t="s">
        <v>37</v>
      </c>
      <c r="J12" s="2" t="s">
        <v>22</v>
      </c>
      <c r="L12" s="5"/>
      <c r="M12" s="2" t="s">
        <v>632</v>
      </c>
      <c r="N12" s="5"/>
      <c r="O12" s="5"/>
      <c r="P12" s="5"/>
      <c r="Q12" s="5"/>
    </row>
    <row r="13" spans="1:18" x14ac:dyDescent="0.3">
      <c r="A13" s="2" t="s">
        <v>44</v>
      </c>
      <c r="B13" s="2" t="s">
        <v>25</v>
      </c>
      <c r="C13" s="2" t="s">
        <v>43</v>
      </c>
      <c r="D13" s="2">
        <v>5</v>
      </c>
      <c r="E13" s="2">
        <v>8691092011</v>
      </c>
      <c r="F13" s="2" t="s">
        <v>19</v>
      </c>
      <c r="G13" s="2" t="s">
        <v>14</v>
      </c>
      <c r="H13" s="2" t="s">
        <v>21</v>
      </c>
      <c r="I13" s="2" t="s">
        <v>16</v>
      </c>
      <c r="J13" s="2" t="s">
        <v>17</v>
      </c>
      <c r="L13" s="5"/>
      <c r="M13" s="2" t="s">
        <v>36</v>
      </c>
      <c r="N13" s="5"/>
      <c r="O13" s="5">
        <f>COUNTIFS(C2:C601,"CSE",G2:G601,"Yes")</f>
        <v>44</v>
      </c>
      <c r="P13" s="5"/>
      <c r="Q13" s="5"/>
    </row>
    <row r="14" spans="1:18" x14ac:dyDescent="0.3">
      <c r="A14" s="2" t="s">
        <v>45</v>
      </c>
      <c r="B14" s="2" t="s">
        <v>32</v>
      </c>
      <c r="C14" s="2" t="s">
        <v>12</v>
      </c>
      <c r="D14" s="2">
        <v>7</v>
      </c>
      <c r="E14" s="2">
        <v>9663364571</v>
      </c>
      <c r="F14" s="2" t="s">
        <v>13</v>
      </c>
      <c r="G14" s="2" t="s">
        <v>14</v>
      </c>
      <c r="H14" s="2" t="s">
        <v>21</v>
      </c>
      <c r="I14" s="2" t="s">
        <v>27</v>
      </c>
      <c r="J14" s="2" t="s">
        <v>22</v>
      </c>
      <c r="L14" s="5"/>
      <c r="M14" s="2" t="s">
        <v>33</v>
      </c>
      <c r="N14" s="5"/>
      <c r="O14" s="5">
        <f>COUNTIFS(C2:C601,"ECE",G2:G601,"Yes")</f>
        <v>58</v>
      </c>
      <c r="P14" s="5"/>
      <c r="Q14" s="5"/>
    </row>
    <row r="15" spans="1:18" x14ac:dyDescent="0.3">
      <c r="A15" s="2" t="s">
        <v>46</v>
      </c>
      <c r="B15" s="2" t="s">
        <v>11</v>
      </c>
      <c r="C15" s="2" t="s">
        <v>36</v>
      </c>
      <c r="D15" s="2">
        <v>3</v>
      </c>
      <c r="E15" s="2">
        <v>9798746487</v>
      </c>
      <c r="F15" s="2" t="s">
        <v>19</v>
      </c>
      <c r="G15" s="2" t="s">
        <v>20</v>
      </c>
      <c r="H15" s="2" t="s">
        <v>21</v>
      </c>
      <c r="I15" s="2" t="s">
        <v>37</v>
      </c>
      <c r="J15" s="2" t="s">
        <v>22</v>
      </c>
      <c r="L15" s="5"/>
      <c r="M15" s="2" t="s">
        <v>12</v>
      </c>
      <c r="N15" s="5"/>
      <c r="O15" s="5">
        <f>COUNTIFS(C2:C601,"ME",G2:G601,"Yes")</f>
        <v>60</v>
      </c>
      <c r="P15" s="5"/>
      <c r="Q15" s="5"/>
    </row>
    <row r="16" spans="1:18" x14ac:dyDescent="0.3">
      <c r="A16" s="2" t="s">
        <v>47</v>
      </c>
      <c r="B16" s="2" t="s">
        <v>32</v>
      </c>
      <c r="C16" s="2" t="s">
        <v>36</v>
      </c>
      <c r="D16" s="2">
        <v>7</v>
      </c>
      <c r="E16" s="2">
        <v>6799619179</v>
      </c>
      <c r="F16" s="2" t="s">
        <v>13</v>
      </c>
      <c r="G16" s="2" t="s">
        <v>14</v>
      </c>
      <c r="H16" s="2" t="s">
        <v>21</v>
      </c>
      <c r="I16" s="2" t="s">
        <v>16</v>
      </c>
      <c r="J16" s="2" t="s">
        <v>23</v>
      </c>
      <c r="L16" s="5"/>
      <c r="M16" s="2" t="s">
        <v>43</v>
      </c>
      <c r="N16" s="5"/>
      <c r="O16" s="5">
        <f>COUNTIFS(C2:C601,"EE",G2:G601,"Yes")</f>
        <v>51</v>
      </c>
      <c r="P16" s="5"/>
      <c r="Q16" s="5"/>
    </row>
    <row r="17" spans="1:17" x14ac:dyDescent="0.3">
      <c r="A17" s="2" t="s">
        <v>48</v>
      </c>
      <c r="B17" s="2" t="s">
        <v>35</v>
      </c>
      <c r="C17" s="2" t="s">
        <v>12</v>
      </c>
      <c r="D17" s="2">
        <v>1</v>
      </c>
      <c r="E17" s="2">
        <v>7611578541</v>
      </c>
      <c r="F17" s="2" t="s">
        <v>19</v>
      </c>
      <c r="G17" s="2" t="s">
        <v>14</v>
      </c>
      <c r="H17" s="2" t="s">
        <v>15</v>
      </c>
      <c r="I17" s="2" t="s">
        <v>41</v>
      </c>
      <c r="J17" s="2" t="s">
        <v>22</v>
      </c>
      <c r="L17" s="5"/>
      <c r="M17" s="2" t="s">
        <v>26</v>
      </c>
      <c r="N17" s="5"/>
      <c r="O17" s="5">
        <f>COUNTIFS(C2:C601,"CE",G2:G601,"Yes")</f>
        <v>62</v>
      </c>
      <c r="P17" s="5"/>
      <c r="Q17" s="5"/>
    </row>
    <row r="18" spans="1:17" x14ac:dyDescent="0.3">
      <c r="A18" s="2" t="s">
        <v>49</v>
      </c>
      <c r="B18" s="2" t="s">
        <v>32</v>
      </c>
      <c r="C18" s="2" t="s">
        <v>43</v>
      </c>
      <c r="D18" s="2">
        <v>7</v>
      </c>
      <c r="E18" s="2">
        <v>9406157743</v>
      </c>
      <c r="F18" s="2" t="s">
        <v>13</v>
      </c>
      <c r="G18" s="2" t="s">
        <v>14</v>
      </c>
      <c r="H18" s="2" t="s">
        <v>15</v>
      </c>
      <c r="I18" s="2" t="s">
        <v>22</v>
      </c>
      <c r="J18" s="2" t="s">
        <v>22</v>
      </c>
      <c r="L18" s="5"/>
      <c r="M18" s="5"/>
      <c r="N18" s="5"/>
      <c r="O18" s="5"/>
      <c r="P18" s="5"/>
      <c r="Q18" s="5"/>
    </row>
    <row r="19" spans="1:17" x14ac:dyDescent="0.3">
      <c r="A19" s="2" t="s">
        <v>50</v>
      </c>
      <c r="B19" s="2" t="s">
        <v>32</v>
      </c>
      <c r="C19" s="2" t="s">
        <v>12</v>
      </c>
      <c r="D19" s="2">
        <v>7</v>
      </c>
      <c r="E19" s="2">
        <v>8427455838</v>
      </c>
      <c r="F19" s="2" t="s">
        <v>19</v>
      </c>
      <c r="G19" s="2" t="s">
        <v>20</v>
      </c>
      <c r="H19" s="2" t="s">
        <v>15</v>
      </c>
      <c r="I19" s="2" t="s">
        <v>41</v>
      </c>
      <c r="J19" s="2" t="s">
        <v>22</v>
      </c>
    </row>
    <row r="20" spans="1:17" x14ac:dyDescent="0.3">
      <c r="A20" s="2" t="s">
        <v>51</v>
      </c>
      <c r="B20" s="2" t="s">
        <v>11</v>
      </c>
      <c r="C20" s="2" t="s">
        <v>36</v>
      </c>
      <c r="D20" s="2">
        <v>3</v>
      </c>
      <c r="E20" s="2">
        <v>7545515893</v>
      </c>
      <c r="F20" s="2" t="s">
        <v>19</v>
      </c>
      <c r="G20" s="2" t="s">
        <v>20</v>
      </c>
      <c r="H20" s="2" t="s">
        <v>21</v>
      </c>
      <c r="I20" s="2" t="s">
        <v>22</v>
      </c>
      <c r="J20" s="2" t="s">
        <v>23</v>
      </c>
    </row>
    <row r="21" spans="1:17" x14ac:dyDescent="0.3">
      <c r="A21" s="2" t="s">
        <v>52</v>
      </c>
      <c r="B21" s="2" t="s">
        <v>35</v>
      </c>
      <c r="C21" s="2" t="s">
        <v>43</v>
      </c>
      <c r="D21" s="2">
        <v>1</v>
      </c>
      <c r="E21" s="2">
        <v>8168011907</v>
      </c>
      <c r="F21" s="2" t="s">
        <v>13</v>
      </c>
      <c r="G21" s="2" t="s">
        <v>14</v>
      </c>
      <c r="H21" s="2" t="s">
        <v>21</v>
      </c>
      <c r="I21" s="2" t="s">
        <v>29</v>
      </c>
      <c r="J21" s="2" t="s">
        <v>17</v>
      </c>
    </row>
    <row r="22" spans="1:17" x14ac:dyDescent="0.3">
      <c r="A22" s="2" t="s">
        <v>53</v>
      </c>
      <c r="B22" s="2" t="s">
        <v>11</v>
      </c>
      <c r="C22" s="2" t="s">
        <v>12</v>
      </c>
      <c r="D22" s="2">
        <v>3</v>
      </c>
      <c r="E22" s="2">
        <v>7831255140</v>
      </c>
      <c r="F22" s="2" t="s">
        <v>19</v>
      </c>
      <c r="G22" s="2" t="s">
        <v>14</v>
      </c>
      <c r="H22" s="2" t="s">
        <v>15</v>
      </c>
      <c r="I22" s="2" t="s">
        <v>22</v>
      </c>
      <c r="J22" s="2" t="s">
        <v>22</v>
      </c>
      <c r="L22" s="25" t="s">
        <v>610</v>
      </c>
      <c r="M22" s="25"/>
      <c r="N22" s="25"/>
      <c r="O22" s="25"/>
      <c r="P22" s="25"/>
    </row>
    <row r="23" spans="1:17" x14ac:dyDescent="0.3">
      <c r="A23" s="2" t="s">
        <v>54</v>
      </c>
      <c r="B23" s="2" t="s">
        <v>32</v>
      </c>
      <c r="C23" s="2" t="s">
        <v>36</v>
      </c>
      <c r="D23" s="2">
        <v>7</v>
      </c>
      <c r="E23" s="2">
        <v>8613857136</v>
      </c>
      <c r="F23" s="2" t="s">
        <v>13</v>
      </c>
      <c r="G23" s="2" t="s">
        <v>20</v>
      </c>
      <c r="H23" s="2" t="s">
        <v>15</v>
      </c>
      <c r="I23" s="2" t="s">
        <v>22</v>
      </c>
      <c r="J23" s="2" t="s">
        <v>23</v>
      </c>
      <c r="L23" s="21" t="s">
        <v>640</v>
      </c>
      <c r="M23" s="20"/>
      <c r="N23" s="24"/>
    </row>
    <row r="24" spans="1:17" x14ac:dyDescent="0.3">
      <c r="A24" s="2" t="s">
        <v>55</v>
      </c>
      <c r="B24" s="2" t="s">
        <v>35</v>
      </c>
      <c r="C24" s="2" t="s">
        <v>12</v>
      </c>
      <c r="D24" s="2">
        <v>1</v>
      </c>
      <c r="E24" s="2">
        <v>6412964213</v>
      </c>
      <c r="F24" s="2" t="s">
        <v>13</v>
      </c>
      <c r="G24" s="2" t="s">
        <v>20</v>
      </c>
      <c r="H24" s="2" t="s">
        <v>15</v>
      </c>
      <c r="I24" s="2" t="s">
        <v>41</v>
      </c>
      <c r="J24" s="2" t="s">
        <v>22</v>
      </c>
      <c r="L24" s="21" t="s">
        <v>2</v>
      </c>
      <c r="M24" s="21" t="s">
        <v>8</v>
      </c>
      <c r="N24" s="24" t="s">
        <v>641</v>
      </c>
    </row>
    <row r="25" spans="1:17" x14ac:dyDescent="0.3">
      <c r="A25" s="2" t="s">
        <v>56</v>
      </c>
      <c r="B25" s="2" t="s">
        <v>32</v>
      </c>
      <c r="C25" s="2" t="s">
        <v>33</v>
      </c>
      <c r="D25" s="2">
        <v>7</v>
      </c>
      <c r="E25" s="2">
        <v>8066276413</v>
      </c>
      <c r="F25" s="2" t="s">
        <v>13</v>
      </c>
      <c r="G25" s="2" t="s">
        <v>20</v>
      </c>
      <c r="H25" s="2" t="s">
        <v>15</v>
      </c>
      <c r="I25" s="2" t="s">
        <v>37</v>
      </c>
      <c r="J25" s="2" t="s">
        <v>17</v>
      </c>
      <c r="L25" s="19" t="s">
        <v>26</v>
      </c>
      <c r="M25" s="19" t="s">
        <v>16</v>
      </c>
      <c r="N25" s="24">
        <v>12</v>
      </c>
    </row>
    <row r="26" spans="1:17" x14ac:dyDescent="0.3">
      <c r="A26" s="2" t="s">
        <v>57</v>
      </c>
      <c r="B26" s="2" t="s">
        <v>32</v>
      </c>
      <c r="C26" s="2" t="s">
        <v>33</v>
      </c>
      <c r="D26" s="2">
        <v>7</v>
      </c>
      <c r="E26" s="2">
        <v>6921494613</v>
      </c>
      <c r="F26" s="2" t="s">
        <v>13</v>
      </c>
      <c r="G26" s="2" t="s">
        <v>14</v>
      </c>
      <c r="H26" s="2" t="s">
        <v>15</v>
      </c>
      <c r="I26" s="2" t="s">
        <v>41</v>
      </c>
      <c r="J26" s="2" t="s">
        <v>23</v>
      </c>
      <c r="L26" s="39"/>
      <c r="M26" s="22" t="s">
        <v>41</v>
      </c>
      <c r="N26" s="40">
        <v>18</v>
      </c>
    </row>
    <row r="27" spans="1:17" x14ac:dyDescent="0.3">
      <c r="A27" s="2" t="s">
        <v>58</v>
      </c>
      <c r="B27" s="2" t="s">
        <v>25</v>
      </c>
      <c r="C27" s="2" t="s">
        <v>33</v>
      </c>
      <c r="D27" s="2">
        <v>5</v>
      </c>
      <c r="E27" s="2">
        <v>9046695504</v>
      </c>
      <c r="F27" s="2" t="s">
        <v>13</v>
      </c>
      <c r="G27" s="2" t="s">
        <v>20</v>
      </c>
      <c r="H27" s="2" t="s">
        <v>15</v>
      </c>
      <c r="I27" s="2" t="s">
        <v>22</v>
      </c>
      <c r="J27" s="2" t="s">
        <v>17</v>
      </c>
      <c r="L27" s="39"/>
      <c r="M27" s="22" t="s">
        <v>29</v>
      </c>
      <c r="N27" s="40">
        <v>17</v>
      </c>
    </row>
    <row r="28" spans="1:17" x14ac:dyDescent="0.3">
      <c r="A28" s="2" t="s">
        <v>59</v>
      </c>
      <c r="B28" s="2" t="s">
        <v>25</v>
      </c>
      <c r="C28" s="2" t="s">
        <v>12</v>
      </c>
      <c r="D28" s="2">
        <v>5</v>
      </c>
      <c r="E28" s="2">
        <v>7695328163</v>
      </c>
      <c r="F28" s="2" t="s">
        <v>19</v>
      </c>
      <c r="G28" s="2" t="s">
        <v>20</v>
      </c>
      <c r="H28" s="2" t="s">
        <v>15</v>
      </c>
      <c r="I28" s="2" t="s">
        <v>37</v>
      </c>
      <c r="J28" s="2" t="s">
        <v>17</v>
      </c>
      <c r="L28" s="39"/>
      <c r="M28" s="22" t="s">
        <v>22</v>
      </c>
      <c r="N28" s="40">
        <v>46</v>
      </c>
    </row>
    <row r="29" spans="1:17" x14ac:dyDescent="0.3">
      <c r="A29" s="2" t="s">
        <v>60</v>
      </c>
      <c r="B29" s="2" t="s">
        <v>32</v>
      </c>
      <c r="C29" s="2" t="s">
        <v>33</v>
      </c>
      <c r="D29" s="2">
        <v>7</v>
      </c>
      <c r="E29" s="2">
        <v>7895155500</v>
      </c>
      <c r="F29" s="2" t="s">
        <v>19</v>
      </c>
      <c r="G29" s="2" t="s">
        <v>14</v>
      </c>
      <c r="H29" s="2" t="s">
        <v>15</v>
      </c>
      <c r="I29" s="2" t="s">
        <v>29</v>
      </c>
      <c r="J29" s="2" t="s">
        <v>23</v>
      </c>
      <c r="L29" s="39"/>
      <c r="M29" s="22" t="s">
        <v>37</v>
      </c>
      <c r="N29" s="40">
        <v>20</v>
      </c>
    </row>
    <row r="30" spans="1:17" x14ac:dyDescent="0.3">
      <c r="A30" s="2" t="s">
        <v>61</v>
      </c>
      <c r="B30" s="2" t="s">
        <v>35</v>
      </c>
      <c r="C30" s="2" t="s">
        <v>26</v>
      </c>
      <c r="D30" s="2">
        <v>1</v>
      </c>
      <c r="E30" s="2">
        <v>7271880462</v>
      </c>
      <c r="F30" s="2" t="s">
        <v>13</v>
      </c>
      <c r="G30" s="2" t="s">
        <v>14</v>
      </c>
      <c r="H30" s="2" t="s">
        <v>21</v>
      </c>
      <c r="I30" s="2" t="s">
        <v>16</v>
      </c>
      <c r="J30" s="2" t="s">
        <v>23</v>
      </c>
      <c r="L30" s="39"/>
      <c r="M30" s="22" t="s">
        <v>27</v>
      </c>
      <c r="N30" s="40">
        <v>18</v>
      </c>
    </row>
    <row r="31" spans="1:17" x14ac:dyDescent="0.3">
      <c r="A31" s="2" t="s">
        <v>62</v>
      </c>
      <c r="B31" s="2" t="s">
        <v>32</v>
      </c>
      <c r="C31" s="2" t="s">
        <v>36</v>
      </c>
      <c r="D31" s="2">
        <v>7</v>
      </c>
      <c r="E31" s="2">
        <v>6680106355</v>
      </c>
      <c r="F31" s="2" t="s">
        <v>13</v>
      </c>
      <c r="G31" s="2" t="s">
        <v>14</v>
      </c>
      <c r="H31" s="2" t="s">
        <v>21</v>
      </c>
      <c r="I31" s="2" t="s">
        <v>16</v>
      </c>
      <c r="J31" s="2" t="s">
        <v>22</v>
      </c>
      <c r="L31" s="19" t="s">
        <v>635</v>
      </c>
      <c r="M31" s="20"/>
      <c r="N31" s="24">
        <v>131</v>
      </c>
    </row>
    <row r="32" spans="1:17" x14ac:dyDescent="0.3">
      <c r="A32" s="2" t="s">
        <v>63</v>
      </c>
      <c r="B32" s="2" t="s">
        <v>32</v>
      </c>
      <c r="C32" s="2" t="s">
        <v>36</v>
      </c>
      <c r="D32" s="2">
        <v>7</v>
      </c>
      <c r="E32" s="2">
        <v>7412875404</v>
      </c>
      <c r="F32" s="2" t="s">
        <v>19</v>
      </c>
      <c r="G32" s="2" t="s">
        <v>20</v>
      </c>
      <c r="H32" s="2" t="s">
        <v>21</v>
      </c>
      <c r="I32" s="2" t="s">
        <v>27</v>
      </c>
      <c r="J32" s="2" t="s">
        <v>22</v>
      </c>
      <c r="L32" s="19" t="s">
        <v>36</v>
      </c>
      <c r="M32" s="19" t="s">
        <v>16</v>
      </c>
      <c r="N32" s="24">
        <v>12</v>
      </c>
    </row>
    <row r="33" spans="1:14" x14ac:dyDescent="0.3">
      <c r="A33" s="2" t="s">
        <v>64</v>
      </c>
      <c r="B33" s="2" t="s">
        <v>11</v>
      </c>
      <c r="C33" s="2" t="s">
        <v>36</v>
      </c>
      <c r="D33" s="2">
        <v>3</v>
      </c>
      <c r="E33" s="2">
        <v>7169453702</v>
      </c>
      <c r="F33" s="2" t="s">
        <v>19</v>
      </c>
      <c r="G33" s="2" t="s">
        <v>20</v>
      </c>
      <c r="H33" s="2" t="s">
        <v>15</v>
      </c>
      <c r="I33" s="2" t="s">
        <v>22</v>
      </c>
      <c r="J33" s="2" t="s">
        <v>17</v>
      </c>
      <c r="L33" s="39"/>
      <c r="M33" s="22" t="s">
        <v>41</v>
      </c>
      <c r="N33" s="40">
        <v>17</v>
      </c>
    </row>
    <row r="34" spans="1:14" x14ac:dyDescent="0.3">
      <c r="A34" s="2" t="s">
        <v>56</v>
      </c>
      <c r="B34" s="2" t="s">
        <v>35</v>
      </c>
      <c r="C34" s="2" t="s">
        <v>12</v>
      </c>
      <c r="D34" s="2">
        <v>1</v>
      </c>
      <c r="E34" s="2">
        <v>9089863696</v>
      </c>
      <c r="F34" s="2" t="s">
        <v>13</v>
      </c>
      <c r="G34" s="2" t="s">
        <v>20</v>
      </c>
      <c r="H34" s="2" t="s">
        <v>15</v>
      </c>
      <c r="I34" s="2" t="s">
        <v>29</v>
      </c>
      <c r="J34" s="2" t="s">
        <v>22</v>
      </c>
      <c r="L34" s="39"/>
      <c r="M34" s="22" t="s">
        <v>29</v>
      </c>
      <c r="N34" s="40">
        <v>14</v>
      </c>
    </row>
    <row r="35" spans="1:14" x14ac:dyDescent="0.3">
      <c r="A35" s="2" t="s">
        <v>65</v>
      </c>
      <c r="B35" s="2" t="s">
        <v>35</v>
      </c>
      <c r="C35" s="2" t="s">
        <v>36</v>
      </c>
      <c r="D35" s="2">
        <v>1</v>
      </c>
      <c r="E35" s="2">
        <v>7961237762</v>
      </c>
      <c r="F35" s="2" t="s">
        <v>19</v>
      </c>
      <c r="G35" s="2" t="s">
        <v>20</v>
      </c>
      <c r="H35" s="2" t="s">
        <v>21</v>
      </c>
      <c r="I35" s="2" t="s">
        <v>22</v>
      </c>
      <c r="J35" s="2" t="s">
        <v>22</v>
      </c>
      <c r="L35" s="39"/>
      <c r="M35" s="22" t="s">
        <v>22</v>
      </c>
      <c r="N35" s="40">
        <v>37</v>
      </c>
    </row>
    <row r="36" spans="1:14" x14ac:dyDescent="0.3">
      <c r="A36" s="2" t="s">
        <v>66</v>
      </c>
      <c r="B36" s="2" t="s">
        <v>11</v>
      </c>
      <c r="C36" s="2" t="s">
        <v>36</v>
      </c>
      <c r="D36" s="2">
        <v>3</v>
      </c>
      <c r="E36" s="2">
        <v>9248280618</v>
      </c>
      <c r="F36" s="2" t="s">
        <v>19</v>
      </c>
      <c r="G36" s="2" t="s">
        <v>14</v>
      </c>
      <c r="H36" s="2" t="s">
        <v>15</v>
      </c>
      <c r="I36" s="2" t="s">
        <v>22</v>
      </c>
      <c r="J36" s="2" t="s">
        <v>23</v>
      </c>
      <c r="L36" s="39"/>
      <c r="M36" s="22" t="s">
        <v>37</v>
      </c>
      <c r="N36" s="40">
        <v>16</v>
      </c>
    </row>
    <row r="37" spans="1:14" x14ac:dyDescent="0.3">
      <c r="A37" s="2" t="s">
        <v>67</v>
      </c>
      <c r="B37" s="2" t="s">
        <v>35</v>
      </c>
      <c r="C37" s="2" t="s">
        <v>33</v>
      </c>
      <c r="D37" s="2">
        <v>1</v>
      </c>
      <c r="E37" s="2">
        <v>8834834922</v>
      </c>
      <c r="F37" s="2" t="s">
        <v>19</v>
      </c>
      <c r="G37" s="2" t="s">
        <v>20</v>
      </c>
      <c r="H37" s="2" t="s">
        <v>15</v>
      </c>
      <c r="I37" s="2" t="s">
        <v>22</v>
      </c>
      <c r="J37" s="2" t="s">
        <v>22</v>
      </c>
      <c r="L37" s="39"/>
      <c r="M37" s="22" t="s">
        <v>27</v>
      </c>
      <c r="N37" s="40">
        <v>12</v>
      </c>
    </row>
    <row r="38" spans="1:14" x14ac:dyDescent="0.3">
      <c r="A38" s="2" t="s">
        <v>68</v>
      </c>
      <c r="B38" s="2" t="s">
        <v>11</v>
      </c>
      <c r="C38" s="2" t="s">
        <v>33</v>
      </c>
      <c r="D38" s="2">
        <v>3</v>
      </c>
      <c r="E38" s="2">
        <v>7056970334</v>
      </c>
      <c r="F38" s="2" t="s">
        <v>13</v>
      </c>
      <c r="G38" s="2" t="s">
        <v>20</v>
      </c>
      <c r="H38" s="2" t="s">
        <v>21</v>
      </c>
      <c r="I38" s="2" t="s">
        <v>41</v>
      </c>
      <c r="J38" s="2" t="s">
        <v>23</v>
      </c>
      <c r="L38" s="19" t="s">
        <v>636</v>
      </c>
      <c r="M38" s="20"/>
      <c r="N38" s="24">
        <v>108</v>
      </c>
    </row>
    <row r="39" spans="1:14" x14ac:dyDescent="0.3">
      <c r="A39" s="2" t="s">
        <v>69</v>
      </c>
      <c r="B39" s="2" t="s">
        <v>11</v>
      </c>
      <c r="C39" s="2" t="s">
        <v>26</v>
      </c>
      <c r="D39" s="2">
        <v>3</v>
      </c>
      <c r="E39" s="2">
        <v>9024007668</v>
      </c>
      <c r="F39" s="2" t="s">
        <v>19</v>
      </c>
      <c r="G39" s="2" t="s">
        <v>20</v>
      </c>
      <c r="H39" s="2" t="s">
        <v>15</v>
      </c>
      <c r="I39" s="2" t="s">
        <v>41</v>
      </c>
      <c r="J39" s="2" t="s">
        <v>17</v>
      </c>
      <c r="L39" s="19" t="s">
        <v>33</v>
      </c>
      <c r="M39" s="19" t="s">
        <v>16</v>
      </c>
      <c r="N39" s="24">
        <v>10</v>
      </c>
    </row>
    <row r="40" spans="1:14" x14ac:dyDescent="0.3">
      <c r="A40" s="2" t="s">
        <v>68</v>
      </c>
      <c r="B40" s="2" t="s">
        <v>35</v>
      </c>
      <c r="C40" s="2" t="s">
        <v>12</v>
      </c>
      <c r="D40" s="2">
        <v>1</v>
      </c>
      <c r="E40" s="2">
        <v>8716524803</v>
      </c>
      <c r="F40" s="2" t="s">
        <v>13</v>
      </c>
      <c r="G40" s="2" t="s">
        <v>14</v>
      </c>
      <c r="H40" s="2" t="s">
        <v>21</v>
      </c>
      <c r="I40" s="2" t="s">
        <v>22</v>
      </c>
      <c r="J40" s="2" t="s">
        <v>17</v>
      </c>
      <c r="L40" s="39"/>
      <c r="M40" s="22" t="s">
        <v>41</v>
      </c>
      <c r="N40" s="40">
        <v>16</v>
      </c>
    </row>
    <row r="41" spans="1:14" x14ac:dyDescent="0.3">
      <c r="A41" s="2" t="s">
        <v>70</v>
      </c>
      <c r="B41" s="2" t="s">
        <v>32</v>
      </c>
      <c r="C41" s="2" t="s">
        <v>33</v>
      </c>
      <c r="D41" s="2">
        <v>7</v>
      </c>
      <c r="E41" s="2">
        <v>9152172923</v>
      </c>
      <c r="F41" s="2" t="s">
        <v>19</v>
      </c>
      <c r="G41" s="2" t="s">
        <v>14</v>
      </c>
      <c r="H41" s="2" t="s">
        <v>15</v>
      </c>
      <c r="I41" s="2" t="s">
        <v>22</v>
      </c>
      <c r="J41" s="2" t="s">
        <v>23</v>
      </c>
      <c r="L41" s="39"/>
      <c r="M41" s="22" t="s">
        <v>29</v>
      </c>
      <c r="N41" s="40">
        <v>11</v>
      </c>
    </row>
    <row r="42" spans="1:14" x14ac:dyDescent="0.3">
      <c r="A42" s="2" t="s">
        <v>71</v>
      </c>
      <c r="B42" s="2" t="s">
        <v>32</v>
      </c>
      <c r="C42" s="2" t="s">
        <v>26</v>
      </c>
      <c r="D42" s="2">
        <v>7</v>
      </c>
      <c r="E42" s="2">
        <v>9629974880</v>
      </c>
      <c r="F42" s="2" t="s">
        <v>19</v>
      </c>
      <c r="G42" s="2" t="s">
        <v>20</v>
      </c>
      <c r="H42" s="2" t="s">
        <v>15</v>
      </c>
      <c r="I42" s="2" t="s">
        <v>37</v>
      </c>
      <c r="J42" s="2" t="s">
        <v>23</v>
      </c>
      <c r="L42" s="39"/>
      <c r="M42" s="22" t="s">
        <v>22</v>
      </c>
      <c r="N42" s="40">
        <v>40</v>
      </c>
    </row>
    <row r="43" spans="1:14" x14ac:dyDescent="0.3">
      <c r="A43" s="2" t="s">
        <v>72</v>
      </c>
      <c r="B43" s="2" t="s">
        <v>35</v>
      </c>
      <c r="C43" s="2" t="s">
        <v>26</v>
      </c>
      <c r="D43" s="2">
        <v>1</v>
      </c>
      <c r="E43" s="2">
        <v>6510874876</v>
      </c>
      <c r="F43" s="2" t="s">
        <v>13</v>
      </c>
      <c r="G43" s="2" t="s">
        <v>14</v>
      </c>
      <c r="H43" s="2" t="s">
        <v>15</v>
      </c>
      <c r="I43" s="2" t="s">
        <v>41</v>
      </c>
      <c r="J43" s="2" t="s">
        <v>22</v>
      </c>
      <c r="L43" s="39"/>
      <c r="M43" s="22" t="s">
        <v>37</v>
      </c>
      <c r="N43" s="40">
        <v>19</v>
      </c>
    </row>
    <row r="44" spans="1:14" x14ac:dyDescent="0.3">
      <c r="A44" s="2" t="s">
        <v>73</v>
      </c>
      <c r="B44" s="2" t="s">
        <v>32</v>
      </c>
      <c r="C44" s="2" t="s">
        <v>36</v>
      </c>
      <c r="D44" s="2">
        <v>7</v>
      </c>
      <c r="E44" s="2">
        <v>7259224000</v>
      </c>
      <c r="F44" s="2" t="s">
        <v>13</v>
      </c>
      <c r="G44" s="2" t="s">
        <v>14</v>
      </c>
      <c r="H44" s="2" t="s">
        <v>15</v>
      </c>
      <c r="I44" s="2" t="s">
        <v>29</v>
      </c>
      <c r="J44" s="2" t="s">
        <v>22</v>
      </c>
      <c r="L44" s="39"/>
      <c r="M44" s="22" t="s">
        <v>27</v>
      </c>
      <c r="N44" s="40">
        <v>14</v>
      </c>
    </row>
    <row r="45" spans="1:14" x14ac:dyDescent="0.3">
      <c r="A45" s="2" t="s">
        <v>74</v>
      </c>
      <c r="B45" s="2" t="s">
        <v>11</v>
      </c>
      <c r="C45" s="2" t="s">
        <v>12</v>
      </c>
      <c r="D45" s="2">
        <v>3</v>
      </c>
      <c r="E45" s="2">
        <v>8048856634</v>
      </c>
      <c r="F45" s="2" t="s">
        <v>13</v>
      </c>
      <c r="G45" s="2" t="s">
        <v>14</v>
      </c>
      <c r="H45" s="2" t="s">
        <v>21</v>
      </c>
      <c r="I45" s="2" t="s">
        <v>41</v>
      </c>
      <c r="J45" s="2" t="s">
        <v>17</v>
      </c>
      <c r="L45" s="19" t="s">
        <v>637</v>
      </c>
      <c r="M45" s="20"/>
      <c r="N45" s="24">
        <v>110</v>
      </c>
    </row>
    <row r="46" spans="1:14" x14ac:dyDescent="0.3">
      <c r="A46" s="2" t="s">
        <v>75</v>
      </c>
      <c r="B46" s="2" t="s">
        <v>11</v>
      </c>
      <c r="C46" s="2" t="s">
        <v>12</v>
      </c>
      <c r="D46" s="2">
        <v>3</v>
      </c>
      <c r="E46" s="2">
        <v>9121272322</v>
      </c>
      <c r="F46" s="2" t="s">
        <v>19</v>
      </c>
      <c r="G46" s="2" t="s">
        <v>20</v>
      </c>
      <c r="H46" s="2" t="s">
        <v>21</v>
      </c>
      <c r="I46" s="2" t="s">
        <v>37</v>
      </c>
      <c r="J46" s="2" t="s">
        <v>22</v>
      </c>
      <c r="L46" s="19" t="s">
        <v>43</v>
      </c>
      <c r="M46" s="19" t="s">
        <v>16</v>
      </c>
      <c r="N46" s="24">
        <v>13</v>
      </c>
    </row>
    <row r="47" spans="1:14" x14ac:dyDescent="0.3">
      <c r="A47" s="2" t="s">
        <v>76</v>
      </c>
      <c r="B47" s="2" t="s">
        <v>35</v>
      </c>
      <c r="C47" s="2" t="s">
        <v>12</v>
      </c>
      <c r="D47" s="2">
        <v>1</v>
      </c>
      <c r="E47" s="2">
        <v>6705996210</v>
      </c>
      <c r="F47" s="2" t="s">
        <v>19</v>
      </c>
      <c r="G47" s="2" t="s">
        <v>20</v>
      </c>
      <c r="H47" s="2" t="s">
        <v>21</v>
      </c>
      <c r="I47" s="2" t="s">
        <v>37</v>
      </c>
      <c r="J47" s="2" t="s">
        <v>22</v>
      </c>
      <c r="L47" s="39"/>
      <c r="M47" s="22" t="s">
        <v>41</v>
      </c>
      <c r="N47" s="40">
        <v>15</v>
      </c>
    </row>
    <row r="48" spans="1:14" x14ac:dyDescent="0.3">
      <c r="A48" s="2" t="s">
        <v>77</v>
      </c>
      <c r="B48" s="2" t="s">
        <v>32</v>
      </c>
      <c r="C48" s="2" t="s">
        <v>33</v>
      </c>
      <c r="D48" s="2">
        <v>7</v>
      </c>
      <c r="E48" s="2">
        <v>6193128782</v>
      </c>
      <c r="F48" s="2" t="s">
        <v>13</v>
      </c>
      <c r="G48" s="2" t="s">
        <v>20</v>
      </c>
      <c r="H48" s="2" t="s">
        <v>21</v>
      </c>
      <c r="I48" s="2" t="s">
        <v>22</v>
      </c>
      <c r="J48" s="2" t="s">
        <v>22</v>
      </c>
      <c r="L48" s="39"/>
      <c r="M48" s="22" t="s">
        <v>29</v>
      </c>
      <c r="N48" s="40">
        <v>16</v>
      </c>
    </row>
    <row r="49" spans="1:28" x14ac:dyDescent="0.3">
      <c r="A49" s="2" t="s">
        <v>78</v>
      </c>
      <c r="B49" s="2" t="s">
        <v>35</v>
      </c>
      <c r="C49" s="2" t="s">
        <v>12</v>
      </c>
      <c r="D49" s="2">
        <v>1</v>
      </c>
      <c r="E49" s="2">
        <v>7416527689</v>
      </c>
      <c r="F49" s="2" t="s">
        <v>13</v>
      </c>
      <c r="G49" s="2" t="s">
        <v>14</v>
      </c>
      <c r="H49" s="2" t="s">
        <v>15</v>
      </c>
      <c r="I49" s="2" t="s">
        <v>37</v>
      </c>
      <c r="J49" s="2" t="s">
        <v>23</v>
      </c>
      <c r="L49" s="39"/>
      <c r="M49" s="22" t="s">
        <v>22</v>
      </c>
      <c r="N49" s="40">
        <v>40</v>
      </c>
    </row>
    <row r="50" spans="1:28" x14ac:dyDescent="0.3">
      <c r="A50" s="2" t="s">
        <v>79</v>
      </c>
      <c r="B50" s="2" t="s">
        <v>35</v>
      </c>
      <c r="C50" s="2" t="s">
        <v>43</v>
      </c>
      <c r="D50" s="2">
        <v>1</v>
      </c>
      <c r="E50" s="2">
        <v>9465256008</v>
      </c>
      <c r="F50" s="2" t="s">
        <v>13</v>
      </c>
      <c r="G50" s="2" t="s">
        <v>20</v>
      </c>
      <c r="H50" s="2" t="s">
        <v>15</v>
      </c>
      <c r="I50" s="2" t="s">
        <v>16</v>
      </c>
      <c r="J50" s="2" t="s">
        <v>17</v>
      </c>
      <c r="L50" s="39"/>
      <c r="M50" s="22" t="s">
        <v>37</v>
      </c>
      <c r="N50" s="40">
        <v>16</v>
      </c>
    </row>
    <row r="51" spans="1:28" x14ac:dyDescent="0.3">
      <c r="A51" s="2" t="s">
        <v>80</v>
      </c>
      <c r="B51" s="2" t="s">
        <v>32</v>
      </c>
      <c r="C51" s="2" t="s">
        <v>43</v>
      </c>
      <c r="D51" s="2">
        <v>7</v>
      </c>
      <c r="E51" s="2">
        <v>9487563540</v>
      </c>
      <c r="F51" s="2" t="s">
        <v>19</v>
      </c>
      <c r="G51" s="2" t="s">
        <v>14</v>
      </c>
      <c r="H51" s="2" t="s">
        <v>21</v>
      </c>
      <c r="I51" s="2" t="s">
        <v>29</v>
      </c>
      <c r="J51" s="2" t="s">
        <v>17</v>
      </c>
      <c r="L51" s="39"/>
      <c r="M51" s="22" t="s">
        <v>27</v>
      </c>
      <c r="N51" s="40">
        <v>15</v>
      </c>
    </row>
    <row r="52" spans="1:28" x14ac:dyDescent="0.3">
      <c r="A52" s="2" t="s">
        <v>24</v>
      </c>
      <c r="B52" s="2" t="s">
        <v>25</v>
      </c>
      <c r="C52" s="2" t="s">
        <v>33</v>
      </c>
      <c r="D52" s="2">
        <v>5</v>
      </c>
      <c r="E52" s="2">
        <v>6378998397</v>
      </c>
      <c r="F52" s="2" t="s">
        <v>13</v>
      </c>
      <c r="G52" s="2" t="s">
        <v>14</v>
      </c>
      <c r="H52" s="2" t="s">
        <v>15</v>
      </c>
      <c r="I52" s="2" t="s">
        <v>37</v>
      </c>
      <c r="J52" s="2" t="s">
        <v>17</v>
      </c>
      <c r="L52" s="19" t="s">
        <v>638</v>
      </c>
      <c r="M52" s="20"/>
      <c r="N52" s="24">
        <v>115</v>
      </c>
    </row>
    <row r="53" spans="1:28" x14ac:dyDescent="0.3">
      <c r="A53" s="2" t="s">
        <v>81</v>
      </c>
      <c r="B53" s="2" t="s">
        <v>11</v>
      </c>
      <c r="C53" s="2" t="s">
        <v>12</v>
      </c>
      <c r="D53" s="2">
        <v>3</v>
      </c>
      <c r="E53" s="2">
        <v>8147056642</v>
      </c>
      <c r="F53" s="2" t="s">
        <v>13</v>
      </c>
      <c r="G53" s="2" t="s">
        <v>20</v>
      </c>
      <c r="H53" s="2" t="s">
        <v>15</v>
      </c>
      <c r="I53" s="2" t="s">
        <v>16</v>
      </c>
      <c r="J53" s="2" t="s">
        <v>23</v>
      </c>
      <c r="L53" s="19" t="s">
        <v>12</v>
      </c>
      <c r="M53" s="19" t="s">
        <v>16</v>
      </c>
      <c r="N53" s="24">
        <v>14</v>
      </c>
    </row>
    <row r="54" spans="1:28" x14ac:dyDescent="0.3">
      <c r="A54" s="2" t="s">
        <v>82</v>
      </c>
      <c r="B54" s="2" t="s">
        <v>32</v>
      </c>
      <c r="C54" s="2" t="s">
        <v>26</v>
      </c>
      <c r="D54" s="2">
        <v>7</v>
      </c>
      <c r="E54" s="2">
        <v>6729820575</v>
      </c>
      <c r="F54" s="2" t="s">
        <v>19</v>
      </c>
      <c r="G54" s="2" t="s">
        <v>14</v>
      </c>
      <c r="H54" s="2" t="s">
        <v>21</v>
      </c>
      <c r="I54" s="2" t="s">
        <v>37</v>
      </c>
      <c r="J54" s="2" t="s">
        <v>23</v>
      </c>
      <c r="L54" s="39"/>
      <c r="M54" s="22" t="s">
        <v>41</v>
      </c>
      <c r="N54" s="40">
        <v>25</v>
      </c>
    </row>
    <row r="55" spans="1:28" x14ac:dyDescent="0.3">
      <c r="A55" s="2" t="s">
        <v>83</v>
      </c>
      <c r="B55" s="2" t="s">
        <v>35</v>
      </c>
      <c r="C55" s="2" t="s">
        <v>36</v>
      </c>
      <c r="D55" s="2">
        <v>1</v>
      </c>
      <c r="E55" s="2">
        <v>8114258594</v>
      </c>
      <c r="F55" s="2" t="s">
        <v>13</v>
      </c>
      <c r="G55" s="2" t="s">
        <v>20</v>
      </c>
      <c r="H55" s="2" t="s">
        <v>15</v>
      </c>
      <c r="I55" s="2" t="s">
        <v>37</v>
      </c>
      <c r="J55" s="2" t="s">
        <v>23</v>
      </c>
      <c r="L55" s="39"/>
      <c r="M55" s="22" t="s">
        <v>29</v>
      </c>
      <c r="N55" s="40">
        <v>20</v>
      </c>
    </row>
    <row r="56" spans="1:28" x14ac:dyDescent="0.3">
      <c r="A56" s="2" t="s">
        <v>84</v>
      </c>
      <c r="B56" s="2" t="s">
        <v>32</v>
      </c>
      <c r="C56" s="2" t="s">
        <v>43</v>
      </c>
      <c r="D56" s="2">
        <v>7</v>
      </c>
      <c r="E56" s="2">
        <v>7473489931</v>
      </c>
      <c r="F56" s="2" t="s">
        <v>13</v>
      </c>
      <c r="G56" s="2" t="s">
        <v>14</v>
      </c>
      <c r="H56" s="2" t="s">
        <v>15</v>
      </c>
      <c r="I56" s="2" t="s">
        <v>22</v>
      </c>
      <c r="J56" s="2" t="s">
        <v>22</v>
      </c>
      <c r="L56" s="39"/>
      <c r="M56" s="22" t="s">
        <v>22</v>
      </c>
      <c r="N56" s="40">
        <v>48</v>
      </c>
    </row>
    <row r="57" spans="1:28" x14ac:dyDescent="0.3">
      <c r="A57" s="2" t="s">
        <v>85</v>
      </c>
      <c r="B57" s="2" t="s">
        <v>11</v>
      </c>
      <c r="C57" s="2" t="s">
        <v>12</v>
      </c>
      <c r="D57" s="2">
        <v>3</v>
      </c>
      <c r="E57" s="2">
        <v>7784045242</v>
      </c>
      <c r="F57" s="2" t="s">
        <v>13</v>
      </c>
      <c r="G57" s="2" t="s">
        <v>20</v>
      </c>
      <c r="H57" s="2" t="s">
        <v>15</v>
      </c>
      <c r="I57" s="2" t="s">
        <v>27</v>
      </c>
      <c r="J57" s="2" t="s">
        <v>17</v>
      </c>
      <c r="L57" s="39"/>
      <c r="M57" s="22" t="s">
        <v>37</v>
      </c>
      <c r="N57" s="40">
        <v>17</v>
      </c>
    </row>
    <row r="58" spans="1:28" x14ac:dyDescent="0.3">
      <c r="A58" s="2" t="s">
        <v>86</v>
      </c>
      <c r="B58" s="2" t="s">
        <v>25</v>
      </c>
      <c r="C58" s="2" t="s">
        <v>36</v>
      </c>
      <c r="D58" s="2">
        <v>5</v>
      </c>
      <c r="E58" s="2">
        <v>9896116034</v>
      </c>
      <c r="F58" s="2" t="s">
        <v>13</v>
      </c>
      <c r="G58" s="2" t="s">
        <v>20</v>
      </c>
      <c r="H58" s="2" t="s">
        <v>15</v>
      </c>
      <c r="I58" s="2" t="s">
        <v>27</v>
      </c>
      <c r="J58" s="2" t="s">
        <v>22</v>
      </c>
      <c r="L58" s="39"/>
      <c r="M58" s="22" t="s">
        <v>27</v>
      </c>
      <c r="N58" s="40">
        <v>12</v>
      </c>
    </row>
    <row r="59" spans="1:28" x14ac:dyDescent="0.3">
      <c r="A59" s="2" t="s">
        <v>87</v>
      </c>
      <c r="B59" s="2" t="s">
        <v>11</v>
      </c>
      <c r="C59" s="2" t="s">
        <v>33</v>
      </c>
      <c r="D59" s="2">
        <v>3</v>
      </c>
      <c r="E59" s="2">
        <v>8371487617</v>
      </c>
      <c r="F59" s="2" t="s">
        <v>19</v>
      </c>
      <c r="G59" s="2" t="s">
        <v>20</v>
      </c>
      <c r="H59" s="2" t="s">
        <v>21</v>
      </c>
      <c r="I59" s="2" t="s">
        <v>37</v>
      </c>
      <c r="J59" s="2" t="s">
        <v>22</v>
      </c>
      <c r="L59" s="19" t="s">
        <v>639</v>
      </c>
      <c r="M59" s="20"/>
      <c r="N59" s="24">
        <v>136</v>
      </c>
    </row>
    <row r="60" spans="1:28" x14ac:dyDescent="0.3">
      <c r="A60" s="2" t="s">
        <v>88</v>
      </c>
      <c r="B60" s="2" t="s">
        <v>35</v>
      </c>
      <c r="C60" s="2" t="s">
        <v>43</v>
      </c>
      <c r="D60" s="2">
        <v>1</v>
      </c>
      <c r="E60" s="2">
        <v>9944199582</v>
      </c>
      <c r="F60" s="2" t="s">
        <v>19</v>
      </c>
      <c r="G60" s="2" t="s">
        <v>20</v>
      </c>
      <c r="H60" s="2" t="s">
        <v>15</v>
      </c>
      <c r="I60" s="2" t="s">
        <v>37</v>
      </c>
      <c r="J60" s="2" t="s">
        <v>23</v>
      </c>
      <c r="L60" s="23" t="s">
        <v>634</v>
      </c>
      <c r="M60" s="41"/>
      <c r="N60" s="42">
        <v>600</v>
      </c>
    </row>
    <row r="61" spans="1:28" x14ac:dyDescent="0.3">
      <c r="A61" s="2" t="s">
        <v>89</v>
      </c>
      <c r="B61" s="2" t="s">
        <v>25</v>
      </c>
      <c r="C61" s="2" t="s">
        <v>43</v>
      </c>
      <c r="D61" s="2">
        <v>5</v>
      </c>
      <c r="E61" s="2">
        <v>7198699361</v>
      </c>
      <c r="F61" s="2" t="s">
        <v>13</v>
      </c>
      <c r="G61" s="2" t="s">
        <v>14</v>
      </c>
      <c r="H61" s="2" t="s">
        <v>15</v>
      </c>
      <c r="I61" s="2" t="s">
        <v>22</v>
      </c>
      <c r="J61" s="2" t="s">
        <v>17</v>
      </c>
    </row>
    <row r="62" spans="1:28" x14ac:dyDescent="0.3">
      <c r="A62" s="2" t="s">
        <v>90</v>
      </c>
      <c r="B62" s="2" t="s">
        <v>35</v>
      </c>
      <c r="C62" s="2" t="s">
        <v>43</v>
      </c>
      <c r="D62" s="2">
        <v>1</v>
      </c>
      <c r="E62" s="2">
        <v>9510854464</v>
      </c>
      <c r="F62" s="2" t="s">
        <v>13</v>
      </c>
      <c r="G62" s="2" t="s">
        <v>14</v>
      </c>
      <c r="H62" s="2" t="s">
        <v>21</v>
      </c>
      <c r="I62" s="2" t="s">
        <v>27</v>
      </c>
      <c r="J62" s="2" t="s">
        <v>17</v>
      </c>
    </row>
    <row r="63" spans="1:28" x14ac:dyDescent="0.3">
      <c r="A63" s="2" t="s">
        <v>91</v>
      </c>
      <c r="B63" s="2" t="s">
        <v>35</v>
      </c>
      <c r="C63" s="2" t="s">
        <v>36</v>
      </c>
      <c r="D63" s="2">
        <v>1</v>
      </c>
      <c r="E63" s="2">
        <v>8756328718</v>
      </c>
      <c r="F63" s="2" t="s">
        <v>13</v>
      </c>
      <c r="G63" s="2" t="s">
        <v>20</v>
      </c>
      <c r="H63" s="2" t="s">
        <v>15</v>
      </c>
      <c r="I63" s="2" t="s">
        <v>16</v>
      </c>
      <c r="J63" s="2" t="s">
        <v>17</v>
      </c>
      <c r="L63" s="25" t="s">
        <v>612</v>
      </c>
      <c r="M63" s="25"/>
      <c r="N63" s="25"/>
      <c r="O63" s="25"/>
      <c r="P63" s="25"/>
      <c r="W63" s="26"/>
      <c r="X63" s="26"/>
      <c r="Y63" s="26"/>
      <c r="Z63" s="26"/>
      <c r="AA63" s="26"/>
      <c r="AB63" s="26"/>
    </row>
    <row r="64" spans="1:28" x14ac:dyDescent="0.3">
      <c r="A64" s="2" t="s">
        <v>92</v>
      </c>
      <c r="B64" s="2" t="s">
        <v>11</v>
      </c>
      <c r="C64" s="2" t="s">
        <v>36</v>
      </c>
      <c r="D64" s="2">
        <v>3</v>
      </c>
      <c r="E64" s="2">
        <v>8111844125</v>
      </c>
      <c r="F64" s="2" t="s">
        <v>13</v>
      </c>
      <c r="G64" s="2" t="s">
        <v>14</v>
      </c>
      <c r="H64" s="2" t="s">
        <v>15</v>
      </c>
      <c r="I64" s="2" t="s">
        <v>41</v>
      </c>
      <c r="J64" s="2" t="s">
        <v>17</v>
      </c>
      <c r="L64" s="2" t="s">
        <v>642</v>
      </c>
    </row>
    <row r="65" spans="1:24" x14ac:dyDescent="0.3">
      <c r="A65" s="2" t="s">
        <v>93</v>
      </c>
      <c r="B65" s="2" t="s">
        <v>11</v>
      </c>
      <c r="C65" s="2" t="s">
        <v>26</v>
      </c>
      <c r="D65" s="2">
        <v>3</v>
      </c>
      <c r="E65" s="2">
        <v>9383367846</v>
      </c>
      <c r="F65" s="2" t="s">
        <v>19</v>
      </c>
      <c r="G65" s="2" t="s">
        <v>14</v>
      </c>
      <c r="H65" s="2" t="s">
        <v>15</v>
      </c>
      <c r="I65" s="2" t="s">
        <v>22</v>
      </c>
      <c r="J65" s="2" t="s">
        <v>23</v>
      </c>
      <c r="L65" s="5">
        <f>COUNTIFS(C2:C601,"ECE",B2:B601,"3rd",J2:J601,"Dance")</f>
        <v>8</v>
      </c>
    </row>
    <row r="66" spans="1:24" x14ac:dyDescent="0.3">
      <c r="A66" s="2" t="s">
        <v>94</v>
      </c>
      <c r="B66" s="2" t="s">
        <v>11</v>
      </c>
      <c r="C66" s="2" t="s">
        <v>33</v>
      </c>
      <c r="D66" s="2">
        <v>3</v>
      </c>
      <c r="E66" s="2">
        <v>6676790613</v>
      </c>
      <c r="F66" s="2" t="s">
        <v>19</v>
      </c>
      <c r="G66" s="2" t="s">
        <v>20</v>
      </c>
      <c r="H66" s="2" t="s">
        <v>15</v>
      </c>
      <c r="I66" s="2" t="s">
        <v>22</v>
      </c>
      <c r="J66" s="2" t="s">
        <v>22</v>
      </c>
    </row>
    <row r="67" spans="1:24" x14ac:dyDescent="0.3">
      <c r="A67" s="2" t="s">
        <v>95</v>
      </c>
      <c r="B67" s="2" t="s">
        <v>11</v>
      </c>
      <c r="C67" s="2" t="s">
        <v>12</v>
      </c>
      <c r="D67" s="2">
        <v>3</v>
      </c>
      <c r="E67" s="2">
        <v>6503352129</v>
      </c>
      <c r="F67" s="2" t="s">
        <v>13</v>
      </c>
      <c r="G67" s="2" t="s">
        <v>14</v>
      </c>
      <c r="H67" s="2" t="s">
        <v>21</v>
      </c>
      <c r="I67" s="2" t="s">
        <v>27</v>
      </c>
      <c r="J67" s="2" t="s">
        <v>17</v>
      </c>
      <c r="L67" s="25" t="s">
        <v>613</v>
      </c>
      <c r="M67" s="25"/>
      <c r="N67" s="25"/>
      <c r="O67" s="25"/>
      <c r="P67" s="25"/>
      <c r="Q67" s="25"/>
      <c r="R67" s="25"/>
      <c r="S67" s="25"/>
      <c r="T67" s="25"/>
      <c r="U67" s="25"/>
      <c r="V67" s="25"/>
      <c r="W67" s="25"/>
      <c r="X67" s="25"/>
    </row>
    <row r="68" spans="1:24" x14ac:dyDescent="0.3">
      <c r="A68" s="2" t="s">
        <v>96</v>
      </c>
      <c r="B68" s="2" t="s">
        <v>35</v>
      </c>
      <c r="C68" s="2" t="s">
        <v>26</v>
      </c>
      <c r="D68" s="2">
        <v>1</v>
      </c>
      <c r="E68" s="2">
        <v>6812154144</v>
      </c>
      <c r="F68" s="2" t="s">
        <v>19</v>
      </c>
      <c r="G68" s="2" t="s">
        <v>20</v>
      </c>
      <c r="H68" s="2" t="s">
        <v>15</v>
      </c>
      <c r="I68" s="2" t="s">
        <v>22</v>
      </c>
      <c r="J68" s="2" t="s">
        <v>17</v>
      </c>
    </row>
    <row r="69" spans="1:24" x14ac:dyDescent="0.3">
      <c r="A69" s="2" t="s">
        <v>97</v>
      </c>
      <c r="B69" s="2" t="s">
        <v>11</v>
      </c>
      <c r="C69" s="2" t="s">
        <v>33</v>
      </c>
      <c r="D69" s="2">
        <v>3</v>
      </c>
      <c r="E69" s="2">
        <v>8905105497</v>
      </c>
      <c r="F69" s="2" t="s">
        <v>19</v>
      </c>
      <c r="G69" s="2" t="s">
        <v>14</v>
      </c>
      <c r="H69" s="2" t="s">
        <v>21</v>
      </c>
      <c r="I69" s="2" t="s">
        <v>27</v>
      </c>
      <c r="J69" s="2" t="s">
        <v>17</v>
      </c>
      <c r="L69" t="s">
        <v>643</v>
      </c>
      <c r="M69" s="28" t="s">
        <v>644</v>
      </c>
    </row>
    <row r="70" spans="1:24" x14ac:dyDescent="0.3">
      <c r="A70" s="2" t="s">
        <v>98</v>
      </c>
      <c r="B70" s="2" t="s">
        <v>11</v>
      </c>
      <c r="C70" s="2" t="s">
        <v>12</v>
      </c>
      <c r="D70" s="2">
        <v>3</v>
      </c>
      <c r="E70" s="2">
        <v>8799457176</v>
      </c>
      <c r="F70" s="2" t="s">
        <v>13</v>
      </c>
      <c r="G70" s="2" t="s">
        <v>14</v>
      </c>
      <c r="H70" s="2" t="s">
        <v>21</v>
      </c>
      <c r="I70" s="2" t="s">
        <v>22</v>
      </c>
      <c r="J70" s="2" t="s">
        <v>17</v>
      </c>
      <c r="L70" t="s">
        <v>41</v>
      </c>
      <c r="M70">
        <f>COUNTIF(I2:I601,"Coding")</f>
        <v>91</v>
      </c>
    </row>
    <row r="71" spans="1:24" x14ac:dyDescent="0.3">
      <c r="A71" s="2" t="s">
        <v>99</v>
      </c>
      <c r="B71" s="2" t="s">
        <v>11</v>
      </c>
      <c r="C71" s="2" t="s">
        <v>43</v>
      </c>
      <c r="D71" s="2">
        <v>3</v>
      </c>
      <c r="E71" s="2">
        <v>6353238458</v>
      </c>
      <c r="F71" s="2" t="s">
        <v>13</v>
      </c>
      <c r="G71" s="2" t="s">
        <v>20</v>
      </c>
      <c r="H71" s="2" t="s">
        <v>15</v>
      </c>
      <c r="I71" s="2" t="s">
        <v>22</v>
      </c>
      <c r="J71" s="2" t="s">
        <v>23</v>
      </c>
      <c r="L71" t="s">
        <v>29</v>
      </c>
      <c r="M71">
        <f>COUNTIF(I2:I601,"Gaming")</f>
        <v>78</v>
      </c>
    </row>
    <row r="72" spans="1:24" x14ac:dyDescent="0.3">
      <c r="A72" s="2" t="s">
        <v>100</v>
      </c>
      <c r="B72" s="2" t="s">
        <v>25</v>
      </c>
      <c r="C72" s="2" t="s">
        <v>12</v>
      </c>
      <c r="D72" s="2">
        <v>5</v>
      </c>
      <c r="E72" s="2">
        <v>8818744554</v>
      </c>
      <c r="F72" s="2" t="s">
        <v>19</v>
      </c>
      <c r="G72" s="2" t="s">
        <v>14</v>
      </c>
      <c r="H72" s="2" t="s">
        <v>21</v>
      </c>
      <c r="I72" s="2" t="s">
        <v>41</v>
      </c>
      <c r="J72" s="2" t="s">
        <v>23</v>
      </c>
      <c r="L72" t="s">
        <v>37</v>
      </c>
      <c r="M72">
        <f>COUNTIF(I2:I601,"Quiz")</f>
        <v>88</v>
      </c>
    </row>
    <row r="73" spans="1:24" x14ac:dyDescent="0.3">
      <c r="A73" s="2" t="s">
        <v>101</v>
      </c>
      <c r="B73" s="2" t="s">
        <v>35</v>
      </c>
      <c r="C73" s="2" t="s">
        <v>43</v>
      </c>
      <c r="D73" s="2">
        <v>1</v>
      </c>
      <c r="E73" s="2">
        <v>9424927040</v>
      </c>
      <c r="F73" s="2" t="s">
        <v>19</v>
      </c>
      <c r="G73" s="2" t="s">
        <v>20</v>
      </c>
      <c r="H73" s="2" t="s">
        <v>15</v>
      </c>
      <c r="I73" s="2" t="s">
        <v>22</v>
      </c>
      <c r="J73" s="2" t="s">
        <v>22</v>
      </c>
      <c r="L73" t="s">
        <v>16</v>
      </c>
      <c r="M73">
        <f>COUNTIF(I2:I601,"Art")</f>
        <v>61</v>
      </c>
    </row>
    <row r="74" spans="1:24" x14ac:dyDescent="0.3">
      <c r="A74" s="2" t="s">
        <v>102</v>
      </c>
      <c r="B74" s="2" t="s">
        <v>32</v>
      </c>
      <c r="C74" s="2" t="s">
        <v>43</v>
      </c>
      <c r="D74" s="2">
        <v>7</v>
      </c>
      <c r="E74" s="2">
        <v>7598011615</v>
      </c>
      <c r="F74" s="2" t="s">
        <v>13</v>
      </c>
      <c r="G74" s="2" t="s">
        <v>20</v>
      </c>
      <c r="H74" s="2" t="s">
        <v>15</v>
      </c>
      <c r="I74" s="2" t="s">
        <v>29</v>
      </c>
      <c r="J74" s="2" t="s">
        <v>22</v>
      </c>
      <c r="L74" t="s">
        <v>27</v>
      </c>
      <c r="M74">
        <f>COUNTIF(I2:I601,"Science Exhibition")</f>
        <v>71</v>
      </c>
    </row>
    <row r="75" spans="1:24" x14ac:dyDescent="0.3">
      <c r="A75" s="2" t="s">
        <v>103</v>
      </c>
      <c r="B75" s="2" t="s">
        <v>11</v>
      </c>
      <c r="C75" s="2" t="s">
        <v>43</v>
      </c>
      <c r="D75" s="2">
        <v>3</v>
      </c>
      <c r="E75" s="2">
        <v>9576782874</v>
      </c>
      <c r="F75" s="2" t="s">
        <v>13</v>
      </c>
      <c r="G75" s="2" t="s">
        <v>14</v>
      </c>
      <c r="H75" s="2" t="s">
        <v>21</v>
      </c>
      <c r="I75" s="2" t="s">
        <v>41</v>
      </c>
      <c r="J75" s="2" t="s">
        <v>23</v>
      </c>
      <c r="L75" t="s">
        <v>22</v>
      </c>
      <c r="M75">
        <f>COUNTIF(I2:I601,"None")</f>
        <v>211</v>
      </c>
    </row>
    <row r="76" spans="1:24" x14ac:dyDescent="0.3">
      <c r="A76" s="2" t="s">
        <v>104</v>
      </c>
      <c r="B76" s="2" t="s">
        <v>25</v>
      </c>
      <c r="C76" s="2" t="s">
        <v>36</v>
      </c>
      <c r="D76" s="2">
        <v>5</v>
      </c>
      <c r="E76" s="2">
        <v>9355691350</v>
      </c>
      <c r="F76" s="2" t="s">
        <v>13</v>
      </c>
      <c r="G76" s="2" t="s">
        <v>14</v>
      </c>
      <c r="H76" s="2" t="s">
        <v>21</v>
      </c>
      <c r="I76" s="2" t="s">
        <v>29</v>
      </c>
      <c r="J76" s="2" t="s">
        <v>22</v>
      </c>
    </row>
    <row r="77" spans="1:24" x14ac:dyDescent="0.3">
      <c r="A77" s="2" t="s">
        <v>105</v>
      </c>
      <c r="B77" s="2" t="s">
        <v>32</v>
      </c>
      <c r="C77" s="2" t="s">
        <v>36</v>
      </c>
      <c r="D77" s="2">
        <v>7</v>
      </c>
      <c r="E77" s="2">
        <v>6568918318</v>
      </c>
      <c r="F77" s="2" t="s">
        <v>19</v>
      </c>
      <c r="G77" s="2" t="s">
        <v>14</v>
      </c>
      <c r="H77" s="2" t="s">
        <v>15</v>
      </c>
      <c r="I77" s="2" t="s">
        <v>41</v>
      </c>
      <c r="J77" s="2" t="s">
        <v>23</v>
      </c>
    </row>
    <row r="78" spans="1:24" x14ac:dyDescent="0.3">
      <c r="A78" s="2" t="s">
        <v>106</v>
      </c>
      <c r="B78" s="2" t="s">
        <v>32</v>
      </c>
      <c r="C78" s="2" t="s">
        <v>26</v>
      </c>
      <c r="D78" s="2">
        <v>7</v>
      </c>
      <c r="E78" s="2">
        <v>8534088133</v>
      </c>
      <c r="F78" s="2" t="s">
        <v>19</v>
      </c>
      <c r="G78" s="2" t="s">
        <v>20</v>
      </c>
      <c r="H78" s="2" t="s">
        <v>21</v>
      </c>
      <c r="I78" s="2" t="s">
        <v>37</v>
      </c>
      <c r="J78" s="2" t="s">
        <v>22</v>
      </c>
    </row>
    <row r="79" spans="1:24" x14ac:dyDescent="0.3">
      <c r="A79" s="2" t="s">
        <v>107</v>
      </c>
      <c r="B79" s="2" t="s">
        <v>25</v>
      </c>
      <c r="C79" s="2" t="s">
        <v>43</v>
      </c>
      <c r="D79" s="2">
        <v>5</v>
      </c>
      <c r="E79" s="2">
        <v>9488762609</v>
      </c>
      <c r="F79" s="2" t="s">
        <v>19</v>
      </c>
      <c r="G79" s="2" t="s">
        <v>20</v>
      </c>
      <c r="H79" s="2" t="s">
        <v>15</v>
      </c>
      <c r="I79" s="2" t="s">
        <v>29</v>
      </c>
      <c r="J79" s="2" t="s">
        <v>23</v>
      </c>
    </row>
    <row r="80" spans="1:24" x14ac:dyDescent="0.3">
      <c r="A80" s="2" t="s">
        <v>108</v>
      </c>
      <c r="B80" s="2" t="s">
        <v>25</v>
      </c>
      <c r="C80" s="2" t="s">
        <v>26</v>
      </c>
      <c r="D80" s="2">
        <v>5</v>
      </c>
      <c r="E80" s="2">
        <v>6783558278</v>
      </c>
      <c r="F80" s="2" t="s">
        <v>19</v>
      </c>
      <c r="G80" s="2" t="s">
        <v>20</v>
      </c>
      <c r="H80" s="2" t="s">
        <v>21</v>
      </c>
      <c r="I80" s="2" t="s">
        <v>22</v>
      </c>
      <c r="J80" s="2" t="s">
        <v>23</v>
      </c>
    </row>
    <row r="81" spans="1:27" x14ac:dyDescent="0.3">
      <c r="A81" s="2" t="s">
        <v>109</v>
      </c>
      <c r="B81" s="2" t="s">
        <v>32</v>
      </c>
      <c r="C81" s="2" t="s">
        <v>43</v>
      </c>
      <c r="D81" s="2">
        <v>7</v>
      </c>
      <c r="E81" s="2">
        <v>7114639370</v>
      </c>
      <c r="F81" s="2" t="s">
        <v>19</v>
      </c>
      <c r="G81" s="2" t="s">
        <v>20</v>
      </c>
      <c r="H81" s="2" t="s">
        <v>15</v>
      </c>
      <c r="I81" s="2" t="s">
        <v>16</v>
      </c>
      <c r="J81" s="2" t="s">
        <v>22</v>
      </c>
    </row>
    <row r="82" spans="1:27" x14ac:dyDescent="0.3">
      <c r="A82" s="2" t="s">
        <v>110</v>
      </c>
      <c r="B82" s="2" t="s">
        <v>32</v>
      </c>
      <c r="C82" s="2" t="s">
        <v>43</v>
      </c>
      <c r="D82" s="2">
        <v>7</v>
      </c>
      <c r="E82" s="2">
        <v>6590416131</v>
      </c>
      <c r="F82" s="2" t="s">
        <v>19</v>
      </c>
      <c r="G82" s="2" t="s">
        <v>20</v>
      </c>
      <c r="H82" s="2" t="s">
        <v>21</v>
      </c>
      <c r="I82" s="2" t="s">
        <v>22</v>
      </c>
      <c r="J82" s="2" t="s">
        <v>22</v>
      </c>
      <c r="L82" s="25" t="s">
        <v>614</v>
      </c>
      <c r="M82" s="25"/>
      <c r="N82" s="25"/>
      <c r="O82" s="25"/>
      <c r="P82" s="25"/>
      <c r="Q82" s="25"/>
      <c r="R82" s="25"/>
      <c r="S82" s="25"/>
      <c r="T82" s="25"/>
      <c r="U82" s="25"/>
      <c r="V82" s="25"/>
      <c r="W82" s="25"/>
      <c r="X82" s="25"/>
      <c r="Y82" s="25"/>
      <c r="Z82" s="25"/>
      <c r="AA82" s="25"/>
    </row>
    <row r="83" spans="1:27" x14ac:dyDescent="0.3">
      <c r="A83" s="2" t="s">
        <v>111</v>
      </c>
      <c r="B83" s="2" t="s">
        <v>35</v>
      </c>
      <c r="C83" s="2" t="s">
        <v>26</v>
      </c>
      <c r="D83" s="2">
        <v>1</v>
      </c>
      <c r="E83" s="2">
        <v>8466558590</v>
      </c>
      <c r="F83" s="2" t="s">
        <v>13</v>
      </c>
      <c r="G83" s="2" t="s">
        <v>14</v>
      </c>
      <c r="H83" s="2" t="s">
        <v>15</v>
      </c>
      <c r="I83" s="2" t="s">
        <v>37</v>
      </c>
      <c r="J83" s="2" t="s">
        <v>17</v>
      </c>
    </row>
    <row r="84" spans="1:27" x14ac:dyDescent="0.3">
      <c r="A84" s="2" t="s">
        <v>112</v>
      </c>
      <c r="B84" s="2" t="s">
        <v>35</v>
      </c>
      <c r="C84" s="2" t="s">
        <v>43</v>
      </c>
      <c r="D84" s="2">
        <v>1</v>
      </c>
      <c r="E84" s="2">
        <v>9661950055</v>
      </c>
      <c r="F84" s="2" t="s">
        <v>19</v>
      </c>
      <c r="G84" s="2" t="s">
        <v>20</v>
      </c>
      <c r="H84" s="2" t="s">
        <v>15</v>
      </c>
      <c r="I84" s="2" t="s">
        <v>22</v>
      </c>
      <c r="J84" s="2" t="s">
        <v>22</v>
      </c>
      <c r="L84" s="29" t="s">
        <v>2</v>
      </c>
      <c r="M84" s="29" t="s">
        <v>645</v>
      </c>
      <c r="N84" s="29" t="s">
        <v>647</v>
      </c>
      <c r="O84" s="29" t="s">
        <v>646</v>
      </c>
      <c r="P84" s="29" t="s">
        <v>648</v>
      </c>
    </row>
    <row r="85" spans="1:27" x14ac:dyDescent="0.3">
      <c r="A85" s="2" t="s">
        <v>113</v>
      </c>
      <c r="B85" s="2" t="s">
        <v>25</v>
      </c>
      <c r="C85" s="2" t="s">
        <v>33</v>
      </c>
      <c r="D85" s="2">
        <v>5</v>
      </c>
      <c r="E85" s="2">
        <v>7224290632</v>
      </c>
      <c r="F85" s="2" t="s">
        <v>13</v>
      </c>
      <c r="G85" s="2" t="s">
        <v>14</v>
      </c>
      <c r="H85" s="2" t="s">
        <v>21</v>
      </c>
      <c r="I85" s="2" t="s">
        <v>22</v>
      </c>
      <c r="J85" s="2" t="s">
        <v>22</v>
      </c>
      <c r="L85" s="5" t="s">
        <v>36</v>
      </c>
      <c r="M85" s="5">
        <f>COUNTIF($C2:C$601,"CSE")</f>
        <v>108</v>
      </c>
      <c r="N85" s="5">
        <f>COUNTIFS($C$2:$C$601,"CSE",$F$2:$F$601,"Due")</f>
        <v>58</v>
      </c>
      <c r="O85" s="5">
        <f>COUNTIFS($C$2:$C$601,"CSE",$F$2:$F$601,"Paid")</f>
        <v>50</v>
      </c>
      <c r="P85" s="30">
        <f>O85/M85*100</f>
        <v>46.296296296296298</v>
      </c>
    </row>
    <row r="86" spans="1:27" x14ac:dyDescent="0.3">
      <c r="A86" s="2" t="s">
        <v>114</v>
      </c>
      <c r="B86" s="2" t="s">
        <v>32</v>
      </c>
      <c r="C86" s="2" t="s">
        <v>43</v>
      </c>
      <c r="D86" s="2">
        <v>7</v>
      </c>
      <c r="E86" s="2">
        <v>9402112728</v>
      </c>
      <c r="F86" s="2" t="s">
        <v>19</v>
      </c>
      <c r="G86" s="2" t="s">
        <v>20</v>
      </c>
      <c r="H86" s="2" t="s">
        <v>21</v>
      </c>
      <c r="I86" s="2" t="s">
        <v>27</v>
      </c>
      <c r="J86" s="2" t="s">
        <v>22</v>
      </c>
      <c r="L86" s="5" t="s">
        <v>33</v>
      </c>
      <c r="M86" s="5">
        <f>COUNTIF($C3:C$601,"ECE")</f>
        <v>110</v>
      </c>
      <c r="N86" s="5">
        <f>COUNTIFS($C$2:$C$601,"ECE",$F$2:$F$601,"Due")</f>
        <v>47</v>
      </c>
      <c r="O86" s="5">
        <f>COUNTIFS($C$2:$C$601,"ECE",$F$2:$F$601,"Paid")</f>
        <v>63</v>
      </c>
      <c r="P86" s="30">
        <f t="shared" ref="P86:P89" si="0">O86/M86*100</f>
        <v>57.272727272727273</v>
      </c>
    </row>
    <row r="87" spans="1:27" x14ac:dyDescent="0.3">
      <c r="A87" s="2" t="s">
        <v>115</v>
      </c>
      <c r="B87" s="2" t="s">
        <v>25</v>
      </c>
      <c r="C87" s="2" t="s">
        <v>26</v>
      </c>
      <c r="D87" s="2">
        <v>5</v>
      </c>
      <c r="E87" s="2">
        <v>8957856655</v>
      </c>
      <c r="F87" s="2" t="s">
        <v>19</v>
      </c>
      <c r="G87" s="2" t="s">
        <v>14</v>
      </c>
      <c r="H87" s="2" t="s">
        <v>21</v>
      </c>
      <c r="I87" s="2" t="s">
        <v>27</v>
      </c>
      <c r="J87" s="2" t="s">
        <v>23</v>
      </c>
      <c r="L87" s="5" t="s">
        <v>12</v>
      </c>
      <c r="M87" s="5">
        <f>COUNTIF($C4:C$601,"ME")</f>
        <v>134</v>
      </c>
      <c r="N87" s="5">
        <f>COUNTIFS($C$2:$C$601,"ME",$F$2:$F$601,"Due")</f>
        <v>62</v>
      </c>
      <c r="O87" s="5">
        <f>COUNTIFS($C$2:$C$601,"ME",$F$2:$F$601,"Paid")</f>
        <v>74</v>
      </c>
      <c r="P87" s="30">
        <f t="shared" si="0"/>
        <v>55.223880597014926</v>
      </c>
    </row>
    <row r="88" spans="1:27" x14ac:dyDescent="0.3">
      <c r="A88" s="2" t="s">
        <v>116</v>
      </c>
      <c r="B88" s="2" t="s">
        <v>35</v>
      </c>
      <c r="C88" s="2" t="s">
        <v>12</v>
      </c>
      <c r="D88" s="2">
        <v>1</v>
      </c>
      <c r="E88" s="2">
        <v>9703547982</v>
      </c>
      <c r="F88" s="2" t="s">
        <v>19</v>
      </c>
      <c r="G88" s="2" t="s">
        <v>20</v>
      </c>
      <c r="H88" s="2" t="s">
        <v>21</v>
      </c>
      <c r="I88" s="2" t="s">
        <v>29</v>
      </c>
      <c r="J88" s="2" t="s">
        <v>22</v>
      </c>
      <c r="L88" s="5" t="s">
        <v>26</v>
      </c>
      <c r="M88" s="5">
        <f>COUNTIF($C5:C$601,"CE")</f>
        <v>130</v>
      </c>
      <c r="N88" s="5">
        <f>COUNTIFS($C$2:$C$601,"CE",$F$2:$F$601,"Due")</f>
        <v>50</v>
      </c>
      <c r="O88" s="5">
        <f>COUNTIFS($C$2:$C$601,"CE",$F$2:$F$601,"Paid")</f>
        <v>81</v>
      </c>
      <c r="P88" s="30">
        <f t="shared" si="0"/>
        <v>62.307692307692307</v>
      </c>
    </row>
    <row r="89" spans="1:27" x14ac:dyDescent="0.3">
      <c r="A89" s="2" t="s">
        <v>117</v>
      </c>
      <c r="B89" s="2" t="s">
        <v>25</v>
      </c>
      <c r="C89" s="2" t="s">
        <v>12</v>
      </c>
      <c r="D89" s="2">
        <v>5</v>
      </c>
      <c r="E89" s="2">
        <v>6308037387</v>
      </c>
      <c r="F89" s="2" t="s">
        <v>13</v>
      </c>
      <c r="G89" s="2" t="s">
        <v>14</v>
      </c>
      <c r="H89" s="2" t="s">
        <v>15</v>
      </c>
      <c r="I89" s="2" t="s">
        <v>41</v>
      </c>
      <c r="J89" s="2" t="s">
        <v>17</v>
      </c>
      <c r="L89" s="5" t="s">
        <v>43</v>
      </c>
      <c r="M89" s="5">
        <f>COUNTIF($C6:C$601,"EE")</f>
        <v>115</v>
      </c>
      <c r="N89" s="5">
        <f>COUNTIFS($C$2:$C$601,"EE",$F$2:$F$601,"Due")</f>
        <v>56</v>
      </c>
      <c r="O89" s="5">
        <f>COUNTIFS($C$2:$C$601,"EE",$F$2:$F$601,"Paid")</f>
        <v>59</v>
      </c>
      <c r="P89" s="30">
        <f t="shared" si="0"/>
        <v>51.304347826086961</v>
      </c>
    </row>
    <row r="90" spans="1:27" x14ac:dyDescent="0.3">
      <c r="A90" s="2" t="s">
        <v>118</v>
      </c>
      <c r="B90" s="2" t="s">
        <v>35</v>
      </c>
      <c r="C90" s="2" t="s">
        <v>43</v>
      </c>
      <c r="D90" s="2">
        <v>1</v>
      </c>
      <c r="E90" s="2">
        <v>8880845684</v>
      </c>
      <c r="F90" s="2" t="s">
        <v>19</v>
      </c>
      <c r="G90" s="2" t="s">
        <v>14</v>
      </c>
      <c r="H90" s="2" t="s">
        <v>15</v>
      </c>
      <c r="I90" s="2" t="s">
        <v>22</v>
      </c>
      <c r="J90" s="2" t="s">
        <v>17</v>
      </c>
    </row>
    <row r="91" spans="1:27" x14ac:dyDescent="0.3">
      <c r="A91" s="2" t="s">
        <v>101</v>
      </c>
      <c r="B91" s="2" t="s">
        <v>25</v>
      </c>
      <c r="C91" s="2" t="s">
        <v>26</v>
      </c>
      <c r="D91" s="2">
        <v>5</v>
      </c>
      <c r="E91" s="2">
        <v>9623694323</v>
      </c>
      <c r="F91" s="2" t="s">
        <v>13</v>
      </c>
      <c r="G91" s="2" t="s">
        <v>14</v>
      </c>
      <c r="H91" s="2" t="s">
        <v>15</v>
      </c>
      <c r="I91" s="2" t="s">
        <v>22</v>
      </c>
      <c r="J91" s="2" t="s">
        <v>22</v>
      </c>
    </row>
    <row r="92" spans="1:27" x14ac:dyDescent="0.3">
      <c r="A92" s="2" t="s">
        <v>119</v>
      </c>
      <c r="B92" s="2" t="s">
        <v>35</v>
      </c>
      <c r="C92" s="2" t="s">
        <v>36</v>
      </c>
      <c r="D92" s="2">
        <v>1</v>
      </c>
      <c r="E92" s="2">
        <v>7932129220</v>
      </c>
      <c r="F92" s="2" t="s">
        <v>19</v>
      </c>
      <c r="G92" s="2" t="s">
        <v>20</v>
      </c>
      <c r="H92" s="2" t="s">
        <v>15</v>
      </c>
      <c r="I92" s="2" t="s">
        <v>22</v>
      </c>
      <c r="J92" s="2" t="s">
        <v>22</v>
      </c>
    </row>
    <row r="93" spans="1:27" x14ac:dyDescent="0.3">
      <c r="A93" s="2" t="s">
        <v>120</v>
      </c>
      <c r="B93" s="2" t="s">
        <v>35</v>
      </c>
      <c r="C93" s="2" t="s">
        <v>43</v>
      </c>
      <c r="D93" s="2">
        <v>1</v>
      </c>
      <c r="E93" s="2">
        <v>6715218212</v>
      </c>
      <c r="F93" s="2" t="s">
        <v>13</v>
      </c>
      <c r="G93" s="2" t="s">
        <v>14</v>
      </c>
      <c r="H93" s="2" t="s">
        <v>15</v>
      </c>
      <c r="I93" s="2" t="s">
        <v>16</v>
      </c>
      <c r="J93" s="2" t="s">
        <v>17</v>
      </c>
    </row>
    <row r="94" spans="1:27" x14ac:dyDescent="0.3">
      <c r="A94" s="2" t="s">
        <v>121</v>
      </c>
      <c r="B94" s="2" t="s">
        <v>11</v>
      </c>
      <c r="C94" s="2" t="s">
        <v>12</v>
      </c>
      <c r="D94" s="2">
        <v>3</v>
      </c>
      <c r="E94" s="2">
        <v>9212516858</v>
      </c>
      <c r="F94" s="2" t="s">
        <v>19</v>
      </c>
      <c r="G94" s="2" t="s">
        <v>20</v>
      </c>
      <c r="H94" s="2" t="s">
        <v>15</v>
      </c>
      <c r="I94" s="2" t="s">
        <v>27</v>
      </c>
      <c r="J94" s="2" t="s">
        <v>22</v>
      </c>
    </row>
    <row r="95" spans="1:27" x14ac:dyDescent="0.3">
      <c r="A95" s="2" t="s">
        <v>122</v>
      </c>
      <c r="B95" s="2" t="s">
        <v>25</v>
      </c>
      <c r="C95" s="2" t="s">
        <v>36</v>
      </c>
      <c r="D95" s="2">
        <v>5</v>
      </c>
      <c r="E95" s="2">
        <v>6682518690</v>
      </c>
      <c r="F95" s="2" t="s">
        <v>13</v>
      </c>
      <c r="G95" s="2" t="s">
        <v>20</v>
      </c>
      <c r="H95" s="2" t="s">
        <v>15</v>
      </c>
      <c r="I95" s="2" t="s">
        <v>37</v>
      </c>
      <c r="J95" s="2" t="s">
        <v>22</v>
      </c>
    </row>
    <row r="96" spans="1:27" x14ac:dyDescent="0.3">
      <c r="A96" s="2" t="s">
        <v>123</v>
      </c>
      <c r="B96" s="2" t="s">
        <v>35</v>
      </c>
      <c r="C96" s="2" t="s">
        <v>12</v>
      </c>
      <c r="D96" s="2">
        <v>1</v>
      </c>
      <c r="E96" s="2">
        <v>6901412110</v>
      </c>
      <c r="F96" s="2" t="s">
        <v>13</v>
      </c>
      <c r="G96" s="2" t="s">
        <v>20</v>
      </c>
      <c r="H96" s="2" t="s">
        <v>21</v>
      </c>
      <c r="I96" s="2" t="s">
        <v>37</v>
      </c>
      <c r="J96" s="2" t="s">
        <v>22</v>
      </c>
    </row>
    <row r="97" spans="1:10" x14ac:dyDescent="0.3">
      <c r="A97" s="2" t="s">
        <v>124</v>
      </c>
      <c r="B97" s="2" t="s">
        <v>35</v>
      </c>
      <c r="C97" s="2" t="s">
        <v>33</v>
      </c>
      <c r="D97" s="2">
        <v>1</v>
      </c>
      <c r="E97" s="2">
        <v>7687706194</v>
      </c>
      <c r="F97" s="2" t="s">
        <v>19</v>
      </c>
      <c r="G97" s="2" t="s">
        <v>14</v>
      </c>
      <c r="H97" s="2" t="s">
        <v>15</v>
      </c>
      <c r="I97" s="2" t="s">
        <v>29</v>
      </c>
      <c r="J97" s="2" t="s">
        <v>23</v>
      </c>
    </row>
    <row r="98" spans="1:10" x14ac:dyDescent="0.3">
      <c r="A98" s="2" t="s">
        <v>125</v>
      </c>
      <c r="B98" s="2" t="s">
        <v>11</v>
      </c>
      <c r="C98" s="2" t="s">
        <v>43</v>
      </c>
      <c r="D98" s="2">
        <v>3</v>
      </c>
      <c r="E98" s="2">
        <v>8276143334</v>
      </c>
      <c r="F98" s="2" t="s">
        <v>19</v>
      </c>
      <c r="G98" s="2" t="s">
        <v>20</v>
      </c>
      <c r="H98" s="2" t="s">
        <v>21</v>
      </c>
      <c r="I98" s="2" t="s">
        <v>37</v>
      </c>
      <c r="J98" s="2" t="s">
        <v>17</v>
      </c>
    </row>
    <row r="99" spans="1:10" x14ac:dyDescent="0.3">
      <c r="A99" s="2" t="s">
        <v>126</v>
      </c>
      <c r="B99" s="2" t="s">
        <v>25</v>
      </c>
      <c r="C99" s="2" t="s">
        <v>36</v>
      </c>
      <c r="D99" s="2">
        <v>5</v>
      </c>
      <c r="E99" s="2">
        <v>8143011853</v>
      </c>
      <c r="F99" s="2" t="s">
        <v>13</v>
      </c>
      <c r="G99" s="2" t="s">
        <v>20</v>
      </c>
      <c r="H99" s="2" t="s">
        <v>15</v>
      </c>
      <c r="I99" s="2" t="s">
        <v>22</v>
      </c>
      <c r="J99" s="2" t="s">
        <v>22</v>
      </c>
    </row>
    <row r="100" spans="1:10" x14ac:dyDescent="0.3">
      <c r="A100" s="2" t="s">
        <v>127</v>
      </c>
      <c r="B100" s="2" t="s">
        <v>11</v>
      </c>
      <c r="C100" s="2" t="s">
        <v>33</v>
      </c>
      <c r="D100" s="2">
        <v>3</v>
      </c>
      <c r="E100" s="2">
        <v>9532838511</v>
      </c>
      <c r="F100" s="2" t="s">
        <v>13</v>
      </c>
      <c r="G100" s="2" t="s">
        <v>20</v>
      </c>
      <c r="H100" s="2" t="s">
        <v>21</v>
      </c>
      <c r="I100" s="2" t="s">
        <v>41</v>
      </c>
      <c r="J100" s="2" t="s">
        <v>17</v>
      </c>
    </row>
    <row r="101" spans="1:10" x14ac:dyDescent="0.3">
      <c r="A101" s="2" t="s">
        <v>128</v>
      </c>
      <c r="B101" s="2" t="s">
        <v>11</v>
      </c>
      <c r="C101" s="2" t="s">
        <v>43</v>
      </c>
      <c r="D101" s="2">
        <v>3</v>
      </c>
      <c r="E101" s="2">
        <v>6887653316</v>
      </c>
      <c r="F101" s="2" t="s">
        <v>19</v>
      </c>
      <c r="G101" s="2" t="s">
        <v>20</v>
      </c>
      <c r="H101" s="2" t="s">
        <v>15</v>
      </c>
      <c r="I101" s="2" t="s">
        <v>27</v>
      </c>
      <c r="J101" s="2" t="s">
        <v>17</v>
      </c>
    </row>
    <row r="102" spans="1:10" x14ac:dyDescent="0.3">
      <c r="A102" s="2" t="s">
        <v>69</v>
      </c>
      <c r="B102" s="2" t="s">
        <v>11</v>
      </c>
      <c r="C102" s="2" t="s">
        <v>26</v>
      </c>
      <c r="D102" s="2">
        <v>3</v>
      </c>
      <c r="E102" s="2">
        <v>7361517482</v>
      </c>
      <c r="F102" s="2" t="s">
        <v>19</v>
      </c>
      <c r="G102" s="2" t="s">
        <v>14</v>
      </c>
      <c r="H102" s="2" t="s">
        <v>21</v>
      </c>
      <c r="I102" s="2" t="s">
        <v>22</v>
      </c>
      <c r="J102" s="2" t="s">
        <v>17</v>
      </c>
    </row>
    <row r="103" spans="1:10" x14ac:dyDescent="0.3">
      <c r="A103" s="2" t="s">
        <v>129</v>
      </c>
      <c r="B103" s="2" t="s">
        <v>35</v>
      </c>
      <c r="C103" s="2" t="s">
        <v>12</v>
      </c>
      <c r="D103" s="2">
        <v>1</v>
      </c>
      <c r="E103" s="2">
        <v>8498773128</v>
      </c>
      <c r="F103" s="2" t="s">
        <v>19</v>
      </c>
      <c r="G103" s="2" t="s">
        <v>14</v>
      </c>
      <c r="H103" s="2" t="s">
        <v>21</v>
      </c>
      <c r="I103" s="2" t="s">
        <v>22</v>
      </c>
      <c r="J103" s="2" t="s">
        <v>17</v>
      </c>
    </row>
    <row r="104" spans="1:10" x14ac:dyDescent="0.3">
      <c r="A104" s="2" t="s">
        <v>130</v>
      </c>
      <c r="B104" s="2" t="s">
        <v>32</v>
      </c>
      <c r="C104" s="2" t="s">
        <v>43</v>
      </c>
      <c r="D104" s="2">
        <v>7</v>
      </c>
      <c r="E104" s="2">
        <v>6859661098</v>
      </c>
      <c r="F104" s="2" t="s">
        <v>13</v>
      </c>
      <c r="G104" s="2" t="s">
        <v>20</v>
      </c>
      <c r="H104" s="2" t="s">
        <v>21</v>
      </c>
      <c r="I104" s="2" t="s">
        <v>29</v>
      </c>
      <c r="J104" s="2" t="s">
        <v>23</v>
      </c>
    </row>
    <row r="105" spans="1:10" x14ac:dyDescent="0.3">
      <c r="A105" s="2" t="s">
        <v>131</v>
      </c>
      <c r="B105" s="2" t="s">
        <v>25</v>
      </c>
      <c r="C105" s="2" t="s">
        <v>36</v>
      </c>
      <c r="D105" s="2">
        <v>5</v>
      </c>
      <c r="E105" s="2">
        <v>9734558695</v>
      </c>
      <c r="F105" s="2" t="s">
        <v>19</v>
      </c>
      <c r="G105" s="2" t="s">
        <v>14</v>
      </c>
      <c r="H105" s="2" t="s">
        <v>21</v>
      </c>
      <c r="I105" s="2" t="s">
        <v>29</v>
      </c>
      <c r="J105" s="2" t="s">
        <v>22</v>
      </c>
    </row>
    <row r="106" spans="1:10" x14ac:dyDescent="0.3">
      <c r="A106" s="2" t="s">
        <v>132</v>
      </c>
      <c r="B106" s="2" t="s">
        <v>11</v>
      </c>
      <c r="C106" s="2" t="s">
        <v>26</v>
      </c>
      <c r="D106" s="2">
        <v>3</v>
      </c>
      <c r="E106" s="2">
        <v>6157105091</v>
      </c>
      <c r="F106" s="2" t="s">
        <v>19</v>
      </c>
      <c r="G106" s="2" t="s">
        <v>14</v>
      </c>
      <c r="H106" s="2" t="s">
        <v>21</v>
      </c>
      <c r="I106" s="2" t="s">
        <v>22</v>
      </c>
      <c r="J106" s="2" t="s">
        <v>17</v>
      </c>
    </row>
    <row r="107" spans="1:10" x14ac:dyDescent="0.3">
      <c r="A107" s="2" t="s">
        <v>133</v>
      </c>
      <c r="B107" s="2" t="s">
        <v>32</v>
      </c>
      <c r="C107" s="2" t="s">
        <v>43</v>
      </c>
      <c r="D107" s="2">
        <v>7</v>
      </c>
      <c r="E107" s="2">
        <v>9448379542</v>
      </c>
      <c r="F107" s="2" t="s">
        <v>13</v>
      </c>
      <c r="G107" s="2" t="s">
        <v>20</v>
      </c>
      <c r="H107" s="2" t="s">
        <v>15</v>
      </c>
      <c r="I107" s="2" t="s">
        <v>27</v>
      </c>
      <c r="J107" s="2" t="s">
        <v>22</v>
      </c>
    </row>
    <row r="108" spans="1:10" x14ac:dyDescent="0.3">
      <c r="A108" s="2" t="s">
        <v>134</v>
      </c>
      <c r="B108" s="2" t="s">
        <v>32</v>
      </c>
      <c r="C108" s="2" t="s">
        <v>36</v>
      </c>
      <c r="D108" s="2">
        <v>7</v>
      </c>
      <c r="E108" s="2">
        <v>6178349156</v>
      </c>
      <c r="F108" s="2" t="s">
        <v>19</v>
      </c>
      <c r="G108" s="2" t="s">
        <v>14</v>
      </c>
      <c r="H108" s="2" t="s">
        <v>15</v>
      </c>
      <c r="I108" s="2" t="s">
        <v>29</v>
      </c>
      <c r="J108" s="2" t="s">
        <v>17</v>
      </c>
    </row>
    <row r="109" spans="1:10" x14ac:dyDescent="0.3">
      <c r="A109" s="2" t="s">
        <v>135</v>
      </c>
      <c r="B109" s="2" t="s">
        <v>11</v>
      </c>
      <c r="C109" s="2" t="s">
        <v>33</v>
      </c>
      <c r="D109" s="2">
        <v>3</v>
      </c>
      <c r="E109" s="2">
        <v>8850593444</v>
      </c>
      <c r="F109" s="2" t="s">
        <v>13</v>
      </c>
      <c r="G109" s="2" t="s">
        <v>20</v>
      </c>
      <c r="H109" s="2" t="s">
        <v>15</v>
      </c>
      <c r="I109" s="2" t="s">
        <v>22</v>
      </c>
      <c r="J109" s="2" t="s">
        <v>22</v>
      </c>
    </row>
    <row r="110" spans="1:10" x14ac:dyDescent="0.3">
      <c r="A110" s="2" t="s">
        <v>136</v>
      </c>
      <c r="B110" s="2" t="s">
        <v>35</v>
      </c>
      <c r="C110" s="2" t="s">
        <v>43</v>
      </c>
      <c r="D110" s="2">
        <v>1</v>
      </c>
      <c r="E110" s="2">
        <v>7540656138</v>
      </c>
      <c r="F110" s="2" t="s">
        <v>19</v>
      </c>
      <c r="G110" s="2" t="s">
        <v>20</v>
      </c>
      <c r="H110" s="2" t="s">
        <v>21</v>
      </c>
      <c r="I110" s="2" t="s">
        <v>22</v>
      </c>
      <c r="J110" s="2" t="s">
        <v>23</v>
      </c>
    </row>
    <row r="111" spans="1:10" x14ac:dyDescent="0.3">
      <c r="A111" s="2" t="s">
        <v>137</v>
      </c>
      <c r="B111" s="2" t="s">
        <v>35</v>
      </c>
      <c r="C111" s="2" t="s">
        <v>36</v>
      </c>
      <c r="D111" s="2">
        <v>1</v>
      </c>
      <c r="E111" s="2">
        <v>7415594741</v>
      </c>
      <c r="F111" s="2" t="s">
        <v>13</v>
      </c>
      <c r="G111" s="2" t="s">
        <v>20</v>
      </c>
      <c r="H111" s="2" t="s">
        <v>21</v>
      </c>
      <c r="I111" s="2" t="s">
        <v>29</v>
      </c>
      <c r="J111" s="2" t="s">
        <v>22</v>
      </c>
    </row>
    <row r="112" spans="1:10" x14ac:dyDescent="0.3">
      <c r="A112" s="2" t="s">
        <v>138</v>
      </c>
      <c r="B112" s="2" t="s">
        <v>35</v>
      </c>
      <c r="C112" s="2" t="s">
        <v>12</v>
      </c>
      <c r="D112" s="2">
        <v>1</v>
      </c>
      <c r="E112" s="2">
        <v>9145866386</v>
      </c>
      <c r="F112" s="2" t="s">
        <v>19</v>
      </c>
      <c r="G112" s="2" t="s">
        <v>14</v>
      </c>
      <c r="H112" s="2" t="s">
        <v>21</v>
      </c>
      <c r="I112" s="2" t="s">
        <v>29</v>
      </c>
      <c r="J112" s="2" t="s">
        <v>22</v>
      </c>
    </row>
    <row r="113" spans="1:10" x14ac:dyDescent="0.3">
      <c r="A113" s="2" t="s">
        <v>139</v>
      </c>
      <c r="B113" s="2" t="s">
        <v>11</v>
      </c>
      <c r="C113" s="2" t="s">
        <v>36</v>
      </c>
      <c r="D113" s="2">
        <v>3</v>
      </c>
      <c r="E113" s="2">
        <v>7125620888</v>
      </c>
      <c r="F113" s="2" t="s">
        <v>19</v>
      </c>
      <c r="G113" s="2" t="s">
        <v>14</v>
      </c>
      <c r="H113" s="2" t="s">
        <v>21</v>
      </c>
      <c r="I113" s="2" t="s">
        <v>29</v>
      </c>
      <c r="J113" s="2" t="s">
        <v>23</v>
      </c>
    </row>
    <row r="114" spans="1:10" x14ac:dyDescent="0.3">
      <c r="A114" s="2" t="s">
        <v>140</v>
      </c>
      <c r="B114" s="2" t="s">
        <v>32</v>
      </c>
      <c r="C114" s="2" t="s">
        <v>36</v>
      </c>
      <c r="D114" s="2">
        <v>7</v>
      </c>
      <c r="E114" s="2">
        <v>8454879720</v>
      </c>
      <c r="F114" s="2" t="s">
        <v>13</v>
      </c>
      <c r="G114" s="2" t="s">
        <v>14</v>
      </c>
      <c r="H114" s="2" t="s">
        <v>15</v>
      </c>
      <c r="I114" s="2" t="s">
        <v>41</v>
      </c>
      <c r="J114" s="2" t="s">
        <v>23</v>
      </c>
    </row>
    <row r="115" spans="1:10" x14ac:dyDescent="0.3">
      <c r="A115" s="2" t="s">
        <v>140</v>
      </c>
      <c r="B115" s="2" t="s">
        <v>11</v>
      </c>
      <c r="C115" s="2" t="s">
        <v>36</v>
      </c>
      <c r="D115" s="2">
        <v>3</v>
      </c>
      <c r="E115" s="2">
        <v>6223507926</v>
      </c>
      <c r="F115" s="2" t="s">
        <v>19</v>
      </c>
      <c r="G115" s="2" t="s">
        <v>14</v>
      </c>
      <c r="H115" s="2" t="s">
        <v>15</v>
      </c>
      <c r="I115" s="2" t="s">
        <v>41</v>
      </c>
      <c r="J115" s="2" t="s">
        <v>22</v>
      </c>
    </row>
    <row r="116" spans="1:10" x14ac:dyDescent="0.3">
      <c r="A116" s="2" t="s">
        <v>141</v>
      </c>
      <c r="B116" s="2" t="s">
        <v>11</v>
      </c>
      <c r="C116" s="2" t="s">
        <v>33</v>
      </c>
      <c r="D116" s="2">
        <v>3</v>
      </c>
      <c r="E116" s="2">
        <v>7276354356</v>
      </c>
      <c r="F116" s="2" t="s">
        <v>13</v>
      </c>
      <c r="G116" s="2" t="s">
        <v>14</v>
      </c>
      <c r="H116" s="2" t="s">
        <v>15</v>
      </c>
      <c r="I116" s="2" t="s">
        <v>41</v>
      </c>
      <c r="J116" s="2" t="s">
        <v>22</v>
      </c>
    </row>
    <row r="117" spans="1:10" x14ac:dyDescent="0.3">
      <c r="A117" s="2" t="s">
        <v>142</v>
      </c>
      <c r="B117" s="2" t="s">
        <v>11</v>
      </c>
      <c r="C117" s="2" t="s">
        <v>36</v>
      </c>
      <c r="D117" s="2">
        <v>3</v>
      </c>
      <c r="E117" s="2">
        <v>6250787339</v>
      </c>
      <c r="F117" s="2" t="s">
        <v>19</v>
      </c>
      <c r="G117" s="2" t="s">
        <v>14</v>
      </c>
      <c r="H117" s="2" t="s">
        <v>15</v>
      </c>
      <c r="I117" s="2" t="s">
        <v>27</v>
      </c>
      <c r="J117" s="2" t="s">
        <v>23</v>
      </c>
    </row>
    <row r="118" spans="1:10" x14ac:dyDescent="0.3">
      <c r="A118" s="2" t="s">
        <v>143</v>
      </c>
      <c r="B118" s="2" t="s">
        <v>25</v>
      </c>
      <c r="C118" s="2" t="s">
        <v>12</v>
      </c>
      <c r="D118" s="2">
        <v>5</v>
      </c>
      <c r="E118" s="2">
        <v>9353099314</v>
      </c>
      <c r="F118" s="2" t="s">
        <v>19</v>
      </c>
      <c r="G118" s="2" t="s">
        <v>20</v>
      </c>
      <c r="H118" s="2" t="s">
        <v>15</v>
      </c>
      <c r="I118" s="2" t="s">
        <v>27</v>
      </c>
      <c r="J118" s="2" t="s">
        <v>17</v>
      </c>
    </row>
    <row r="119" spans="1:10" x14ac:dyDescent="0.3">
      <c r="A119" s="2" t="s">
        <v>144</v>
      </c>
      <c r="B119" s="2" t="s">
        <v>35</v>
      </c>
      <c r="C119" s="2" t="s">
        <v>33</v>
      </c>
      <c r="D119" s="2">
        <v>1</v>
      </c>
      <c r="E119" s="2">
        <v>9328278943</v>
      </c>
      <c r="F119" s="2" t="s">
        <v>19</v>
      </c>
      <c r="G119" s="2" t="s">
        <v>20</v>
      </c>
      <c r="H119" s="2" t="s">
        <v>21</v>
      </c>
      <c r="I119" s="2" t="s">
        <v>27</v>
      </c>
      <c r="J119" s="2" t="s">
        <v>23</v>
      </c>
    </row>
    <row r="120" spans="1:10" x14ac:dyDescent="0.3">
      <c r="A120" s="2" t="s">
        <v>145</v>
      </c>
      <c r="B120" s="2" t="s">
        <v>25</v>
      </c>
      <c r="C120" s="2" t="s">
        <v>26</v>
      </c>
      <c r="D120" s="2">
        <v>5</v>
      </c>
      <c r="E120" s="2">
        <v>8859283949</v>
      </c>
      <c r="F120" s="2" t="s">
        <v>19</v>
      </c>
      <c r="G120" s="2" t="s">
        <v>20</v>
      </c>
      <c r="H120" s="2" t="s">
        <v>15</v>
      </c>
      <c r="I120" s="2" t="s">
        <v>37</v>
      </c>
      <c r="J120" s="2" t="s">
        <v>22</v>
      </c>
    </row>
    <row r="121" spans="1:10" x14ac:dyDescent="0.3">
      <c r="A121" s="2" t="s">
        <v>146</v>
      </c>
      <c r="B121" s="2" t="s">
        <v>11</v>
      </c>
      <c r="C121" s="2" t="s">
        <v>12</v>
      </c>
      <c r="D121" s="2">
        <v>3</v>
      </c>
      <c r="E121" s="2">
        <v>7025327456</v>
      </c>
      <c r="F121" s="2" t="s">
        <v>13</v>
      </c>
      <c r="G121" s="2" t="s">
        <v>20</v>
      </c>
      <c r="H121" s="2" t="s">
        <v>15</v>
      </c>
      <c r="I121" s="2" t="s">
        <v>16</v>
      </c>
      <c r="J121" s="2" t="s">
        <v>22</v>
      </c>
    </row>
    <row r="122" spans="1:10" x14ac:dyDescent="0.3">
      <c r="A122" s="2" t="s">
        <v>147</v>
      </c>
      <c r="B122" s="2" t="s">
        <v>25</v>
      </c>
      <c r="C122" s="2" t="s">
        <v>26</v>
      </c>
      <c r="D122" s="2">
        <v>5</v>
      </c>
      <c r="E122" s="2">
        <v>8908130483</v>
      </c>
      <c r="F122" s="2" t="s">
        <v>13</v>
      </c>
      <c r="G122" s="2" t="s">
        <v>14</v>
      </c>
      <c r="H122" s="2" t="s">
        <v>15</v>
      </c>
      <c r="I122" s="2" t="s">
        <v>41</v>
      </c>
      <c r="J122" s="2" t="s">
        <v>17</v>
      </c>
    </row>
    <row r="123" spans="1:10" x14ac:dyDescent="0.3">
      <c r="A123" s="2" t="s">
        <v>148</v>
      </c>
      <c r="B123" s="2" t="s">
        <v>11</v>
      </c>
      <c r="C123" s="2" t="s">
        <v>12</v>
      </c>
      <c r="D123" s="2">
        <v>3</v>
      </c>
      <c r="E123" s="2">
        <v>9647080659</v>
      </c>
      <c r="F123" s="2" t="s">
        <v>19</v>
      </c>
      <c r="G123" s="2" t="s">
        <v>14</v>
      </c>
      <c r="H123" s="2" t="s">
        <v>21</v>
      </c>
      <c r="I123" s="2" t="s">
        <v>22</v>
      </c>
      <c r="J123" s="2" t="s">
        <v>23</v>
      </c>
    </row>
    <row r="124" spans="1:10" x14ac:dyDescent="0.3">
      <c r="A124" s="2" t="s">
        <v>149</v>
      </c>
      <c r="B124" s="2" t="s">
        <v>11</v>
      </c>
      <c r="C124" s="2" t="s">
        <v>43</v>
      </c>
      <c r="D124" s="2">
        <v>3</v>
      </c>
      <c r="E124" s="2">
        <v>7637570444</v>
      </c>
      <c r="F124" s="2" t="s">
        <v>19</v>
      </c>
      <c r="G124" s="2" t="s">
        <v>14</v>
      </c>
      <c r="H124" s="2" t="s">
        <v>21</v>
      </c>
      <c r="I124" s="2" t="s">
        <v>41</v>
      </c>
      <c r="J124" s="2" t="s">
        <v>22</v>
      </c>
    </row>
    <row r="125" spans="1:10" x14ac:dyDescent="0.3">
      <c r="A125" s="2" t="s">
        <v>150</v>
      </c>
      <c r="B125" s="2" t="s">
        <v>11</v>
      </c>
      <c r="C125" s="2" t="s">
        <v>43</v>
      </c>
      <c r="D125" s="2">
        <v>3</v>
      </c>
      <c r="E125" s="2">
        <v>8293855360</v>
      </c>
      <c r="F125" s="2" t="s">
        <v>19</v>
      </c>
      <c r="G125" s="2" t="s">
        <v>20</v>
      </c>
      <c r="H125" s="2" t="s">
        <v>15</v>
      </c>
      <c r="I125" s="2" t="s">
        <v>22</v>
      </c>
      <c r="J125" s="2" t="s">
        <v>22</v>
      </c>
    </row>
    <row r="126" spans="1:10" x14ac:dyDescent="0.3">
      <c r="A126" s="2" t="s">
        <v>151</v>
      </c>
      <c r="B126" s="2" t="s">
        <v>11</v>
      </c>
      <c r="C126" s="2" t="s">
        <v>33</v>
      </c>
      <c r="D126" s="2">
        <v>3</v>
      </c>
      <c r="E126" s="2">
        <v>8653670336</v>
      </c>
      <c r="F126" s="2" t="s">
        <v>19</v>
      </c>
      <c r="G126" s="2" t="s">
        <v>20</v>
      </c>
      <c r="H126" s="2" t="s">
        <v>15</v>
      </c>
      <c r="I126" s="2" t="s">
        <v>41</v>
      </c>
      <c r="J126" s="2" t="s">
        <v>17</v>
      </c>
    </row>
    <row r="127" spans="1:10" x14ac:dyDescent="0.3">
      <c r="A127" s="2" t="s">
        <v>152</v>
      </c>
      <c r="B127" s="2" t="s">
        <v>32</v>
      </c>
      <c r="C127" s="2" t="s">
        <v>26</v>
      </c>
      <c r="D127" s="2">
        <v>7</v>
      </c>
      <c r="E127" s="2">
        <v>6384894424</v>
      </c>
      <c r="F127" s="2" t="s">
        <v>13</v>
      </c>
      <c r="G127" s="2" t="s">
        <v>20</v>
      </c>
      <c r="H127" s="2" t="s">
        <v>15</v>
      </c>
      <c r="I127" s="2" t="s">
        <v>37</v>
      </c>
      <c r="J127" s="2" t="s">
        <v>17</v>
      </c>
    </row>
    <row r="128" spans="1:10" x14ac:dyDescent="0.3">
      <c r="A128" s="2" t="s">
        <v>153</v>
      </c>
      <c r="B128" s="2" t="s">
        <v>25</v>
      </c>
      <c r="C128" s="2" t="s">
        <v>12</v>
      </c>
      <c r="D128" s="2">
        <v>5</v>
      </c>
      <c r="E128" s="2">
        <v>8451262589</v>
      </c>
      <c r="F128" s="2" t="s">
        <v>19</v>
      </c>
      <c r="G128" s="2" t="s">
        <v>14</v>
      </c>
      <c r="H128" s="2" t="s">
        <v>15</v>
      </c>
      <c r="I128" s="2" t="s">
        <v>41</v>
      </c>
      <c r="J128" s="2" t="s">
        <v>17</v>
      </c>
    </row>
    <row r="129" spans="1:10" x14ac:dyDescent="0.3">
      <c r="A129" s="2" t="s">
        <v>154</v>
      </c>
      <c r="B129" s="2" t="s">
        <v>32</v>
      </c>
      <c r="C129" s="2" t="s">
        <v>43</v>
      </c>
      <c r="D129" s="2">
        <v>7</v>
      </c>
      <c r="E129" s="2">
        <v>9047283200</v>
      </c>
      <c r="F129" s="2" t="s">
        <v>13</v>
      </c>
      <c r="G129" s="2" t="s">
        <v>20</v>
      </c>
      <c r="H129" s="2" t="s">
        <v>15</v>
      </c>
      <c r="I129" s="2" t="s">
        <v>41</v>
      </c>
      <c r="J129" s="2" t="s">
        <v>17</v>
      </c>
    </row>
    <row r="130" spans="1:10" x14ac:dyDescent="0.3">
      <c r="A130" s="2" t="s">
        <v>155</v>
      </c>
      <c r="B130" s="2" t="s">
        <v>25</v>
      </c>
      <c r="C130" s="2" t="s">
        <v>12</v>
      </c>
      <c r="D130" s="2">
        <v>5</v>
      </c>
      <c r="E130" s="2">
        <v>7496307145</v>
      </c>
      <c r="F130" s="2" t="s">
        <v>13</v>
      </c>
      <c r="G130" s="2" t="s">
        <v>14</v>
      </c>
      <c r="H130" s="2" t="s">
        <v>15</v>
      </c>
      <c r="I130" s="2" t="s">
        <v>37</v>
      </c>
      <c r="J130" s="2" t="s">
        <v>23</v>
      </c>
    </row>
    <row r="131" spans="1:10" x14ac:dyDescent="0.3">
      <c r="A131" s="2" t="s">
        <v>156</v>
      </c>
      <c r="B131" s="2" t="s">
        <v>35</v>
      </c>
      <c r="C131" s="2" t="s">
        <v>33</v>
      </c>
      <c r="D131" s="2">
        <v>1</v>
      </c>
      <c r="E131" s="2">
        <v>6238874101</v>
      </c>
      <c r="F131" s="2" t="s">
        <v>19</v>
      </c>
      <c r="G131" s="2" t="s">
        <v>14</v>
      </c>
      <c r="H131" s="2" t="s">
        <v>15</v>
      </c>
      <c r="I131" s="2" t="s">
        <v>37</v>
      </c>
      <c r="J131" s="2" t="s">
        <v>23</v>
      </c>
    </row>
    <row r="132" spans="1:10" x14ac:dyDescent="0.3">
      <c r="A132" s="2" t="s">
        <v>157</v>
      </c>
      <c r="B132" s="2" t="s">
        <v>35</v>
      </c>
      <c r="C132" s="2" t="s">
        <v>43</v>
      </c>
      <c r="D132" s="2">
        <v>1</v>
      </c>
      <c r="E132" s="2">
        <v>9755659587</v>
      </c>
      <c r="F132" s="2" t="s">
        <v>19</v>
      </c>
      <c r="G132" s="2" t="s">
        <v>14</v>
      </c>
      <c r="H132" s="2" t="s">
        <v>21</v>
      </c>
      <c r="I132" s="2" t="s">
        <v>22</v>
      </c>
      <c r="J132" s="2" t="s">
        <v>17</v>
      </c>
    </row>
    <row r="133" spans="1:10" x14ac:dyDescent="0.3">
      <c r="A133" s="2" t="s">
        <v>158</v>
      </c>
      <c r="B133" s="2" t="s">
        <v>35</v>
      </c>
      <c r="C133" s="2" t="s">
        <v>12</v>
      </c>
      <c r="D133" s="2">
        <v>1</v>
      </c>
      <c r="E133" s="2">
        <v>7600829031</v>
      </c>
      <c r="F133" s="2" t="s">
        <v>19</v>
      </c>
      <c r="G133" s="2" t="s">
        <v>14</v>
      </c>
      <c r="H133" s="2" t="s">
        <v>15</v>
      </c>
      <c r="I133" s="2" t="s">
        <v>37</v>
      </c>
      <c r="J133" s="2" t="s">
        <v>23</v>
      </c>
    </row>
    <row r="134" spans="1:10" x14ac:dyDescent="0.3">
      <c r="A134" s="2" t="s">
        <v>159</v>
      </c>
      <c r="B134" s="2" t="s">
        <v>25</v>
      </c>
      <c r="C134" s="2" t="s">
        <v>12</v>
      </c>
      <c r="D134" s="2">
        <v>5</v>
      </c>
      <c r="E134" s="2">
        <v>7811790353</v>
      </c>
      <c r="F134" s="2" t="s">
        <v>19</v>
      </c>
      <c r="G134" s="2" t="s">
        <v>20</v>
      </c>
      <c r="H134" s="2" t="s">
        <v>21</v>
      </c>
      <c r="I134" s="2" t="s">
        <v>27</v>
      </c>
      <c r="J134" s="2" t="s">
        <v>22</v>
      </c>
    </row>
    <row r="135" spans="1:10" x14ac:dyDescent="0.3">
      <c r="A135" s="2" t="s">
        <v>160</v>
      </c>
      <c r="B135" s="2" t="s">
        <v>25</v>
      </c>
      <c r="C135" s="2" t="s">
        <v>12</v>
      </c>
      <c r="D135" s="2">
        <v>5</v>
      </c>
      <c r="E135" s="2">
        <v>6374361460</v>
      </c>
      <c r="F135" s="2" t="s">
        <v>13</v>
      </c>
      <c r="G135" s="2" t="s">
        <v>20</v>
      </c>
      <c r="H135" s="2" t="s">
        <v>21</v>
      </c>
      <c r="I135" s="2" t="s">
        <v>22</v>
      </c>
      <c r="J135" s="2" t="s">
        <v>22</v>
      </c>
    </row>
    <row r="136" spans="1:10" x14ac:dyDescent="0.3">
      <c r="A136" s="2" t="s">
        <v>161</v>
      </c>
      <c r="B136" s="2" t="s">
        <v>25</v>
      </c>
      <c r="C136" s="2" t="s">
        <v>33</v>
      </c>
      <c r="D136" s="2">
        <v>5</v>
      </c>
      <c r="E136" s="2">
        <v>6446944373</v>
      </c>
      <c r="F136" s="2" t="s">
        <v>19</v>
      </c>
      <c r="G136" s="2" t="s">
        <v>20</v>
      </c>
      <c r="H136" s="2" t="s">
        <v>15</v>
      </c>
      <c r="I136" s="2" t="s">
        <v>37</v>
      </c>
      <c r="J136" s="2" t="s">
        <v>22</v>
      </c>
    </row>
    <row r="137" spans="1:10" x14ac:dyDescent="0.3">
      <c r="A137" s="2" t="s">
        <v>162</v>
      </c>
      <c r="B137" s="2" t="s">
        <v>25</v>
      </c>
      <c r="C137" s="2" t="s">
        <v>12</v>
      </c>
      <c r="D137" s="2">
        <v>5</v>
      </c>
      <c r="E137" s="2">
        <v>6744565986</v>
      </c>
      <c r="F137" s="2" t="s">
        <v>13</v>
      </c>
      <c r="G137" s="2" t="s">
        <v>14</v>
      </c>
      <c r="H137" s="2" t="s">
        <v>21</v>
      </c>
      <c r="I137" s="2" t="s">
        <v>41</v>
      </c>
      <c r="J137" s="2" t="s">
        <v>17</v>
      </c>
    </row>
    <row r="138" spans="1:10" x14ac:dyDescent="0.3">
      <c r="A138" s="2" t="s">
        <v>163</v>
      </c>
      <c r="B138" s="2" t="s">
        <v>35</v>
      </c>
      <c r="C138" s="2" t="s">
        <v>33</v>
      </c>
      <c r="D138" s="2">
        <v>1</v>
      </c>
      <c r="E138" s="2">
        <v>8103405826</v>
      </c>
      <c r="F138" s="2" t="s">
        <v>13</v>
      </c>
      <c r="G138" s="2" t="s">
        <v>20</v>
      </c>
      <c r="H138" s="2" t="s">
        <v>15</v>
      </c>
      <c r="I138" s="2" t="s">
        <v>27</v>
      </c>
      <c r="J138" s="2" t="s">
        <v>22</v>
      </c>
    </row>
    <row r="139" spans="1:10" x14ac:dyDescent="0.3">
      <c r="A139" s="2" t="s">
        <v>164</v>
      </c>
      <c r="B139" s="2" t="s">
        <v>11</v>
      </c>
      <c r="C139" s="2" t="s">
        <v>12</v>
      </c>
      <c r="D139" s="2">
        <v>3</v>
      </c>
      <c r="E139" s="2">
        <v>6960751126</v>
      </c>
      <c r="F139" s="2" t="s">
        <v>13</v>
      </c>
      <c r="G139" s="2" t="s">
        <v>14</v>
      </c>
      <c r="H139" s="2" t="s">
        <v>21</v>
      </c>
      <c r="I139" s="2" t="s">
        <v>29</v>
      </c>
      <c r="J139" s="2" t="s">
        <v>17</v>
      </c>
    </row>
    <row r="140" spans="1:10" x14ac:dyDescent="0.3">
      <c r="A140" s="2" t="s">
        <v>165</v>
      </c>
      <c r="B140" s="2" t="s">
        <v>32</v>
      </c>
      <c r="C140" s="2" t="s">
        <v>26</v>
      </c>
      <c r="D140" s="2">
        <v>7</v>
      </c>
      <c r="E140" s="2">
        <v>7907620877</v>
      </c>
      <c r="F140" s="2" t="s">
        <v>19</v>
      </c>
      <c r="G140" s="2" t="s">
        <v>20</v>
      </c>
      <c r="H140" s="2" t="s">
        <v>15</v>
      </c>
      <c r="I140" s="2" t="s">
        <v>41</v>
      </c>
      <c r="J140" s="2" t="s">
        <v>22</v>
      </c>
    </row>
    <row r="141" spans="1:10" x14ac:dyDescent="0.3">
      <c r="A141" s="2" t="s">
        <v>166</v>
      </c>
      <c r="B141" s="2" t="s">
        <v>35</v>
      </c>
      <c r="C141" s="2" t="s">
        <v>36</v>
      </c>
      <c r="D141" s="2">
        <v>1</v>
      </c>
      <c r="E141" s="2">
        <v>9565776106</v>
      </c>
      <c r="F141" s="2" t="s">
        <v>19</v>
      </c>
      <c r="G141" s="2" t="s">
        <v>20</v>
      </c>
      <c r="H141" s="2" t="s">
        <v>15</v>
      </c>
      <c r="I141" s="2" t="s">
        <v>27</v>
      </c>
      <c r="J141" s="2" t="s">
        <v>17</v>
      </c>
    </row>
    <row r="142" spans="1:10" x14ac:dyDescent="0.3">
      <c r="A142" s="2" t="s">
        <v>167</v>
      </c>
      <c r="B142" s="2" t="s">
        <v>11</v>
      </c>
      <c r="C142" s="2" t="s">
        <v>36</v>
      </c>
      <c r="D142" s="2">
        <v>3</v>
      </c>
      <c r="E142" s="2">
        <v>8764974317</v>
      </c>
      <c r="F142" s="2" t="s">
        <v>19</v>
      </c>
      <c r="G142" s="2" t="s">
        <v>20</v>
      </c>
      <c r="H142" s="2" t="s">
        <v>21</v>
      </c>
      <c r="I142" s="2" t="s">
        <v>27</v>
      </c>
      <c r="J142" s="2" t="s">
        <v>22</v>
      </c>
    </row>
    <row r="143" spans="1:10" x14ac:dyDescent="0.3">
      <c r="A143" s="2" t="s">
        <v>168</v>
      </c>
      <c r="B143" s="2" t="s">
        <v>11</v>
      </c>
      <c r="C143" s="2" t="s">
        <v>36</v>
      </c>
      <c r="D143" s="2">
        <v>3</v>
      </c>
      <c r="E143" s="2">
        <v>8614255190</v>
      </c>
      <c r="F143" s="2" t="s">
        <v>13</v>
      </c>
      <c r="G143" s="2" t="s">
        <v>20</v>
      </c>
      <c r="H143" s="2" t="s">
        <v>15</v>
      </c>
      <c r="I143" s="2" t="s">
        <v>41</v>
      </c>
      <c r="J143" s="2" t="s">
        <v>17</v>
      </c>
    </row>
    <row r="144" spans="1:10" x14ac:dyDescent="0.3">
      <c r="A144" s="2" t="s">
        <v>169</v>
      </c>
      <c r="B144" s="2" t="s">
        <v>11</v>
      </c>
      <c r="C144" s="2" t="s">
        <v>33</v>
      </c>
      <c r="D144" s="2">
        <v>3</v>
      </c>
      <c r="E144" s="2">
        <v>7075735790</v>
      </c>
      <c r="F144" s="2" t="s">
        <v>13</v>
      </c>
      <c r="G144" s="2" t="s">
        <v>20</v>
      </c>
      <c r="H144" s="2" t="s">
        <v>21</v>
      </c>
      <c r="I144" s="2" t="s">
        <v>27</v>
      </c>
      <c r="J144" s="2" t="s">
        <v>23</v>
      </c>
    </row>
    <row r="145" spans="1:10" x14ac:dyDescent="0.3">
      <c r="A145" s="2" t="s">
        <v>170</v>
      </c>
      <c r="B145" s="2" t="s">
        <v>35</v>
      </c>
      <c r="C145" s="2" t="s">
        <v>12</v>
      </c>
      <c r="D145" s="2">
        <v>1</v>
      </c>
      <c r="E145" s="2">
        <v>6841136105</v>
      </c>
      <c r="F145" s="2" t="s">
        <v>13</v>
      </c>
      <c r="G145" s="2" t="s">
        <v>20</v>
      </c>
      <c r="H145" s="2" t="s">
        <v>15</v>
      </c>
      <c r="I145" s="2" t="s">
        <v>22</v>
      </c>
      <c r="J145" s="2" t="s">
        <v>17</v>
      </c>
    </row>
    <row r="146" spans="1:10" x14ac:dyDescent="0.3">
      <c r="A146" s="2" t="s">
        <v>171</v>
      </c>
      <c r="B146" s="2" t="s">
        <v>25</v>
      </c>
      <c r="C146" s="2" t="s">
        <v>12</v>
      </c>
      <c r="D146" s="2">
        <v>5</v>
      </c>
      <c r="E146" s="2">
        <v>9879224090</v>
      </c>
      <c r="F146" s="2" t="s">
        <v>13</v>
      </c>
      <c r="G146" s="2" t="s">
        <v>14</v>
      </c>
      <c r="H146" s="2" t="s">
        <v>15</v>
      </c>
      <c r="I146" s="2" t="s">
        <v>41</v>
      </c>
      <c r="J146" s="2" t="s">
        <v>22</v>
      </c>
    </row>
    <row r="147" spans="1:10" x14ac:dyDescent="0.3">
      <c r="A147" s="2" t="s">
        <v>172</v>
      </c>
      <c r="B147" s="2" t="s">
        <v>32</v>
      </c>
      <c r="C147" s="2" t="s">
        <v>43</v>
      </c>
      <c r="D147" s="2">
        <v>7</v>
      </c>
      <c r="E147" s="2">
        <v>7871019475</v>
      </c>
      <c r="F147" s="2" t="s">
        <v>19</v>
      </c>
      <c r="G147" s="2" t="s">
        <v>20</v>
      </c>
      <c r="H147" s="2" t="s">
        <v>15</v>
      </c>
      <c r="I147" s="2" t="s">
        <v>29</v>
      </c>
      <c r="J147" s="2" t="s">
        <v>22</v>
      </c>
    </row>
    <row r="148" spans="1:10" x14ac:dyDescent="0.3">
      <c r="A148" s="2" t="s">
        <v>173</v>
      </c>
      <c r="B148" s="2" t="s">
        <v>25</v>
      </c>
      <c r="C148" s="2" t="s">
        <v>12</v>
      </c>
      <c r="D148" s="2">
        <v>5</v>
      </c>
      <c r="E148" s="2">
        <v>9668771037</v>
      </c>
      <c r="F148" s="2" t="s">
        <v>13</v>
      </c>
      <c r="G148" s="2" t="s">
        <v>14</v>
      </c>
      <c r="H148" s="2" t="s">
        <v>21</v>
      </c>
      <c r="I148" s="2" t="s">
        <v>41</v>
      </c>
      <c r="J148" s="2" t="s">
        <v>17</v>
      </c>
    </row>
    <row r="149" spans="1:10" x14ac:dyDescent="0.3">
      <c r="A149" s="2" t="s">
        <v>174</v>
      </c>
      <c r="B149" s="2" t="s">
        <v>25</v>
      </c>
      <c r="C149" s="2" t="s">
        <v>12</v>
      </c>
      <c r="D149" s="2">
        <v>5</v>
      </c>
      <c r="E149" s="2">
        <v>7203514151</v>
      </c>
      <c r="F149" s="2" t="s">
        <v>13</v>
      </c>
      <c r="G149" s="2" t="s">
        <v>20</v>
      </c>
      <c r="H149" s="2" t="s">
        <v>15</v>
      </c>
      <c r="I149" s="2" t="s">
        <v>41</v>
      </c>
      <c r="J149" s="2" t="s">
        <v>22</v>
      </c>
    </row>
    <row r="150" spans="1:10" x14ac:dyDescent="0.3">
      <c r="A150" s="2" t="s">
        <v>175</v>
      </c>
      <c r="B150" s="2" t="s">
        <v>11</v>
      </c>
      <c r="C150" s="2" t="s">
        <v>12</v>
      </c>
      <c r="D150" s="2">
        <v>3</v>
      </c>
      <c r="E150" s="2">
        <v>9164811063</v>
      </c>
      <c r="F150" s="2" t="s">
        <v>19</v>
      </c>
      <c r="G150" s="2" t="s">
        <v>20</v>
      </c>
      <c r="H150" s="2" t="s">
        <v>15</v>
      </c>
      <c r="I150" s="2" t="s">
        <v>22</v>
      </c>
      <c r="J150" s="2" t="s">
        <v>22</v>
      </c>
    </row>
    <row r="151" spans="1:10" x14ac:dyDescent="0.3">
      <c r="A151" s="2" t="s">
        <v>176</v>
      </c>
      <c r="B151" s="2" t="s">
        <v>32</v>
      </c>
      <c r="C151" s="2" t="s">
        <v>36</v>
      </c>
      <c r="D151" s="2">
        <v>7</v>
      </c>
      <c r="E151" s="2">
        <v>8671471316</v>
      </c>
      <c r="F151" s="2" t="s">
        <v>13</v>
      </c>
      <c r="G151" s="2" t="s">
        <v>20</v>
      </c>
      <c r="H151" s="2" t="s">
        <v>15</v>
      </c>
      <c r="I151" s="2" t="s">
        <v>22</v>
      </c>
      <c r="J151" s="2" t="s">
        <v>22</v>
      </c>
    </row>
    <row r="152" spans="1:10" x14ac:dyDescent="0.3">
      <c r="A152" s="2" t="s">
        <v>177</v>
      </c>
      <c r="B152" s="2" t="s">
        <v>11</v>
      </c>
      <c r="C152" s="2" t="s">
        <v>26</v>
      </c>
      <c r="D152" s="2">
        <v>3</v>
      </c>
      <c r="E152" s="2">
        <v>7270688568</v>
      </c>
      <c r="F152" s="2" t="s">
        <v>13</v>
      </c>
      <c r="G152" s="2" t="s">
        <v>14</v>
      </c>
      <c r="H152" s="2" t="s">
        <v>21</v>
      </c>
      <c r="I152" s="2" t="s">
        <v>16</v>
      </c>
      <c r="J152" s="2" t="s">
        <v>22</v>
      </c>
    </row>
    <row r="153" spans="1:10" x14ac:dyDescent="0.3">
      <c r="A153" s="2" t="s">
        <v>178</v>
      </c>
      <c r="B153" s="2" t="s">
        <v>35</v>
      </c>
      <c r="C153" s="2" t="s">
        <v>36</v>
      </c>
      <c r="D153" s="2">
        <v>1</v>
      </c>
      <c r="E153" s="2">
        <v>7068670117</v>
      </c>
      <c r="F153" s="2" t="s">
        <v>13</v>
      </c>
      <c r="G153" s="2" t="s">
        <v>20</v>
      </c>
      <c r="H153" s="2" t="s">
        <v>15</v>
      </c>
      <c r="I153" s="2" t="s">
        <v>22</v>
      </c>
      <c r="J153" s="2" t="s">
        <v>17</v>
      </c>
    </row>
    <row r="154" spans="1:10" x14ac:dyDescent="0.3">
      <c r="A154" s="2" t="s">
        <v>179</v>
      </c>
      <c r="B154" s="2" t="s">
        <v>11</v>
      </c>
      <c r="C154" s="2" t="s">
        <v>43</v>
      </c>
      <c r="D154" s="2">
        <v>3</v>
      </c>
      <c r="E154" s="2">
        <v>9700700797</v>
      </c>
      <c r="F154" s="2" t="s">
        <v>13</v>
      </c>
      <c r="G154" s="2" t="s">
        <v>14</v>
      </c>
      <c r="H154" s="2" t="s">
        <v>21</v>
      </c>
      <c r="I154" s="2" t="s">
        <v>41</v>
      </c>
      <c r="J154" s="2" t="s">
        <v>17</v>
      </c>
    </row>
    <row r="155" spans="1:10" x14ac:dyDescent="0.3">
      <c r="A155" s="2" t="s">
        <v>180</v>
      </c>
      <c r="B155" s="2" t="s">
        <v>35</v>
      </c>
      <c r="C155" s="2" t="s">
        <v>12</v>
      </c>
      <c r="D155" s="2">
        <v>1</v>
      </c>
      <c r="E155" s="2">
        <v>7314717194</v>
      </c>
      <c r="F155" s="2" t="s">
        <v>19</v>
      </c>
      <c r="G155" s="2" t="s">
        <v>20</v>
      </c>
      <c r="H155" s="2" t="s">
        <v>21</v>
      </c>
      <c r="I155" s="2" t="s">
        <v>29</v>
      </c>
      <c r="J155" s="2" t="s">
        <v>22</v>
      </c>
    </row>
    <row r="156" spans="1:10" x14ac:dyDescent="0.3">
      <c r="A156" s="2" t="s">
        <v>181</v>
      </c>
      <c r="B156" s="2" t="s">
        <v>11</v>
      </c>
      <c r="C156" s="2" t="s">
        <v>26</v>
      </c>
      <c r="D156" s="2">
        <v>3</v>
      </c>
      <c r="E156" s="2">
        <v>7334286231</v>
      </c>
      <c r="F156" s="2" t="s">
        <v>19</v>
      </c>
      <c r="G156" s="2" t="s">
        <v>20</v>
      </c>
      <c r="H156" s="2" t="s">
        <v>15</v>
      </c>
      <c r="I156" s="2" t="s">
        <v>22</v>
      </c>
      <c r="J156" s="2" t="s">
        <v>22</v>
      </c>
    </row>
    <row r="157" spans="1:10" x14ac:dyDescent="0.3">
      <c r="A157" s="2" t="s">
        <v>182</v>
      </c>
      <c r="B157" s="2" t="s">
        <v>11</v>
      </c>
      <c r="C157" s="2" t="s">
        <v>26</v>
      </c>
      <c r="D157" s="2">
        <v>3</v>
      </c>
      <c r="E157" s="2">
        <v>6591128066</v>
      </c>
      <c r="F157" s="2" t="s">
        <v>13</v>
      </c>
      <c r="G157" s="2" t="s">
        <v>20</v>
      </c>
      <c r="H157" s="2" t="s">
        <v>15</v>
      </c>
      <c r="I157" s="2" t="s">
        <v>27</v>
      </c>
      <c r="J157" s="2" t="s">
        <v>22</v>
      </c>
    </row>
    <row r="158" spans="1:10" x14ac:dyDescent="0.3">
      <c r="A158" s="2" t="s">
        <v>183</v>
      </c>
      <c r="B158" s="2" t="s">
        <v>35</v>
      </c>
      <c r="C158" s="2" t="s">
        <v>43</v>
      </c>
      <c r="D158" s="2">
        <v>1</v>
      </c>
      <c r="E158" s="2">
        <v>6063070983</v>
      </c>
      <c r="F158" s="2" t="s">
        <v>19</v>
      </c>
      <c r="G158" s="2" t="s">
        <v>14</v>
      </c>
      <c r="H158" s="2" t="s">
        <v>15</v>
      </c>
      <c r="I158" s="2" t="s">
        <v>27</v>
      </c>
      <c r="J158" s="2" t="s">
        <v>22</v>
      </c>
    </row>
    <row r="159" spans="1:10" x14ac:dyDescent="0.3">
      <c r="A159" s="2" t="s">
        <v>184</v>
      </c>
      <c r="B159" s="2" t="s">
        <v>11</v>
      </c>
      <c r="C159" s="2" t="s">
        <v>36</v>
      </c>
      <c r="D159" s="2">
        <v>3</v>
      </c>
      <c r="E159" s="2">
        <v>9407431266</v>
      </c>
      <c r="F159" s="2" t="s">
        <v>19</v>
      </c>
      <c r="G159" s="2" t="s">
        <v>20</v>
      </c>
      <c r="H159" s="2" t="s">
        <v>15</v>
      </c>
      <c r="I159" s="2" t="s">
        <v>29</v>
      </c>
      <c r="J159" s="2" t="s">
        <v>23</v>
      </c>
    </row>
    <row r="160" spans="1:10" x14ac:dyDescent="0.3">
      <c r="A160" s="2" t="s">
        <v>185</v>
      </c>
      <c r="B160" s="2" t="s">
        <v>25</v>
      </c>
      <c r="C160" s="2" t="s">
        <v>36</v>
      </c>
      <c r="D160" s="2">
        <v>5</v>
      </c>
      <c r="E160" s="2">
        <v>8273697068</v>
      </c>
      <c r="F160" s="2" t="s">
        <v>13</v>
      </c>
      <c r="G160" s="2" t="s">
        <v>14</v>
      </c>
      <c r="H160" s="2" t="s">
        <v>21</v>
      </c>
      <c r="I160" s="2" t="s">
        <v>29</v>
      </c>
      <c r="J160" s="2" t="s">
        <v>23</v>
      </c>
    </row>
    <row r="161" spans="1:10" x14ac:dyDescent="0.3">
      <c r="A161" s="2" t="s">
        <v>186</v>
      </c>
      <c r="B161" s="2" t="s">
        <v>11</v>
      </c>
      <c r="C161" s="2" t="s">
        <v>36</v>
      </c>
      <c r="D161" s="2">
        <v>3</v>
      </c>
      <c r="E161" s="2">
        <v>9879545883</v>
      </c>
      <c r="F161" s="2" t="s">
        <v>19</v>
      </c>
      <c r="G161" s="2" t="s">
        <v>20</v>
      </c>
      <c r="H161" s="2" t="s">
        <v>21</v>
      </c>
      <c r="I161" s="2" t="s">
        <v>22</v>
      </c>
      <c r="J161" s="2" t="s">
        <v>17</v>
      </c>
    </row>
    <row r="162" spans="1:10" x14ac:dyDescent="0.3">
      <c r="A162" s="2" t="s">
        <v>187</v>
      </c>
      <c r="B162" s="2" t="s">
        <v>35</v>
      </c>
      <c r="C162" s="2" t="s">
        <v>33</v>
      </c>
      <c r="D162" s="2">
        <v>1</v>
      </c>
      <c r="E162" s="2">
        <v>6954326748</v>
      </c>
      <c r="F162" s="2" t="s">
        <v>19</v>
      </c>
      <c r="G162" s="2" t="s">
        <v>20</v>
      </c>
      <c r="H162" s="2" t="s">
        <v>15</v>
      </c>
      <c r="I162" s="2" t="s">
        <v>29</v>
      </c>
      <c r="J162" s="2" t="s">
        <v>23</v>
      </c>
    </row>
    <row r="163" spans="1:10" x14ac:dyDescent="0.3">
      <c r="A163" s="2" t="s">
        <v>188</v>
      </c>
      <c r="B163" s="2" t="s">
        <v>25</v>
      </c>
      <c r="C163" s="2" t="s">
        <v>36</v>
      </c>
      <c r="D163" s="2">
        <v>5</v>
      </c>
      <c r="E163" s="2">
        <v>8606376171</v>
      </c>
      <c r="F163" s="2" t="s">
        <v>19</v>
      </c>
      <c r="G163" s="2" t="s">
        <v>20</v>
      </c>
      <c r="H163" s="2" t="s">
        <v>15</v>
      </c>
      <c r="I163" s="2" t="s">
        <v>29</v>
      </c>
      <c r="J163" s="2" t="s">
        <v>23</v>
      </c>
    </row>
    <row r="164" spans="1:10" x14ac:dyDescent="0.3">
      <c r="A164" s="2" t="s">
        <v>189</v>
      </c>
      <c r="B164" s="2" t="s">
        <v>11</v>
      </c>
      <c r="C164" s="2" t="s">
        <v>33</v>
      </c>
      <c r="D164" s="2">
        <v>3</v>
      </c>
      <c r="E164" s="2">
        <v>6658324986</v>
      </c>
      <c r="F164" s="2" t="s">
        <v>13</v>
      </c>
      <c r="G164" s="2" t="s">
        <v>20</v>
      </c>
      <c r="H164" s="2" t="s">
        <v>21</v>
      </c>
      <c r="I164" s="2" t="s">
        <v>22</v>
      </c>
      <c r="J164" s="2" t="s">
        <v>17</v>
      </c>
    </row>
    <row r="165" spans="1:10" x14ac:dyDescent="0.3">
      <c r="A165" s="2" t="s">
        <v>190</v>
      </c>
      <c r="B165" s="2" t="s">
        <v>11</v>
      </c>
      <c r="C165" s="2" t="s">
        <v>12</v>
      </c>
      <c r="D165" s="2">
        <v>3</v>
      </c>
      <c r="E165" s="2">
        <v>6975936691</v>
      </c>
      <c r="F165" s="2" t="s">
        <v>13</v>
      </c>
      <c r="G165" s="2" t="s">
        <v>14</v>
      </c>
      <c r="H165" s="2" t="s">
        <v>15</v>
      </c>
      <c r="I165" s="2" t="s">
        <v>29</v>
      </c>
      <c r="J165" s="2" t="s">
        <v>17</v>
      </c>
    </row>
    <row r="166" spans="1:10" x14ac:dyDescent="0.3">
      <c r="A166" s="2" t="s">
        <v>191</v>
      </c>
      <c r="B166" s="2" t="s">
        <v>25</v>
      </c>
      <c r="C166" s="2" t="s">
        <v>43</v>
      </c>
      <c r="D166" s="2">
        <v>5</v>
      </c>
      <c r="E166" s="2">
        <v>7292782057</v>
      </c>
      <c r="F166" s="2" t="s">
        <v>19</v>
      </c>
      <c r="G166" s="2" t="s">
        <v>14</v>
      </c>
      <c r="H166" s="2" t="s">
        <v>21</v>
      </c>
      <c r="I166" s="2" t="s">
        <v>27</v>
      </c>
      <c r="J166" s="2" t="s">
        <v>23</v>
      </c>
    </row>
    <row r="167" spans="1:10" x14ac:dyDescent="0.3">
      <c r="A167" s="2" t="s">
        <v>192</v>
      </c>
      <c r="B167" s="2" t="s">
        <v>11</v>
      </c>
      <c r="C167" s="2" t="s">
        <v>12</v>
      </c>
      <c r="D167" s="2">
        <v>3</v>
      </c>
      <c r="E167" s="2">
        <v>9639956501</v>
      </c>
      <c r="F167" s="2" t="s">
        <v>19</v>
      </c>
      <c r="G167" s="2" t="s">
        <v>20</v>
      </c>
      <c r="H167" s="2" t="s">
        <v>15</v>
      </c>
      <c r="I167" s="2" t="s">
        <v>22</v>
      </c>
      <c r="J167" s="2" t="s">
        <v>23</v>
      </c>
    </row>
    <row r="168" spans="1:10" x14ac:dyDescent="0.3">
      <c r="A168" s="2" t="s">
        <v>193</v>
      </c>
      <c r="B168" s="2" t="s">
        <v>35</v>
      </c>
      <c r="C168" s="2" t="s">
        <v>33</v>
      </c>
      <c r="D168" s="2">
        <v>1</v>
      </c>
      <c r="E168" s="2">
        <v>7892758248</v>
      </c>
      <c r="F168" s="2" t="s">
        <v>13</v>
      </c>
      <c r="G168" s="2" t="s">
        <v>14</v>
      </c>
      <c r="H168" s="2" t="s">
        <v>15</v>
      </c>
      <c r="I168" s="2" t="s">
        <v>16</v>
      </c>
      <c r="J168" s="2" t="s">
        <v>22</v>
      </c>
    </row>
    <row r="169" spans="1:10" x14ac:dyDescent="0.3">
      <c r="A169" s="2" t="s">
        <v>194</v>
      </c>
      <c r="B169" s="2" t="s">
        <v>35</v>
      </c>
      <c r="C169" s="2" t="s">
        <v>36</v>
      </c>
      <c r="D169" s="2">
        <v>1</v>
      </c>
      <c r="E169" s="2">
        <v>9161364260</v>
      </c>
      <c r="F169" s="2" t="s">
        <v>13</v>
      </c>
      <c r="G169" s="2" t="s">
        <v>14</v>
      </c>
      <c r="H169" s="2" t="s">
        <v>21</v>
      </c>
      <c r="I169" s="2" t="s">
        <v>22</v>
      </c>
      <c r="J169" s="2" t="s">
        <v>22</v>
      </c>
    </row>
    <row r="170" spans="1:10" x14ac:dyDescent="0.3">
      <c r="A170" s="2" t="s">
        <v>195</v>
      </c>
      <c r="B170" s="2" t="s">
        <v>25</v>
      </c>
      <c r="C170" s="2" t="s">
        <v>26</v>
      </c>
      <c r="D170" s="2">
        <v>5</v>
      </c>
      <c r="E170" s="2">
        <v>8247327953</v>
      </c>
      <c r="F170" s="2" t="s">
        <v>13</v>
      </c>
      <c r="G170" s="2" t="s">
        <v>20</v>
      </c>
      <c r="H170" s="2" t="s">
        <v>15</v>
      </c>
      <c r="I170" s="2" t="s">
        <v>22</v>
      </c>
      <c r="J170" s="2" t="s">
        <v>17</v>
      </c>
    </row>
    <row r="171" spans="1:10" x14ac:dyDescent="0.3">
      <c r="A171" s="2" t="s">
        <v>196</v>
      </c>
      <c r="B171" s="2" t="s">
        <v>11</v>
      </c>
      <c r="C171" s="2" t="s">
        <v>43</v>
      </c>
      <c r="D171" s="2">
        <v>3</v>
      </c>
      <c r="E171" s="2">
        <v>6794903931</v>
      </c>
      <c r="F171" s="2" t="s">
        <v>19</v>
      </c>
      <c r="G171" s="2" t="s">
        <v>14</v>
      </c>
      <c r="H171" s="2" t="s">
        <v>15</v>
      </c>
      <c r="I171" s="2" t="s">
        <v>22</v>
      </c>
      <c r="J171" s="2" t="s">
        <v>22</v>
      </c>
    </row>
    <row r="172" spans="1:10" x14ac:dyDescent="0.3">
      <c r="A172" s="2" t="s">
        <v>197</v>
      </c>
      <c r="B172" s="2" t="s">
        <v>11</v>
      </c>
      <c r="C172" s="2" t="s">
        <v>33</v>
      </c>
      <c r="D172" s="2">
        <v>3</v>
      </c>
      <c r="E172" s="2">
        <v>9822401303</v>
      </c>
      <c r="F172" s="2" t="s">
        <v>13</v>
      </c>
      <c r="G172" s="2" t="s">
        <v>14</v>
      </c>
      <c r="H172" s="2" t="s">
        <v>21</v>
      </c>
      <c r="I172" s="2" t="s">
        <v>37</v>
      </c>
      <c r="J172" s="2" t="s">
        <v>23</v>
      </c>
    </row>
    <row r="173" spans="1:10" x14ac:dyDescent="0.3">
      <c r="A173" s="2" t="s">
        <v>198</v>
      </c>
      <c r="B173" s="2" t="s">
        <v>11</v>
      </c>
      <c r="C173" s="2" t="s">
        <v>33</v>
      </c>
      <c r="D173" s="2">
        <v>3</v>
      </c>
      <c r="E173" s="2">
        <v>9508773883</v>
      </c>
      <c r="F173" s="2" t="s">
        <v>19</v>
      </c>
      <c r="G173" s="2" t="s">
        <v>20</v>
      </c>
      <c r="H173" s="2" t="s">
        <v>15</v>
      </c>
      <c r="I173" s="2" t="s">
        <v>27</v>
      </c>
      <c r="J173" s="2" t="s">
        <v>22</v>
      </c>
    </row>
    <row r="174" spans="1:10" x14ac:dyDescent="0.3">
      <c r="A174" s="2" t="s">
        <v>199</v>
      </c>
      <c r="B174" s="2" t="s">
        <v>32</v>
      </c>
      <c r="C174" s="2" t="s">
        <v>12</v>
      </c>
      <c r="D174" s="2">
        <v>7</v>
      </c>
      <c r="E174" s="2">
        <v>7683981022</v>
      </c>
      <c r="F174" s="2" t="s">
        <v>13</v>
      </c>
      <c r="G174" s="2" t="s">
        <v>20</v>
      </c>
      <c r="H174" s="2" t="s">
        <v>21</v>
      </c>
      <c r="I174" s="2" t="s">
        <v>37</v>
      </c>
      <c r="J174" s="2" t="s">
        <v>23</v>
      </c>
    </row>
    <row r="175" spans="1:10" x14ac:dyDescent="0.3">
      <c r="A175" s="2" t="s">
        <v>200</v>
      </c>
      <c r="B175" s="2" t="s">
        <v>11</v>
      </c>
      <c r="C175" s="2" t="s">
        <v>33</v>
      </c>
      <c r="D175" s="2">
        <v>3</v>
      </c>
      <c r="E175" s="2">
        <v>9998783356</v>
      </c>
      <c r="F175" s="2" t="s">
        <v>19</v>
      </c>
      <c r="G175" s="2" t="s">
        <v>14</v>
      </c>
      <c r="H175" s="2" t="s">
        <v>15</v>
      </c>
      <c r="I175" s="2" t="s">
        <v>22</v>
      </c>
      <c r="J175" s="2" t="s">
        <v>17</v>
      </c>
    </row>
    <row r="176" spans="1:10" x14ac:dyDescent="0.3">
      <c r="A176" s="2" t="s">
        <v>201</v>
      </c>
      <c r="B176" s="2" t="s">
        <v>35</v>
      </c>
      <c r="C176" s="2" t="s">
        <v>26</v>
      </c>
      <c r="D176" s="2">
        <v>1</v>
      </c>
      <c r="E176" s="2">
        <v>8162140057</v>
      </c>
      <c r="F176" s="2" t="s">
        <v>13</v>
      </c>
      <c r="G176" s="2" t="s">
        <v>20</v>
      </c>
      <c r="H176" s="2" t="s">
        <v>21</v>
      </c>
      <c r="I176" s="2" t="s">
        <v>22</v>
      </c>
      <c r="J176" s="2" t="s">
        <v>23</v>
      </c>
    </row>
    <row r="177" spans="1:10" x14ac:dyDescent="0.3">
      <c r="A177" s="2" t="s">
        <v>202</v>
      </c>
      <c r="B177" s="2" t="s">
        <v>32</v>
      </c>
      <c r="C177" s="2" t="s">
        <v>12</v>
      </c>
      <c r="D177" s="2">
        <v>7</v>
      </c>
      <c r="E177" s="2">
        <v>8420516381</v>
      </c>
      <c r="F177" s="2" t="s">
        <v>19</v>
      </c>
      <c r="G177" s="2" t="s">
        <v>20</v>
      </c>
      <c r="H177" s="2" t="s">
        <v>21</v>
      </c>
      <c r="I177" s="2" t="s">
        <v>41</v>
      </c>
      <c r="J177" s="2" t="s">
        <v>23</v>
      </c>
    </row>
    <row r="178" spans="1:10" x14ac:dyDescent="0.3">
      <c r="A178" s="2" t="s">
        <v>203</v>
      </c>
      <c r="B178" s="2" t="s">
        <v>35</v>
      </c>
      <c r="C178" s="2" t="s">
        <v>12</v>
      </c>
      <c r="D178" s="2">
        <v>1</v>
      </c>
      <c r="E178" s="2">
        <v>8396038611</v>
      </c>
      <c r="F178" s="2" t="s">
        <v>19</v>
      </c>
      <c r="G178" s="2" t="s">
        <v>14</v>
      </c>
      <c r="H178" s="2" t="s">
        <v>21</v>
      </c>
      <c r="I178" s="2" t="s">
        <v>22</v>
      </c>
      <c r="J178" s="2" t="s">
        <v>23</v>
      </c>
    </row>
    <row r="179" spans="1:10" x14ac:dyDescent="0.3">
      <c r="A179" s="2" t="s">
        <v>204</v>
      </c>
      <c r="B179" s="2" t="s">
        <v>35</v>
      </c>
      <c r="C179" s="2" t="s">
        <v>33</v>
      </c>
      <c r="D179" s="2">
        <v>1</v>
      </c>
      <c r="E179" s="2">
        <v>7418073673</v>
      </c>
      <c r="F179" s="2" t="s">
        <v>13</v>
      </c>
      <c r="G179" s="2" t="s">
        <v>20</v>
      </c>
      <c r="H179" s="2" t="s">
        <v>15</v>
      </c>
      <c r="I179" s="2" t="s">
        <v>37</v>
      </c>
      <c r="J179" s="2" t="s">
        <v>17</v>
      </c>
    </row>
    <row r="180" spans="1:10" x14ac:dyDescent="0.3">
      <c r="A180" s="2" t="s">
        <v>205</v>
      </c>
      <c r="B180" s="2" t="s">
        <v>11</v>
      </c>
      <c r="C180" s="2" t="s">
        <v>12</v>
      </c>
      <c r="D180" s="2">
        <v>3</v>
      </c>
      <c r="E180" s="2">
        <v>8334003743</v>
      </c>
      <c r="F180" s="2" t="s">
        <v>19</v>
      </c>
      <c r="G180" s="2" t="s">
        <v>20</v>
      </c>
      <c r="H180" s="2" t="s">
        <v>21</v>
      </c>
      <c r="I180" s="2" t="s">
        <v>22</v>
      </c>
      <c r="J180" s="2" t="s">
        <v>23</v>
      </c>
    </row>
    <row r="181" spans="1:10" x14ac:dyDescent="0.3">
      <c r="A181" s="2" t="s">
        <v>206</v>
      </c>
      <c r="B181" s="2" t="s">
        <v>25</v>
      </c>
      <c r="C181" s="2" t="s">
        <v>26</v>
      </c>
      <c r="D181" s="2">
        <v>5</v>
      </c>
      <c r="E181" s="2">
        <v>6549299163</v>
      </c>
      <c r="F181" s="2" t="s">
        <v>19</v>
      </c>
      <c r="G181" s="2" t="s">
        <v>20</v>
      </c>
      <c r="H181" s="2" t="s">
        <v>21</v>
      </c>
      <c r="I181" s="2" t="s">
        <v>16</v>
      </c>
      <c r="J181" s="2" t="s">
        <v>17</v>
      </c>
    </row>
    <row r="182" spans="1:10" x14ac:dyDescent="0.3">
      <c r="A182" s="2" t="s">
        <v>207</v>
      </c>
      <c r="B182" s="2" t="s">
        <v>25</v>
      </c>
      <c r="C182" s="2" t="s">
        <v>33</v>
      </c>
      <c r="D182" s="2">
        <v>5</v>
      </c>
      <c r="E182" s="2">
        <v>9020157913</v>
      </c>
      <c r="F182" s="2" t="s">
        <v>13</v>
      </c>
      <c r="G182" s="2" t="s">
        <v>20</v>
      </c>
      <c r="H182" s="2" t="s">
        <v>21</v>
      </c>
      <c r="I182" s="2" t="s">
        <v>41</v>
      </c>
      <c r="J182" s="2" t="s">
        <v>23</v>
      </c>
    </row>
    <row r="183" spans="1:10" x14ac:dyDescent="0.3">
      <c r="A183" s="2" t="s">
        <v>208</v>
      </c>
      <c r="B183" s="2" t="s">
        <v>11</v>
      </c>
      <c r="C183" s="2" t="s">
        <v>43</v>
      </c>
      <c r="D183" s="2">
        <v>3</v>
      </c>
      <c r="E183" s="2">
        <v>9761958156</v>
      </c>
      <c r="F183" s="2" t="s">
        <v>13</v>
      </c>
      <c r="G183" s="2" t="s">
        <v>14</v>
      </c>
      <c r="H183" s="2" t="s">
        <v>21</v>
      </c>
      <c r="I183" s="2" t="s">
        <v>22</v>
      </c>
      <c r="J183" s="2" t="s">
        <v>22</v>
      </c>
    </row>
    <row r="184" spans="1:10" x14ac:dyDescent="0.3">
      <c r="A184" s="2" t="s">
        <v>209</v>
      </c>
      <c r="B184" s="2" t="s">
        <v>25</v>
      </c>
      <c r="C184" s="2" t="s">
        <v>12</v>
      </c>
      <c r="D184" s="2">
        <v>5</v>
      </c>
      <c r="E184" s="2">
        <v>6350611883</v>
      </c>
      <c r="F184" s="2" t="s">
        <v>19</v>
      </c>
      <c r="G184" s="2" t="s">
        <v>20</v>
      </c>
      <c r="H184" s="2" t="s">
        <v>21</v>
      </c>
      <c r="I184" s="2" t="s">
        <v>37</v>
      </c>
      <c r="J184" s="2" t="s">
        <v>17</v>
      </c>
    </row>
    <row r="185" spans="1:10" x14ac:dyDescent="0.3">
      <c r="A185" s="2" t="s">
        <v>210</v>
      </c>
      <c r="B185" s="2" t="s">
        <v>25</v>
      </c>
      <c r="C185" s="2" t="s">
        <v>33</v>
      </c>
      <c r="D185" s="2">
        <v>5</v>
      </c>
      <c r="E185" s="2">
        <v>9644626288</v>
      </c>
      <c r="F185" s="2" t="s">
        <v>19</v>
      </c>
      <c r="G185" s="2" t="s">
        <v>14</v>
      </c>
      <c r="H185" s="2" t="s">
        <v>15</v>
      </c>
      <c r="I185" s="2" t="s">
        <v>22</v>
      </c>
      <c r="J185" s="2" t="s">
        <v>23</v>
      </c>
    </row>
    <row r="186" spans="1:10" x14ac:dyDescent="0.3">
      <c r="A186" s="2" t="s">
        <v>211</v>
      </c>
      <c r="B186" s="2" t="s">
        <v>32</v>
      </c>
      <c r="C186" s="2" t="s">
        <v>26</v>
      </c>
      <c r="D186" s="2">
        <v>7</v>
      </c>
      <c r="E186" s="2">
        <v>9648394647</v>
      </c>
      <c r="F186" s="2" t="s">
        <v>19</v>
      </c>
      <c r="G186" s="2" t="s">
        <v>20</v>
      </c>
      <c r="H186" s="2" t="s">
        <v>21</v>
      </c>
      <c r="I186" s="2" t="s">
        <v>22</v>
      </c>
      <c r="J186" s="2" t="s">
        <v>23</v>
      </c>
    </row>
    <row r="187" spans="1:10" x14ac:dyDescent="0.3">
      <c r="A187" s="2" t="s">
        <v>212</v>
      </c>
      <c r="B187" s="2" t="s">
        <v>32</v>
      </c>
      <c r="C187" s="2" t="s">
        <v>26</v>
      </c>
      <c r="D187" s="2">
        <v>7</v>
      </c>
      <c r="E187" s="2">
        <v>8823168499</v>
      </c>
      <c r="F187" s="2" t="s">
        <v>19</v>
      </c>
      <c r="G187" s="2" t="s">
        <v>20</v>
      </c>
      <c r="H187" s="2" t="s">
        <v>15</v>
      </c>
      <c r="I187" s="2" t="s">
        <v>22</v>
      </c>
      <c r="J187" s="2" t="s">
        <v>22</v>
      </c>
    </row>
    <row r="188" spans="1:10" x14ac:dyDescent="0.3">
      <c r="A188" s="2" t="s">
        <v>213</v>
      </c>
      <c r="B188" s="2" t="s">
        <v>32</v>
      </c>
      <c r="C188" s="2" t="s">
        <v>33</v>
      </c>
      <c r="D188" s="2">
        <v>7</v>
      </c>
      <c r="E188" s="2">
        <v>8258272626</v>
      </c>
      <c r="F188" s="2" t="s">
        <v>19</v>
      </c>
      <c r="G188" s="2" t="s">
        <v>20</v>
      </c>
      <c r="H188" s="2" t="s">
        <v>15</v>
      </c>
      <c r="I188" s="2" t="s">
        <v>22</v>
      </c>
      <c r="J188" s="2" t="s">
        <v>17</v>
      </c>
    </row>
    <row r="189" spans="1:10" x14ac:dyDescent="0.3">
      <c r="A189" s="2" t="s">
        <v>214</v>
      </c>
      <c r="B189" s="2" t="s">
        <v>25</v>
      </c>
      <c r="C189" s="2" t="s">
        <v>33</v>
      </c>
      <c r="D189" s="2">
        <v>5</v>
      </c>
      <c r="E189" s="2">
        <v>6705599047</v>
      </c>
      <c r="F189" s="2" t="s">
        <v>13</v>
      </c>
      <c r="G189" s="2" t="s">
        <v>20</v>
      </c>
      <c r="H189" s="2" t="s">
        <v>21</v>
      </c>
      <c r="I189" s="2" t="s">
        <v>22</v>
      </c>
      <c r="J189" s="2" t="s">
        <v>23</v>
      </c>
    </row>
    <row r="190" spans="1:10" x14ac:dyDescent="0.3">
      <c r="A190" s="2" t="s">
        <v>215</v>
      </c>
      <c r="B190" s="2" t="s">
        <v>11</v>
      </c>
      <c r="C190" s="2" t="s">
        <v>33</v>
      </c>
      <c r="D190" s="2">
        <v>3</v>
      </c>
      <c r="E190" s="2">
        <v>9897094064</v>
      </c>
      <c r="F190" s="2" t="s">
        <v>13</v>
      </c>
      <c r="G190" s="2" t="s">
        <v>14</v>
      </c>
      <c r="H190" s="2" t="s">
        <v>21</v>
      </c>
      <c r="I190" s="2" t="s">
        <v>29</v>
      </c>
      <c r="J190" s="2" t="s">
        <v>17</v>
      </c>
    </row>
    <row r="191" spans="1:10" x14ac:dyDescent="0.3">
      <c r="A191" s="2" t="s">
        <v>216</v>
      </c>
      <c r="B191" s="2" t="s">
        <v>25</v>
      </c>
      <c r="C191" s="2" t="s">
        <v>12</v>
      </c>
      <c r="D191" s="2">
        <v>5</v>
      </c>
      <c r="E191" s="2">
        <v>6525704052</v>
      </c>
      <c r="F191" s="2" t="s">
        <v>13</v>
      </c>
      <c r="G191" s="2" t="s">
        <v>20</v>
      </c>
      <c r="H191" s="2" t="s">
        <v>21</v>
      </c>
      <c r="I191" s="2" t="s">
        <v>22</v>
      </c>
      <c r="J191" s="2" t="s">
        <v>23</v>
      </c>
    </row>
    <row r="192" spans="1:10" x14ac:dyDescent="0.3">
      <c r="A192" s="2" t="s">
        <v>217</v>
      </c>
      <c r="B192" s="2" t="s">
        <v>25</v>
      </c>
      <c r="C192" s="2" t="s">
        <v>36</v>
      </c>
      <c r="D192" s="2">
        <v>5</v>
      </c>
      <c r="E192" s="2">
        <v>7825327920</v>
      </c>
      <c r="F192" s="2" t="s">
        <v>13</v>
      </c>
      <c r="G192" s="2" t="s">
        <v>20</v>
      </c>
      <c r="H192" s="2" t="s">
        <v>21</v>
      </c>
      <c r="I192" s="2" t="s">
        <v>22</v>
      </c>
      <c r="J192" s="2" t="s">
        <v>22</v>
      </c>
    </row>
    <row r="193" spans="1:10" x14ac:dyDescent="0.3">
      <c r="A193" s="2" t="s">
        <v>218</v>
      </c>
      <c r="B193" s="2" t="s">
        <v>11</v>
      </c>
      <c r="C193" s="2" t="s">
        <v>43</v>
      </c>
      <c r="D193" s="2">
        <v>3</v>
      </c>
      <c r="E193" s="2">
        <v>6041928240</v>
      </c>
      <c r="F193" s="2" t="s">
        <v>19</v>
      </c>
      <c r="G193" s="2" t="s">
        <v>20</v>
      </c>
      <c r="H193" s="2" t="s">
        <v>21</v>
      </c>
      <c r="I193" s="2" t="s">
        <v>22</v>
      </c>
      <c r="J193" s="2" t="s">
        <v>23</v>
      </c>
    </row>
    <row r="194" spans="1:10" x14ac:dyDescent="0.3">
      <c r="A194" s="2" t="s">
        <v>219</v>
      </c>
      <c r="B194" s="2" t="s">
        <v>11</v>
      </c>
      <c r="C194" s="2" t="s">
        <v>33</v>
      </c>
      <c r="D194" s="2">
        <v>3</v>
      </c>
      <c r="E194" s="2">
        <v>9957523367</v>
      </c>
      <c r="F194" s="2" t="s">
        <v>13</v>
      </c>
      <c r="G194" s="2" t="s">
        <v>20</v>
      </c>
      <c r="H194" s="2" t="s">
        <v>21</v>
      </c>
      <c r="I194" s="2" t="s">
        <v>22</v>
      </c>
      <c r="J194" s="2" t="s">
        <v>17</v>
      </c>
    </row>
    <row r="195" spans="1:10" x14ac:dyDescent="0.3">
      <c r="A195" s="2" t="s">
        <v>220</v>
      </c>
      <c r="B195" s="2" t="s">
        <v>25</v>
      </c>
      <c r="C195" s="2" t="s">
        <v>12</v>
      </c>
      <c r="D195" s="2">
        <v>5</v>
      </c>
      <c r="E195" s="2">
        <v>7438690398</v>
      </c>
      <c r="F195" s="2" t="s">
        <v>13</v>
      </c>
      <c r="G195" s="2" t="s">
        <v>20</v>
      </c>
      <c r="H195" s="2" t="s">
        <v>15</v>
      </c>
      <c r="I195" s="2" t="s">
        <v>22</v>
      </c>
      <c r="J195" s="2" t="s">
        <v>17</v>
      </c>
    </row>
    <row r="196" spans="1:10" x14ac:dyDescent="0.3">
      <c r="A196" s="2" t="s">
        <v>221</v>
      </c>
      <c r="B196" s="2" t="s">
        <v>32</v>
      </c>
      <c r="C196" s="2" t="s">
        <v>43</v>
      </c>
      <c r="D196" s="2">
        <v>7</v>
      </c>
      <c r="E196" s="2">
        <v>6167025734</v>
      </c>
      <c r="F196" s="2" t="s">
        <v>19</v>
      </c>
      <c r="G196" s="2" t="s">
        <v>20</v>
      </c>
      <c r="H196" s="2" t="s">
        <v>21</v>
      </c>
      <c r="I196" s="2" t="s">
        <v>29</v>
      </c>
      <c r="J196" s="2" t="s">
        <v>22</v>
      </c>
    </row>
    <row r="197" spans="1:10" x14ac:dyDescent="0.3">
      <c r="A197" s="2" t="s">
        <v>222</v>
      </c>
      <c r="B197" s="2" t="s">
        <v>11</v>
      </c>
      <c r="C197" s="2" t="s">
        <v>43</v>
      </c>
      <c r="D197" s="2">
        <v>3</v>
      </c>
      <c r="E197" s="2">
        <v>6262727617</v>
      </c>
      <c r="F197" s="2" t="s">
        <v>19</v>
      </c>
      <c r="G197" s="2" t="s">
        <v>20</v>
      </c>
      <c r="H197" s="2" t="s">
        <v>21</v>
      </c>
      <c r="I197" s="2" t="s">
        <v>22</v>
      </c>
      <c r="J197" s="2" t="s">
        <v>23</v>
      </c>
    </row>
    <row r="198" spans="1:10" x14ac:dyDescent="0.3">
      <c r="A198" s="2" t="s">
        <v>223</v>
      </c>
      <c r="B198" s="2" t="s">
        <v>25</v>
      </c>
      <c r="C198" s="2" t="s">
        <v>43</v>
      </c>
      <c r="D198" s="2">
        <v>5</v>
      </c>
      <c r="E198" s="2">
        <v>7220972702</v>
      </c>
      <c r="F198" s="2" t="s">
        <v>13</v>
      </c>
      <c r="G198" s="2" t="s">
        <v>20</v>
      </c>
      <c r="H198" s="2" t="s">
        <v>21</v>
      </c>
      <c r="I198" s="2" t="s">
        <v>16</v>
      </c>
      <c r="J198" s="2" t="s">
        <v>22</v>
      </c>
    </row>
    <row r="199" spans="1:10" x14ac:dyDescent="0.3">
      <c r="A199" s="2" t="s">
        <v>224</v>
      </c>
      <c r="B199" s="2" t="s">
        <v>11</v>
      </c>
      <c r="C199" s="2" t="s">
        <v>26</v>
      </c>
      <c r="D199" s="2">
        <v>3</v>
      </c>
      <c r="E199" s="2">
        <v>8429504300</v>
      </c>
      <c r="F199" s="2" t="s">
        <v>19</v>
      </c>
      <c r="G199" s="2" t="s">
        <v>20</v>
      </c>
      <c r="H199" s="2" t="s">
        <v>21</v>
      </c>
      <c r="I199" s="2" t="s">
        <v>37</v>
      </c>
      <c r="J199" s="2" t="s">
        <v>17</v>
      </c>
    </row>
    <row r="200" spans="1:10" x14ac:dyDescent="0.3">
      <c r="A200" s="2" t="s">
        <v>225</v>
      </c>
      <c r="B200" s="2" t="s">
        <v>32</v>
      </c>
      <c r="C200" s="2" t="s">
        <v>26</v>
      </c>
      <c r="D200" s="2">
        <v>7</v>
      </c>
      <c r="E200" s="2">
        <v>7295585678</v>
      </c>
      <c r="F200" s="2" t="s">
        <v>19</v>
      </c>
      <c r="G200" s="2" t="s">
        <v>14</v>
      </c>
      <c r="H200" s="2" t="s">
        <v>15</v>
      </c>
      <c r="I200" s="2" t="s">
        <v>27</v>
      </c>
      <c r="J200" s="2" t="s">
        <v>17</v>
      </c>
    </row>
    <row r="201" spans="1:10" x14ac:dyDescent="0.3">
      <c r="A201" s="2" t="s">
        <v>226</v>
      </c>
      <c r="B201" s="2" t="s">
        <v>35</v>
      </c>
      <c r="C201" s="2" t="s">
        <v>26</v>
      </c>
      <c r="D201" s="2">
        <v>1</v>
      </c>
      <c r="E201" s="2">
        <v>8083959508</v>
      </c>
      <c r="F201" s="2" t="s">
        <v>19</v>
      </c>
      <c r="G201" s="2" t="s">
        <v>20</v>
      </c>
      <c r="H201" s="2" t="s">
        <v>15</v>
      </c>
      <c r="I201" s="2" t="s">
        <v>22</v>
      </c>
      <c r="J201" s="2" t="s">
        <v>22</v>
      </c>
    </row>
    <row r="202" spans="1:10" x14ac:dyDescent="0.3">
      <c r="A202" s="2" t="s">
        <v>227</v>
      </c>
      <c r="B202" s="2" t="s">
        <v>32</v>
      </c>
      <c r="C202" s="2" t="s">
        <v>36</v>
      </c>
      <c r="D202" s="2">
        <v>7</v>
      </c>
      <c r="E202" s="2">
        <v>8407487849</v>
      </c>
      <c r="F202" s="2" t="s">
        <v>19</v>
      </c>
      <c r="G202" s="2" t="s">
        <v>14</v>
      </c>
      <c r="H202" s="2" t="s">
        <v>15</v>
      </c>
      <c r="I202" s="2" t="s">
        <v>22</v>
      </c>
      <c r="J202" s="2" t="s">
        <v>23</v>
      </c>
    </row>
    <row r="203" spans="1:10" x14ac:dyDescent="0.3">
      <c r="A203" s="2" t="s">
        <v>228</v>
      </c>
      <c r="B203" s="2" t="s">
        <v>32</v>
      </c>
      <c r="C203" s="2" t="s">
        <v>43</v>
      </c>
      <c r="D203" s="2">
        <v>7</v>
      </c>
      <c r="E203" s="2">
        <v>8386575048</v>
      </c>
      <c r="F203" s="2" t="s">
        <v>19</v>
      </c>
      <c r="G203" s="2" t="s">
        <v>20</v>
      </c>
      <c r="H203" s="2" t="s">
        <v>21</v>
      </c>
      <c r="I203" s="2" t="s">
        <v>37</v>
      </c>
      <c r="J203" s="2" t="s">
        <v>23</v>
      </c>
    </row>
    <row r="204" spans="1:10" x14ac:dyDescent="0.3">
      <c r="A204" s="2" t="s">
        <v>229</v>
      </c>
      <c r="B204" s="2" t="s">
        <v>11</v>
      </c>
      <c r="C204" s="2" t="s">
        <v>12</v>
      </c>
      <c r="D204" s="2">
        <v>3</v>
      </c>
      <c r="E204" s="2">
        <v>7959427548</v>
      </c>
      <c r="F204" s="2" t="s">
        <v>19</v>
      </c>
      <c r="G204" s="2" t="s">
        <v>20</v>
      </c>
      <c r="H204" s="2" t="s">
        <v>21</v>
      </c>
      <c r="I204" s="2" t="s">
        <v>27</v>
      </c>
      <c r="J204" s="2" t="s">
        <v>17</v>
      </c>
    </row>
    <row r="205" spans="1:10" x14ac:dyDescent="0.3">
      <c r="A205" s="2" t="s">
        <v>230</v>
      </c>
      <c r="B205" s="2" t="s">
        <v>32</v>
      </c>
      <c r="C205" s="2" t="s">
        <v>43</v>
      </c>
      <c r="D205" s="2">
        <v>7</v>
      </c>
      <c r="E205" s="2">
        <v>9650489619</v>
      </c>
      <c r="F205" s="2" t="s">
        <v>13</v>
      </c>
      <c r="G205" s="2" t="s">
        <v>20</v>
      </c>
      <c r="H205" s="2" t="s">
        <v>21</v>
      </c>
      <c r="I205" s="2" t="s">
        <v>37</v>
      </c>
      <c r="J205" s="2" t="s">
        <v>23</v>
      </c>
    </row>
    <row r="206" spans="1:10" x14ac:dyDescent="0.3">
      <c r="A206" s="2" t="s">
        <v>231</v>
      </c>
      <c r="B206" s="2" t="s">
        <v>35</v>
      </c>
      <c r="C206" s="2" t="s">
        <v>26</v>
      </c>
      <c r="D206" s="2">
        <v>1</v>
      </c>
      <c r="E206" s="2">
        <v>7266693099</v>
      </c>
      <c r="F206" s="2" t="s">
        <v>13</v>
      </c>
      <c r="G206" s="2" t="s">
        <v>14</v>
      </c>
      <c r="H206" s="2" t="s">
        <v>15</v>
      </c>
      <c r="I206" s="2" t="s">
        <v>16</v>
      </c>
      <c r="J206" s="2" t="s">
        <v>17</v>
      </c>
    </row>
    <row r="207" spans="1:10" x14ac:dyDescent="0.3">
      <c r="A207" s="2" t="s">
        <v>232</v>
      </c>
      <c r="B207" s="2" t="s">
        <v>32</v>
      </c>
      <c r="C207" s="2" t="s">
        <v>36</v>
      </c>
      <c r="D207" s="2">
        <v>7</v>
      </c>
      <c r="E207" s="2">
        <v>6967100195</v>
      </c>
      <c r="F207" s="2" t="s">
        <v>19</v>
      </c>
      <c r="G207" s="2" t="s">
        <v>20</v>
      </c>
      <c r="H207" s="2" t="s">
        <v>21</v>
      </c>
      <c r="I207" s="2" t="s">
        <v>22</v>
      </c>
      <c r="J207" s="2" t="s">
        <v>22</v>
      </c>
    </row>
    <row r="208" spans="1:10" x14ac:dyDescent="0.3">
      <c r="A208" s="2" t="s">
        <v>233</v>
      </c>
      <c r="B208" s="2" t="s">
        <v>35</v>
      </c>
      <c r="C208" s="2" t="s">
        <v>43</v>
      </c>
      <c r="D208" s="2">
        <v>1</v>
      </c>
      <c r="E208" s="2">
        <v>8363850369</v>
      </c>
      <c r="F208" s="2" t="s">
        <v>13</v>
      </c>
      <c r="G208" s="2" t="s">
        <v>20</v>
      </c>
      <c r="H208" s="2" t="s">
        <v>21</v>
      </c>
      <c r="I208" s="2" t="s">
        <v>37</v>
      </c>
      <c r="J208" s="2" t="s">
        <v>17</v>
      </c>
    </row>
    <row r="209" spans="1:10" x14ac:dyDescent="0.3">
      <c r="A209" s="2" t="s">
        <v>234</v>
      </c>
      <c r="B209" s="2" t="s">
        <v>11</v>
      </c>
      <c r="C209" s="2" t="s">
        <v>33</v>
      </c>
      <c r="D209" s="2">
        <v>3</v>
      </c>
      <c r="E209" s="2">
        <v>6866298228</v>
      </c>
      <c r="F209" s="2" t="s">
        <v>13</v>
      </c>
      <c r="G209" s="2" t="s">
        <v>20</v>
      </c>
      <c r="H209" s="2" t="s">
        <v>15</v>
      </c>
      <c r="I209" s="2" t="s">
        <v>41</v>
      </c>
      <c r="J209" s="2" t="s">
        <v>22</v>
      </c>
    </row>
    <row r="210" spans="1:10" x14ac:dyDescent="0.3">
      <c r="A210" s="2" t="s">
        <v>235</v>
      </c>
      <c r="B210" s="2" t="s">
        <v>32</v>
      </c>
      <c r="C210" s="2" t="s">
        <v>33</v>
      </c>
      <c r="D210" s="2">
        <v>7</v>
      </c>
      <c r="E210" s="2">
        <v>6267426911</v>
      </c>
      <c r="F210" s="2" t="s">
        <v>13</v>
      </c>
      <c r="G210" s="2" t="s">
        <v>20</v>
      </c>
      <c r="H210" s="2" t="s">
        <v>15</v>
      </c>
      <c r="I210" s="2" t="s">
        <v>41</v>
      </c>
      <c r="J210" s="2" t="s">
        <v>22</v>
      </c>
    </row>
    <row r="211" spans="1:10" x14ac:dyDescent="0.3">
      <c r="A211" s="2" t="s">
        <v>236</v>
      </c>
      <c r="B211" s="2" t="s">
        <v>11</v>
      </c>
      <c r="C211" s="2" t="s">
        <v>33</v>
      </c>
      <c r="D211" s="2">
        <v>3</v>
      </c>
      <c r="E211" s="2">
        <v>7222501355</v>
      </c>
      <c r="F211" s="2" t="s">
        <v>19</v>
      </c>
      <c r="G211" s="2" t="s">
        <v>14</v>
      </c>
      <c r="H211" s="2" t="s">
        <v>21</v>
      </c>
      <c r="I211" s="2" t="s">
        <v>27</v>
      </c>
      <c r="J211" s="2" t="s">
        <v>22</v>
      </c>
    </row>
    <row r="212" spans="1:10" x14ac:dyDescent="0.3">
      <c r="A212" s="2" t="s">
        <v>237</v>
      </c>
      <c r="B212" s="2" t="s">
        <v>25</v>
      </c>
      <c r="C212" s="2" t="s">
        <v>43</v>
      </c>
      <c r="D212" s="2">
        <v>5</v>
      </c>
      <c r="E212" s="2">
        <v>9611732855</v>
      </c>
      <c r="F212" s="2" t="s">
        <v>19</v>
      </c>
      <c r="G212" s="2" t="s">
        <v>14</v>
      </c>
      <c r="H212" s="2" t="s">
        <v>15</v>
      </c>
      <c r="I212" s="2" t="s">
        <v>37</v>
      </c>
      <c r="J212" s="2" t="s">
        <v>23</v>
      </c>
    </row>
    <row r="213" spans="1:10" x14ac:dyDescent="0.3">
      <c r="A213" s="2" t="s">
        <v>238</v>
      </c>
      <c r="B213" s="2" t="s">
        <v>25</v>
      </c>
      <c r="C213" s="2" t="s">
        <v>43</v>
      </c>
      <c r="D213" s="2">
        <v>5</v>
      </c>
      <c r="E213" s="2">
        <v>9725796636</v>
      </c>
      <c r="F213" s="2" t="s">
        <v>19</v>
      </c>
      <c r="G213" s="2" t="s">
        <v>14</v>
      </c>
      <c r="H213" s="2" t="s">
        <v>21</v>
      </c>
      <c r="I213" s="2" t="s">
        <v>16</v>
      </c>
      <c r="J213" s="2" t="s">
        <v>23</v>
      </c>
    </row>
    <row r="214" spans="1:10" x14ac:dyDescent="0.3">
      <c r="A214" s="2" t="s">
        <v>239</v>
      </c>
      <c r="B214" s="2" t="s">
        <v>32</v>
      </c>
      <c r="C214" s="2" t="s">
        <v>26</v>
      </c>
      <c r="D214" s="2">
        <v>7</v>
      </c>
      <c r="E214" s="2">
        <v>9502345108</v>
      </c>
      <c r="F214" s="2" t="s">
        <v>19</v>
      </c>
      <c r="G214" s="2" t="s">
        <v>14</v>
      </c>
      <c r="H214" s="2" t="s">
        <v>21</v>
      </c>
      <c r="I214" s="2" t="s">
        <v>27</v>
      </c>
      <c r="J214" s="2" t="s">
        <v>17</v>
      </c>
    </row>
    <row r="215" spans="1:10" x14ac:dyDescent="0.3">
      <c r="A215" s="2" t="s">
        <v>240</v>
      </c>
      <c r="B215" s="2" t="s">
        <v>32</v>
      </c>
      <c r="C215" s="2" t="s">
        <v>43</v>
      </c>
      <c r="D215" s="2">
        <v>7</v>
      </c>
      <c r="E215" s="2">
        <v>6626290114</v>
      </c>
      <c r="F215" s="2" t="s">
        <v>13</v>
      </c>
      <c r="G215" s="2" t="s">
        <v>14</v>
      </c>
      <c r="H215" s="2" t="s">
        <v>15</v>
      </c>
      <c r="I215" s="2" t="s">
        <v>27</v>
      </c>
      <c r="J215" s="2" t="s">
        <v>23</v>
      </c>
    </row>
    <row r="216" spans="1:10" x14ac:dyDescent="0.3">
      <c r="A216" s="2" t="s">
        <v>241</v>
      </c>
      <c r="B216" s="2" t="s">
        <v>11</v>
      </c>
      <c r="C216" s="2" t="s">
        <v>26</v>
      </c>
      <c r="D216" s="2">
        <v>3</v>
      </c>
      <c r="E216" s="2">
        <v>8514209100</v>
      </c>
      <c r="F216" s="2" t="s">
        <v>19</v>
      </c>
      <c r="G216" s="2" t="s">
        <v>20</v>
      </c>
      <c r="H216" s="2" t="s">
        <v>21</v>
      </c>
      <c r="I216" s="2" t="s">
        <v>22</v>
      </c>
      <c r="J216" s="2" t="s">
        <v>22</v>
      </c>
    </row>
    <row r="217" spans="1:10" x14ac:dyDescent="0.3">
      <c r="A217" s="2" t="s">
        <v>242</v>
      </c>
      <c r="B217" s="2" t="s">
        <v>35</v>
      </c>
      <c r="C217" s="2" t="s">
        <v>36</v>
      </c>
      <c r="D217" s="2">
        <v>1</v>
      </c>
      <c r="E217" s="2">
        <v>7997041169</v>
      </c>
      <c r="F217" s="2" t="s">
        <v>13</v>
      </c>
      <c r="G217" s="2" t="s">
        <v>14</v>
      </c>
      <c r="H217" s="2" t="s">
        <v>15</v>
      </c>
      <c r="I217" s="2" t="s">
        <v>16</v>
      </c>
      <c r="J217" s="2" t="s">
        <v>23</v>
      </c>
    </row>
    <row r="218" spans="1:10" x14ac:dyDescent="0.3">
      <c r="A218" s="2" t="s">
        <v>243</v>
      </c>
      <c r="B218" s="2" t="s">
        <v>35</v>
      </c>
      <c r="C218" s="2" t="s">
        <v>26</v>
      </c>
      <c r="D218" s="2">
        <v>1</v>
      </c>
      <c r="E218" s="2">
        <v>8892986939</v>
      </c>
      <c r="F218" s="2" t="s">
        <v>19</v>
      </c>
      <c r="G218" s="2" t="s">
        <v>14</v>
      </c>
      <c r="H218" s="2" t="s">
        <v>21</v>
      </c>
      <c r="I218" s="2" t="s">
        <v>16</v>
      </c>
      <c r="J218" s="2" t="s">
        <v>17</v>
      </c>
    </row>
    <row r="219" spans="1:10" x14ac:dyDescent="0.3">
      <c r="A219" s="2" t="s">
        <v>244</v>
      </c>
      <c r="B219" s="2" t="s">
        <v>32</v>
      </c>
      <c r="C219" s="2" t="s">
        <v>33</v>
      </c>
      <c r="D219" s="2">
        <v>7</v>
      </c>
      <c r="E219" s="2">
        <v>7811731818</v>
      </c>
      <c r="F219" s="2" t="s">
        <v>19</v>
      </c>
      <c r="G219" s="2" t="s">
        <v>20</v>
      </c>
      <c r="H219" s="2" t="s">
        <v>15</v>
      </c>
      <c r="I219" s="2" t="s">
        <v>29</v>
      </c>
      <c r="J219" s="2" t="s">
        <v>22</v>
      </c>
    </row>
    <row r="220" spans="1:10" x14ac:dyDescent="0.3">
      <c r="A220" s="2" t="s">
        <v>245</v>
      </c>
      <c r="B220" s="2" t="s">
        <v>32</v>
      </c>
      <c r="C220" s="2" t="s">
        <v>36</v>
      </c>
      <c r="D220" s="2">
        <v>7</v>
      </c>
      <c r="E220" s="2">
        <v>6442387570</v>
      </c>
      <c r="F220" s="2" t="s">
        <v>19</v>
      </c>
      <c r="G220" s="2" t="s">
        <v>20</v>
      </c>
      <c r="H220" s="2" t="s">
        <v>15</v>
      </c>
      <c r="I220" s="2" t="s">
        <v>22</v>
      </c>
      <c r="J220" s="2" t="s">
        <v>17</v>
      </c>
    </row>
    <row r="221" spans="1:10" x14ac:dyDescent="0.3">
      <c r="A221" s="2" t="s">
        <v>246</v>
      </c>
      <c r="B221" s="2" t="s">
        <v>32</v>
      </c>
      <c r="C221" s="2" t="s">
        <v>33</v>
      </c>
      <c r="D221" s="2">
        <v>7</v>
      </c>
      <c r="E221" s="2">
        <v>7503032656</v>
      </c>
      <c r="F221" s="2" t="s">
        <v>19</v>
      </c>
      <c r="G221" s="2" t="s">
        <v>14</v>
      </c>
      <c r="H221" s="2" t="s">
        <v>15</v>
      </c>
      <c r="I221" s="2" t="s">
        <v>27</v>
      </c>
      <c r="J221" s="2" t="s">
        <v>23</v>
      </c>
    </row>
    <row r="222" spans="1:10" x14ac:dyDescent="0.3">
      <c r="A222" s="2" t="s">
        <v>247</v>
      </c>
      <c r="B222" s="2" t="s">
        <v>11</v>
      </c>
      <c r="C222" s="2" t="s">
        <v>26</v>
      </c>
      <c r="D222" s="2">
        <v>3</v>
      </c>
      <c r="E222" s="2">
        <v>8696706768</v>
      </c>
      <c r="F222" s="2" t="s">
        <v>13</v>
      </c>
      <c r="G222" s="2" t="s">
        <v>14</v>
      </c>
      <c r="H222" s="2" t="s">
        <v>21</v>
      </c>
      <c r="I222" s="2" t="s">
        <v>27</v>
      </c>
      <c r="J222" s="2" t="s">
        <v>22</v>
      </c>
    </row>
    <row r="223" spans="1:10" x14ac:dyDescent="0.3">
      <c r="A223" s="2" t="s">
        <v>248</v>
      </c>
      <c r="B223" s="2" t="s">
        <v>32</v>
      </c>
      <c r="C223" s="2" t="s">
        <v>33</v>
      </c>
      <c r="D223" s="2">
        <v>7</v>
      </c>
      <c r="E223" s="2">
        <v>6760935768</v>
      </c>
      <c r="F223" s="2" t="s">
        <v>19</v>
      </c>
      <c r="G223" s="2" t="s">
        <v>14</v>
      </c>
      <c r="H223" s="2" t="s">
        <v>15</v>
      </c>
      <c r="I223" s="2" t="s">
        <v>22</v>
      </c>
      <c r="J223" s="2" t="s">
        <v>22</v>
      </c>
    </row>
    <row r="224" spans="1:10" x14ac:dyDescent="0.3">
      <c r="A224" s="2" t="s">
        <v>249</v>
      </c>
      <c r="B224" s="2" t="s">
        <v>35</v>
      </c>
      <c r="C224" s="2" t="s">
        <v>33</v>
      </c>
      <c r="D224" s="2">
        <v>1</v>
      </c>
      <c r="E224" s="2">
        <v>9543400801</v>
      </c>
      <c r="F224" s="2" t="s">
        <v>13</v>
      </c>
      <c r="G224" s="2" t="s">
        <v>14</v>
      </c>
      <c r="H224" s="2" t="s">
        <v>15</v>
      </c>
      <c r="I224" s="2" t="s">
        <v>16</v>
      </c>
      <c r="J224" s="2" t="s">
        <v>17</v>
      </c>
    </row>
    <row r="225" spans="1:10" x14ac:dyDescent="0.3">
      <c r="A225" s="2" t="s">
        <v>250</v>
      </c>
      <c r="B225" s="2" t="s">
        <v>32</v>
      </c>
      <c r="C225" s="2" t="s">
        <v>43</v>
      </c>
      <c r="D225" s="2">
        <v>7</v>
      </c>
      <c r="E225" s="2">
        <v>8008795602</v>
      </c>
      <c r="F225" s="2" t="s">
        <v>19</v>
      </c>
      <c r="G225" s="2" t="s">
        <v>14</v>
      </c>
      <c r="H225" s="2" t="s">
        <v>15</v>
      </c>
      <c r="I225" s="2" t="s">
        <v>22</v>
      </c>
      <c r="J225" s="2" t="s">
        <v>17</v>
      </c>
    </row>
    <row r="226" spans="1:10" x14ac:dyDescent="0.3">
      <c r="A226" s="2" t="s">
        <v>251</v>
      </c>
      <c r="B226" s="2" t="s">
        <v>32</v>
      </c>
      <c r="C226" s="2" t="s">
        <v>33</v>
      </c>
      <c r="D226" s="2">
        <v>7</v>
      </c>
      <c r="E226" s="2">
        <v>7354403246</v>
      </c>
      <c r="F226" s="2" t="s">
        <v>19</v>
      </c>
      <c r="G226" s="2" t="s">
        <v>20</v>
      </c>
      <c r="H226" s="2" t="s">
        <v>15</v>
      </c>
      <c r="I226" s="2" t="s">
        <v>22</v>
      </c>
      <c r="J226" s="2" t="s">
        <v>17</v>
      </c>
    </row>
    <row r="227" spans="1:10" x14ac:dyDescent="0.3">
      <c r="A227" s="2" t="s">
        <v>252</v>
      </c>
      <c r="B227" s="2" t="s">
        <v>32</v>
      </c>
      <c r="C227" s="2" t="s">
        <v>12</v>
      </c>
      <c r="D227" s="2">
        <v>7</v>
      </c>
      <c r="E227" s="2">
        <v>6774563101</v>
      </c>
      <c r="F227" s="2" t="s">
        <v>13</v>
      </c>
      <c r="G227" s="2" t="s">
        <v>20</v>
      </c>
      <c r="H227" s="2" t="s">
        <v>15</v>
      </c>
      <c r="I227" s="2" t="s">
        <v>22</v>
      </c>
      <c r="J227" s="2" t="s">
        <v>23</v>
      </c>
    </row>
    <row r="228" spans="1:10" x14ac:dyDescent="0.3">
      <c r="A228" s="2" t="s">
        <v>253</v>
      </c>
      <c r="B228" s="2" t="s">
        <v>32</v>
      </c>
      <c r="C228" s="2" t="s">
        <v>43</v>
      </c>
      <c r="D228" s="2">
        <v>7</v>
      </c>
      <c r="E228" s="2">
        <v>6942766830</v>
      </c>
      <c r="F228" s="2" t="s">
        <v>13</v>
      </c>
      <c r="G228" s="2" t="s">
        <v>14</v>
      </c>
      <c r="H228" s="2" t="s">
        <v>21</v>
      </c>
      <c r="I228" s="2" t="s">
        <v>37</v>
      </c>
      <c r="J228" s="2" t="s">
        <v>22</v>
      </c>
    </row>
    <row r="229" spans="1:10" x14ac:dyDescent="0.3">
      <c r="A229" s="2" t="s">
        <v>254</v>
      </c>
      <c r="B229" s="2" t="s">
        <v>11</v>
      </c>
      <c r="C229" s="2" t="s">
        <v>33</v>
      </c>
      <c r="D229" s="2">
        <v>3</v>
      </c>
      <c r="E229" s="2">
        <v>6119945810</v>
      </c>
      <c r="F229" s="2" t="s">
        <v>19</v>
      </c>
      <c r="G229" s="2" t="s">
        <v>14</v>
      </c>
      <c r="H229" s="2" t="s">
        <v>21</v>
      </c>
      <c r="I229" s="2" t="s">
        <v>22</v>
      </c>
      <c r="J229" s="2" t="s">
        <v>23</v>
      </c>
    </row>
    <row r="230" spans="1:10" x14ac:dyDescent="0.3">
      <c r="A230" s="2" t="s">
        <v>255</v>
      </c>
      <c r="B230" s="2" t="s">
        <v>25</v>
      </c>
      <c r="C230" s="2" t="s">
        <v>12</v>
      </c>
      <c r="D230" s="2">
        <v>5</v>
      </c>
      <c r="E230" s="2">
        <v>6063974507</v>
      </c>
      <c r="F230" s="2" t="s">
        <v>19</v>
      </c>
      <c r="G230" s="2" t="s">
        <v>14</v>
      </c>
      <c r="H230" s="2" t="s">
        <v>15</v>
      </c>
      <c r="I230" s="2" t="s">
        <v>37</v>
      </c>
      <c r="J230" s="2" t="s">
        <v>22</v>
      </c>
    </row>
    <row r="231" spans="1:10" x14ac:dyDescent="0.3">
      <c r="A231" s="2" t="s">
        <v>256</v>
      </c>
      <c r="B231" s="2" t="s">
        <v>35</v>
      </c>
      <c r="C231" s="2" t="s">
        <v>43</v>
      </c>
      <c r="D231" s="2">
        <v>1</v>
      </c>
      <c r="E231" s="2">
        <v>8182528183</v>
      </c>
      <c r="F231" s="2" t="s">
        <v>13</v>
      </c>
      <c r="G231" s="2" t="s">
        <v>14</v>
      </c>
      <c r="H231" s="2" t="s">
        <v>21</v>
      </c>
      <c r="I231" s="2" t="s">
        <v>22</v>
      </c>
      <c r="J231" s="2" t="s">
        <v>23</v>
      </c>
    </row>
    <row r="232" spans="1:10" x14ac:dyDescent="0.3">
      <c r="A232" s="2" t="s">
        <v>257</v>
      </c>
      <c r="B232" s="2" t="s">
        <v>35</v>
      </c>
      <c r="C232" s="2" t="s">
        <v>26</v>
      </c>
      <c r="D232" s="2">
        <v>1</v>
      </c>
      <c r="E232" s="2">
        <v>9082299989</v>
      </c>
      <c r="F232" s="2" t="s">
        <v>13</v>
      </c>
      <c r="G232" s="2" t="s">
        <v>14</v>
      </c>
      <c r="H232" s="2" t="s">
        <v>15</v>
      </c>
      <c r="I232" s="2" t="s">
        <v>22</v>
      </c>
      <c r="J232" s="2" t="s">
        <v>22</v>
      </c>
    </row>
    <row r="233" spans="1:10" x14ac:dyDescent="0.3">
      <c r="A233" s="2" t="s">
        <v>258</v>
      </c>
      <c r="B233" s="2" t="s">
        <v>25</v>
      </c>
      <c r="C233" s="2" t="s">
        <v>12</v>
      </c>
      <c r="D233" s="2">
        <v>5</v>
      </c>
      <c r="E233" s="2">
        <v>7256217471</v>
      </c>
      <c r="F233" s="2" t="s">
        <v>13</v>
      </c>
      <c r="G233" s="2" t="s">
        <v>14</v>
      </c>
      <c r="H233" s="2" t="s">
        <v>21</v>
      </c>
      <c r="I233" s="2" t="s">
        <v>22</v>
      </c>
      <c r="J233" s="2" t="s">
        <v>23</v>
      </c>
    </row>
    <row r="234" spans="1:10" x14ac:dyDescent="0.3">
      <c r="A234" s="2" t="s">
        <v>259</v>
      </c>
      <c r="B234" s="2" t="s">
        <v>11</v>
      </c>
      <c r="C234" s="2" t="s">
        <v>12</v>
      </c>
      <c r="D234" s="2">
        <v>3</v>
      </c>
      <c r="E234" s="2">
        <v>7112911090</v>
      </c>
      <c r="F234" s="2" t="s">
        <v>19</v>
      </c>
      <c r="G234" s="2" t="s">
        <v>20</v>
      </c>
      <c r="H234" s="2" t="s">
        <v>21</v>
      </c>
      <c r="I234" s="2" t="s">
        <v>41</v>
      </c>
      <c r="J234" s="2" t="s">
        <v>23</v>
      </c>
    </row>
    <row r="235" spans="1:10" x14ac:dyDescent="0.3">
      <c r="A235" s="2" t="s">
        <v>260</v>
      </c>
      <c r="B235" s="2" t="s">
        <v>25</v>
      </c>
      <c r="C235" s="2" t="s">
        <v>43</v>
      </c>
      <c r="D235" s="2">
        <v>5</v>
      </c>
      <c r="E235" s="2">
        <v>7615308856</v>
      </c>
      <c r="F235" s="2" t="s">
        <v>19</v>
      </c>
      <c r="G235" s="2" t="s">
        <v>14</v>
      </c>
      <c r="H235" s="2" t="s">
        <v>21</v>
      </c>
      <c r="I235" s="2" t="s">
        <v>41</v>
      </c>
      <c r="J235" s="2" t="s">
        <v>23</v>
      </c>
    </row>
    <row r="236" spans="1:10" x14ac:dyDescent="0.3">
      <c r="A236" s="2" t="s">
        <v>261</v>
      </c>
      <c r="B236" s="2" t="s">
        <v>25</v>
      </c>
      <c r="C236" s="2" t="s">
        <v>33</v>
      </c>
      <c r="D236" s="2">
        <v>5</v>
      </c>
      <c r="E236" s="2">
        <v>9847899395</v>
      </c>
      <c r="F236" s="2" t="s">
        <v>19</v>
      </c>
      <c r="G236" s="2" t="s">
        <v>14</v>
      </c>
      <c r="H236" s="2" t="s">
        <v>15</v>
      </c>
      <c r="I236" s="2" t="s">
        <v>37</v>
      </c>
      <c r="J236" s="2" t="s">
        <v>22</v>
      </c>
    </row>
    <row r="237" spans="1:10" x14ac:dyDescent="0.3">
      <c r="A237" s="2" t="s">
        <v>262</v>
      </c>
      <c r="B237" s="2" t="s">
        <v>11</v>
      </c>
      <c r="C237" s="2" t="s">
        <v>33</v>
      </c>
      <c r="D237" s="2">
        <v>3</v>
      </c>
      <c r="E237" s="2">
        <v>7902422598</v>
      </c>
      <c r="F237" s="2" t="s">
        <v>19</v>
      </c>
      <c r="G237" s="2" t="s">
        <v>14</v>
      </c>
      <c r="H237" s="2" t="s">
        <v>15</v>
      </c>
      <c r="I237" s="2" t="s">
        <v>22</v>
      </c>
      <c r="J237" s="2" t="s">
        <v>23</v>
      </c>
    </row>
    <row r="238" spans="1:10" x14ac:dyDescent="0.3">
      <c r="A238" s="2" t="s">
        <v>263</v>
      </c>
      <c r="B238" s="2" t="s">
        <v>35</v>
      </c>
      <c r="C238" s="2" t="s">
        <v>12</v>
      </c>
      <c r="D238" s="2">
        <v>1</v>
      </c>
      <c r="E238" s="2">
        <v>6570307637</v>
      </c>
      <c r="F238" s="2" t="s">
        <v>13</v>
      </c>
      <c r="G238" s="2" t="s">
        <v>14</v>
      </c>
      <c r="H238" s="2" t="s">
        <v>21</v>
      </c>
      <c r="I238" s="2" t="s">
        <v>37</v>
      </c>
      <c r="J238" s="2" t="s">
        <v>17</v>
      </c>
    </row>
    <row r="239" spans="1:10" x14ac:dyDescent="0.3">
      <c r="A239" s="2" t="s">
        <v>264</v>
      </c>
      <c r="B239" s="2" t="s">
        <v>32</v>
      </c>
      <c r="C239" s="2" t="s">
        <v>12</v>
      </c>
      <c r="D239" s="2">
        <v>7</v>
      </c>
      <c r="E239" s="2">
        <v>6538891921</v>
      </c>
      <c r="F239" s="2" t="s">
        <v>19</v>
      </c>
      <c r="G239" s="2" t="s">
        <v>20</v>
      </c>
      <c r="H239" s="2" t="s">
        <v>21</v>
      </c>
      <c r="I239" s="2" t="s">
        <v>22</v>
      </c>
      <c r="J239" s="2" t="s">
        <v>17</v>
      </c>
    </row>
    <row r="240" spans="1:10" x14ac:dyDescent="0.3">
      <c r="A240" s="2" t="s">
        <v>265</v>
      </c>
      <c r="B240" s="2" t="s">
        <v>11</v>
      </c>
      <c r="C240" s="2" t="s">
        <v>12</v>
      </c>
      <c r="D240" s="2">
        <v>3</v>
      </c>
      <c r="E240" s="2">
        <v>6764981615</v>
      </c>
      <c r="F240" s="2" t="s">
        <v>19</v>
      </c>
      <c r="G240" s="2" t="s">
        <v>14</v>
      </c>
      <c r="H240" s="2" t="s">
        <v>21</v>
      </c>
      <c r="I240" s="2" t="s">
        <v>37</v>
      </c>
      <c r="J240" s="2" t="s">
        <v>22</v>
      </c>
    </row>
    <row r="241" spans="1:10" x14ac:dyDescent="0.3">
      <c r="A241" s="2" t="s">
        <v>127</v>
      </c>
      <c r="B241" s="2" t="s">
        <v>25</v>
      </c>
      <c r="C241" s="2" t="s">
        <v>26</v>
      </c>
      <c r="D241" s="2">
        <v>5</v>
      </c>
      <c r="E241" s="2">
        <v>6897919819</v>
      </c>
      <c r="F241" s="2" t="s">
        <v>19</v>
      </c>
      <c r="G241" s="2" t="s">
        <v>20</v>
      </c>
      <c r="H241" s="2" t="s">
        <v>15</v>
      </c>
      <c r="I241" s="2" t="s">
        <v>41</v>
      </c>
      <c r="J241" s="2" t="s">
        <v>22</v>
      </c>
    </row>
    <row r="242" spans="1:10" x14ac:dyDescent="0.3">
      <c r="A242" s="2" t="s">
        <v>266</v>
      </c>
      <c r="B242" s="2" t="s">
        <v>25</v>
      </c>
      <c r="C242" s="2" t="s">
        <v>12</v>
      </c>
      <c r="D242" s="2">
        <v>5</v>
      </c>
      <c r="E242" s="2">
        <v>7147300176</v>
      </c>
      <c r="F242" s="2" t="s">
        <v>19</v>
      </c>
      <c r="G242" s="2" t="s">
        <v>20</v>
      </c>
      <c r="H242" s="2" t="s">
        <v>15</v>
      </c>
      <c r="I242" s="2" t="s">
        <v>22</v>
      </c>
      <c r="J242" s="2" t="s">
        <v>23</v>
      </c>
    </row>
    <row r="243" spans="1:10" x14ac:dyDescent="0.3">
      <c r="A243" s="2" t="s">
        <v>267</v>
      </c>
      <c r="B243" s="2" t="s">
        <v>25</v>
      </c>
      <c r="C243" s="2" t="s">
        <v>43</v>
      </c>
      <c r="D243" s="2">
        <v>5</v>
      </c>
      <c r="E243" s="2">
        <v>9668041763</v>
      </c>
      <c r="F243" s="2" t="s">
        <v>13</v>
      </c>
      <c r="G243" s="2" t="s">
        <v>14</v>
      </c>
      <c r="H243" s="2" t="s">
        <v>15</v>
      </c>
      <c r="I243" s="2" t="s">
        <v>37</v>
      </c>
      <c r="J243" s="2" t="s">
        <v>22</v>
      </c>
    </row>
    <row r="244" spans="1:10" x14ac:dyDescent="0.3">
      <c r="A244" s="2" t="s">
        <v>268</v>
      </c>
      <c r="B244" s="2" t="s">
        <v>32</v>
      </c>
      <c r="C244" s="2" t="s">
        <v>12</v>
      </c>
      <c r="D244" s="2">
        <v>7</v>
      </c>
      <c r="E244" s="2">
        <v>7826892025</v>
      </c>
      <c r="F244" s="2" t="s">
        <v>13</v>
      </c>
      <c r="G244" s="2" t="s">
        <v>20</v>
      </c>
      <c r="H244" s="2" t="s">
        <v>15</v>
      </c>
      <c r="I244" s="2" t="s">
        <v>16</v>
      </c>
      <c r="J244" s="2" t="s">
        <v>22</v>
      </c>
    </row>
    <row r="245" spans="1:10" x14ac:dyDescent="0.3">
      <c r="A245" s="2" t="s">
        <v>269</v>
      </c>
      <c r="B245" s="2" t="s">
        <v>32</v>
      </c>
      <c r="C245" s="2" t="s">
        <v>26</v>
      </c>
      <c r="D245" s="2">
        <v>7</v>
      </c>
      <c r="E245" s="2">
        <v>8003475837</v>
      </c>
      <c r="F245" s="2" t="s">
        <v>19</v>
      </c>
      <c r="G245" s="2" t="s">
        <v>20</v>
      </c>
      <c r="H245" s="2" t="s">
        <v>15</v>
      </c>
      <c r="I245" s="2" t="s">
        <v>41</v>
      </c>
      <c r="J245" s="2" t="s">
        <v>23</v>
      </c>
    </row>
    <row r="246" spans="1:10" x14ac:dyDescent="0.3">
      <c r="A246" s="2" t="s">
        <v>270</v>
      </c>
      <c r="B246" s="2" t="s">
        <v>32</v>
      </c>
      <c r="C246" s="2" t="s">
        <v>43</v>
      </c>
      <c r="D246" s="2">
        <v>7</v>
      </c>
      <c r="E246" s="2">
        <v>8705613636</v>
      </c>
      <c r="F246" s="2" t="s">
        <v>19</v>
      </c>
      <c r="G246" s="2" t="s">
        <v>20</v>
      </c>
      <c r="H246" s="2" t="s">
        <v>21</v>
      </c>
      <c r="I246" s="2" t="s">
        <v>16</v>
      </c>
      <c r="J246" s="2" t="s">
        <v>22</v>
      </c>
    </row>
    <row r="247" spans="1:10" x14ac:dyDescent="0.3">
      <c r="A247" s="2" t="s">
        <v>271</v>
      </c>
      <c r="B247" s="2" t="s">
        <v>25</v>
      </c>
      <c r="C247" s="2" t="s">
        <v>33</v>
      </c>
      <c r="D247" s="2">
        <v>5</v>
      </c>
      <c r="E247" s="2">
        <v>6118847180</v>
      </c>
      <c r="F247" s="2" t="s">
        <v>13</v>
      </c>
      <c r="G247" s="2" t="s">
        <v>14</v>
      </c>
      <c r="H247" s="2" t="s">
        <v>15</v>
      </c>
      <c r="I247" s="2" t="s">
        <v>37</v>
      </c>
      <c r="J247" s="2" t="s">
        <v>17</v>
      </c>
    </row>
    <row r="248" spans="1:10" x14ac:dyDescent="0.3">
      <c r="A248" s="2" t="s">
        <v>272</v>
      </c>
      <c r="B248" s="2" t="s">
        <v>11</v>
      </c>
      <c r="C248" s="2" t="s">
        <v>12</v>
      </c>
      <c r="D248" s="2">
        <v>3</v>
      </c>
      <c r="E248" s="2">
        <v>9905412979</v>
      </c>
      <c r="F248" s="2" t="s">
        <v>13</v>
      </c>
      <c r="G248" s="2" t="s">
        <v>20</v>
      </c>
      <c r="H248" s="2" t="s">
        <v>15</v>
      </c>
      <c r="I248" s="2" t="s">
        <v>41</v>
      </c>
      <c r="J248" s="2" t="s">
        <v>22</v>
      </c>
    </row>
    <row r="249" spans="1:10" x14ac:dyDescent="0.3">
      <c r="A249" s="2" t="s">
        <v>273</v>
      </c>
      <c r="B249" s="2" t="s">
        <v>25</v>
      </c>
      <c r="C249" s="2" t="s">
        <v>33</v>
      </c>
      <c r="D249" s="2">
        <v>5</v>
      </c>
      <c r="E249" s="2">
        <v>7409594170</v>
      </c>
      <c r="F249" s="2" t="s">
        <v>13</v>
      </c>
      <c r="G249" s="2" t="s">
        <v>14</v>
      </c>
      <c r="H249" s="2" t="s">
        <v>15</v>
      </c>
      <c r="I249" s="2" t="s">
        <v>27</v>
      </c>
      <c r="J249" s="2" t="s">
        <v>22</v>
      </c>
    </row>
    <row r="250" spans="1:10" x14ac:dyDescent="0.3">
      <c r="A250" s="2" t="s">
        <v>274</v>
      </c>
      <c r="B250" s="2" t="s">
        <v>35</v>
      </c>
      <c r="C250" s="2" t="s">
        <v>26</v>
      </c>
      <c r="D250" s="2">
        <v>1</v>
      </c>
      <c r="E250" s="2">
        <v>6536982244</v>
      </c>
      <c r="F250" s="2" t="s">
        <v>13</v>
      </c>
      <c r="G250" s="2" t="s">
        <v>20</v>
      </c>
      <c r="H250" s="2" t="s">
        <v>21</v>
      </c>
      <c r="I250" s="2" t="s">
        <v>41</v>
      </c>
      <c r="J250" s="2" t="s">
        <v>22</v>
      </c>
    </row>
    <row r="251" spans="1:10" x14ac:dyDescent="0.3">
      <c r="A251" s="2" t="s">
        <v>275</v>
      </c>
      <c r="B251" s="2" t="s">
        <v>25</v>
      </c>
      <c r="C251" s="2" t="s">
        <v>33</v>
      </c>
      <c r="D251" s="2">
        <v>5</v>
      </c>
      <c r="E251" s="2">
        <v>7297304435</v>
      </c>
      <c r="F251" s="2" t="s">
        <v>13</v>
      </c>
      <c r="G251" s="2" t="s">
        <v>14</v>
      </c>
      <c r="H251" s="2" t="s">
        <v>21</v>
      </c>
      <c r="I251" s="2" t="s">
        <v>41</v>
      </c>
      <c r="J251" s="2" t="s">
        <v>17</v>
      </c>
    </row>
    <row r="252" spans="1:10" x14ac:dyDescent="0.3">
      <c r="A252" s="2" t="s">
        <v>276</v>
      </c>
      <c r="B252" s="2" t="s">
        <v>35</v>
      </c>
      <c r="C252" s="2" t="s">
        <v>12</v>
      </c>
      <c r="D252" s="2">
        <v>1</v>
      </c>
      <c r="E252" s="2">
        <v>9124302350</v>
      </c>
      <c r="F252" s="2" t="s">
        <v>13</v>
      </c>
      <c r="G252" s="2" t="s">
        <v>20</v>
      </c>
      <c r="H252" s="2" t="s">
        <v>15</v>
      </c>
      <c r="I252" s="2" t="s">
        <v>29</v>
      </c>
      <c r="J252" s="2" t="s">
        <v>17</v>
      </c>
    </row>
    <row r="253" spans="1:10" x14ac:dyDescent="0.3">
      <c r="A253" s="2" t="s">
        <v>277</v>
      </c>
      <c r="B253" s="2" t="s">
        <v>35</v>
      </c>
      <c r="C253" s="2" t="s">
        <v>26</v>
      </c>
      <c r="D253" s="2">
        <v>1</v>
      </c>
      <c r="E253" s="2">
        <v>9523962094</v>
      </c>
      <c r="F253" s="2" t="s">
        <v>13</v>
      </c>
      <c r="G253" s="2" t="s">
        <v>14</v>
      </c>
      <c r="H253" s="2" t="s">
        <v>15</v>
      </c>
      <c r="I253" s="2" t="s">
        <v>22</v>
      </c>
      <c r="J253" s="2" t="s">
        <v>22</v>
      </c>
    </row>
    <row r="254" spans="1:10" x14ac:dyDescent="0.3">
      <c r="A254" s="2" t="s">
        <v>278</v>
      </c>
      <c r="B254" s="2" t="s">
        <v>11</v>
      </c>
      <c r="C254" s="2" t="s">
        <v>12</v>
      </c>
      <c r="D254" s="2">
        <v>3</v>
      </c>
      <c r="E254" s="2">
        <v>7805019973</v>
      </c>
      <c r="F254" s="2" t="s">
        <v>13</v>
      </c>
      <c r="G254" s="2" t="s">
        <v>14</v>
      </c>
      <c r="H254" s="2" t="s">
        <v>21</v>
      </c>
      <c r="I254" s="2" t="s">
        <v>29</v>
      </c>
      <c r="J254" s="2" t="s">
        <v>23</v>
      </c>
    </row>
    <row r="255" spans="1:10" x14ac:dyDescent="0.3">
      <c r="A255" s="2" t="s">
        <v>279</v>
      </c>
      <c r="B255" s="2" t="s">
        <v>25</v>
      </c>
      <c r="C255" s="2" t="s">
        <v>43</v>
      </c>
      <c r="D255" s="2">
        <v>5</v>
      </c>
      <c r="E255" s="2">
        <v>8908711740</v>
      </c>
      <c r="F255" s="2" t="s">
        <v>19</v>
      </c>
      <c r="G255" s="2" t="s">
        <v>14</v>
      </c>
      <c r="H255" s="2" t="s">
        <v>21</v>
      </c>
      <c r="I255" s="2" t="s">
        <v>22</v>
      </c>
      <c r="J255" s="2" t="s">
        <v>23</v>
      </c>
    </row>
    <row r="256" spans="1:10" x14ac:dyDescent="0.3">
      <c r="A256" s="2" t="s">
        <v>280</v>
      </c>
      <c r="B256" s="2" t="s">
        <v>11</v>
      </c>
      <c r="C256" s="2" t="s">
        <v>36</v>
      </c>
      <c r="D256" s="2">
        <v>3</v>
      </c>
      <c r="E256" s="2">
        <v>9994241163</v>
      </c>
      <c r="F256" s="2" t="s">
        <v>19</v>
      </c>
      <c r="G256" s="2" t="s">
        <v>14</v>
      </c>
      <c r="H256" s="2" t="s">
        <v>21</v>
      </c>
      <c r="I256" s="2" t="s">
        <v>29</v>
      </c>
      <c r="J256" s="2" t="s">
        <v>22</v>
      </c>
    </row>
    <row r="257" spans="1:10" x14ac:dyDescent="0.3">
      <c r="A257" s="2" t="s">
        <v>281</v>
      </c>
      <c r="B257" s="2" t="s">
        <v>32</v>
      </c>
      <c r="C257" s="2" t="s">
        <v>12</v>
      </c>
      <c r="D257" s="2">
        <v>7</v>
      </c>
      <c r="E257" s="2">
        <v>7351683503</v>
      </c>
      <c r="F257" s="2" t="s">
        <v>13</v>
      </c>
      <c r="G257" s="2" t="s">
        <v>20</v>
      </c>
      <c r="H257" s="2" t="s">
        <v>21</v>
      </c>
      <c r="I257" s="2" t="s">
        <v>16</v>
      </c>
      <c r="J257" s="2" t="s">
        <v>17</v>
      </c>
    </row>
    <row r="258" spans="1:10" x14ac:dyDescent="0.3">
      <c r="A258" s="2" t="s">
        <v>282</v>
      </c>
      <c r="B258" s="2" t="s">
        <v>11</v>
      </c>
      <c r="C258" s="2" t="s">
        <v>36</v>
      </c>
      <c r="D258" s="2">
        <v>3</v>
      </c>
      <c r="E258" s="2">
        <v>8080619526</v>
      </c>
      <c r="F258" s="2" t="s">
        <v>19</v>
      </c>
      <c r="G258" s="2" t="s">
        <v>20</v>
      </c>
      <c r="H258" s="2" t="s">
        <v>15</v>
      </c>
      <c r="I258" s="2" t="s">
        <v>27</v>
      </c>
      <c r="J258" s="2" t="s">
        <v>23</v>
      </c>
    </row>
    <row r="259" spans="1:10" x14ac:dyDescent="0.3">
      <c r="A259" s="2" t="s">
        <v>283</v>
      </c>
      <c r="B259" s="2" t="s">
        <v>32</v>
      </c>
      <c r="C259" s="2" t="s">
        <v>12</v>
      </c>
      <c r="D259" s="2">
        <v>7</v>
      </c>
      <c r="E259" s="2">
        <v>8523942137</v>
      </c>
      <c r="F259" s="2" t="s">
        <v>19</v>
      </c>
      <c r="G259" s="2" t="s">
        <v>20</v>
      </c>
      <c r="H259" s="2" t="s">
        <v>21</v>
      </c>
      <c r="I259" s="2" t="s">
        <v>22</v>
      </c>
      <c r="J259" s="2" t="s">
        <v>17</v>
      </c>
    </row>
    <row r="260" spans="1:10" x14ac:dyDescent="0.3">
      <c r="A260" s="2" t="s">
        <v>284</v>
      </c>
      <c r="B260" s="2" t="s">
        <v>35</v>
      </c>
      <c r="C260" s="2" t="s">
        <v>43</v>
      </c>
      <c r="D260" s="2">
        <v>1</v>
      </c>
      <c r="E260" s="2">
        <v>6880452593</v>
      </c>
      <c r="F260" s="2" t="s">
        <v>13</v>
      </c>
      <c r="G260" s="2" t="s">
        <v>20</v>
      </c>
      <c r="H260" s="2" t="s">
        <v>21</v>
      </c>
      <c r="I260" s="2" t="s">
        <v>41</v>
      </c>
      <c r="J260" s="2" t="s">
        <v>23</v>
      </c>
    </row>
    <row r="261" spans="1:10" x14ac:dyDescent="0.3">
      <c r="A261" s="2" t="s">
        <v>285</v>
      </c>
      <c r="B261" s="2" t="s">
        <v>25</v>
      </c>
      <c r="C261" s="2" t="s">
        <v>33</v>
      </c>
      <c r="D261" s="2">
        <v>5</v>
      </c>
      <c r="E261" s="2">
        <v>7528675887</v>
      </c>
      <c r="F261" s="2" t="s">
        <v>13</v>
      </c>
      <c r="G261" s="2" t="s">
        <v>14</v>
      </c>
      <c r="H261" s="2" t="s">
        <v>21</v>
      </c>
      <c r="I261" s="2" t="s">
        <v>37</v>
      </c>
      <c r="J261" s="2" t="s">
        <v>22</v>
      </c>
    </row>
    <row r="262" spans="1:10" x14ac:dyDescent="0.3">
      <c r="A262" s="2" t="s">
        <v>286</v>
      </c>
      <c r="B262" s="2" t="s">
        <v>32</v>
      </c>
      <c r="C262" s="2" t="s">
        <v>26</v>
      </c>
      <c r="D262" s="2">
        <v>7</v>
      </c>
      <c r="E262" s="2">
        <v>9975716753</v>
      </c>
      <c r="F262" s="2" t="s">
        <v>19</v>
      </c>
      <c r="G262" s="2" t="s">
        <v>20</v>
      </c>
      <c r="H262" s="2" t="s">
        <v>15</v>
      </c>
      <c r="I262" s="2" t="s">
        <v>37</v>
      </c>
      <c r="J262" s="2" t="s">
        <v>22</v>
      </c>
    </row>
    <row r="263" spans="1:10" x14ac:dyDescent="0.3">
      <c r="A263" s="2" t="s">
        <v>287</v>
      </c>
      <c r="B263" s="2" t="s">
        <v>25</v>
      </c>
      <c r="C263" s="2" t="s">
        <v>12</v>
      </c>
      <c r="D263" s="2">
        <v>5</v>
      </c>
      <c r="E263" s="2">
        <v>7782042637</v>
      </c>
      <c r="F263" s="2" t="s">
        <v>19</v>
      </c>
      <c r="G263" s="2" t="s">
        <v>14</v>
      </c>
      <c r="H263" s="2" t="s">
        <v>21</v>
      </c>
      <c r="I263" s="2" t="s">
        <v>41</v>
      </c>
      <c r="J263" s="2" t="s">
        <v>17</v>
      </c>
    </row>
    <row r="264" spans="1:10" x14ac:dyDescent="0.3">
      <c r="A264" s="2" t="s">
        <v>288</v>
      </c>
      <c r="B264" s="2" t="s">
        <v>11</v>
      </c>
      <c r="C264" s="2" t="s">
        <v>26</v>
      </c>
      <c r="D264" s="2">
        <v>3</v>
      </c>
      <c r="E264" s="2">
        <v>8200682061</v>
      </c>
      <c r="F264" s="2" t="s">
        <v>19</v>
      </c>
      <c r="G264" s="2" t="s">
        <v>20</v>
      </c>
      <c r="H264" s="2" t="s">
        <v>21</v>
      </c>
      <c r="I264" s="2" t="s">
        <v>22</v>
      </c>
      <c r="J264" s="2" t="s">
        <v>23</v>
      </c>
    </row>
    <row r="265" spans="1:10" x14ac:dyDescent="0.3">
      <c r="A265" s="2" t="s">
        <v>289</v>
      </c>
      <c r="B265" s="2" t="s">
        <v>25</v>
      </c>
      <c r="C265" s="2" t="s">
        <v>33</v>
      </c>
      <c r="D265" s="2">
        <v>5</v>
      </c>
      <c r="E265" s="2">
        <v>6951338106</v>
      </c>
      <c r="F265" s="2" t="s">
        <v>13</v>
      </c>
      <c r="G265" s="2" t="s">
        <v>20</v>
      </c>
      <c r="H265" s="2" t="s">
        <v>21</v>
      </c>
      <c r="I265" s="2" t="s">
        <v>22</v>
      </c>
      <c r="J265" s="2" t="s">
        <v>22</v>
      </c>
    </row>
    <row r="266" spans="1:10" x14ac:dyDescent="0.3">
      <c r="A266" s="2" t="s">
        <v>290</v>
      </c>
      <c r="B266" s="2" t="s">
        <v>35</v>
      </c>
      <c r="C266" s="2" t="s">
        <v>12</v>
      </c>
      <c r="D266" s="2">
        <v>1</v>
      </c>
      <c r="E266" s="2">
        <v>6934987009</v>
      </c>
      <c r="F266" s="2" t="s">
        <v>19</v>
      </c>
      <c r="G266" s="2" t="s">
        <v>20</v>
      </c>
      <c r="H266" s="2" t="s">
        <v>15</v>
      </c>
      <c r="I266" s="2" t="s">
        <v>22</v>
      </c>
      <c r="J266" s="2" t="s">
        <v>23</v>
      </c>
    </row>
    <row r="267" spans="1:10" x14ac:dyDescent="0.3">
      <c r="A267" s="2" t="s">
        <v>240</v>
      </c>
      <c r="B267" s="2" t="s">
        <v>35</v>
      </c>
      <c r="C267" s="2" t="s">
        <v>12</v>
      </c>
      <c r="D267" s="2">
        <v>1</v>
      </c>
      <c r="E267" s="2">
        <v>9886073664</v>
      </c>
      <c r="F267" s="2" t="s">
        <v>13</v>
      </c>
      <c r="G267" s="2" t="s">
        <v>20</v>
      </c>
      <c r="H267" s="2" t="s">
        <v>15</v>
      </c>
      <c r="I267" s="2" t="s">
        <v>22</v>
      </c>
      <c r="J267" s="2" t="s">
        <v>22</v>
      </c>
    </row>
    <row r="268" spans="1:10" x14ac:dyDescent="0.3">
      <c r="A268" s="2" t="s">
        <v>291</v>
      </c>
      <c r="B268" s="2" t="s">
        <v>32</v>
      </c>
      <c r="C268" s="2" t="s">
        <v>36</v>
      </c>
      <c r="D268" s="2">
        <v>7</v>
      </c>
      <c r="E268" s="2">
        <v>9013296970</v>
      </c>
      <c r="F268" s="2" t="s">
        <v>19</v>
      </c>
      <c r="G268" s="2" t="s">
        <v>20</v>
      </c>
      <c r="H268" s="2" t="s">
        <v>15</v>
      </c>
      <c r="I268" s="2" t="s">
        <v>16</v>
      </c>
      <c r="J268" s="2" t="s">
        <v>23</v>
      </c>
    </row>
    <row r="269" spans="1:10" x14ac:dyDescent="0.3">
      <c r="A269" s="2" t="s">
        <v>292</v>
      </c>
      <c r="B269" s="2" t="s">
        <v>25</v>
      </c>
      <c r="C269" s="2" t="s">
        <v>43</v>
      </c>
      <c r="D269" s="2">
        <v>5</v>
      </c>
      <c r="E269" s="2">
        <v>9239147624</v>
      </c>
      <c r="F269" s="2" t="s">
        <v>19</v>
      </c>
      <c r="G269" s="2" t="s">
        <v>14</v>
      </c>
      <c r="H269" s="2" t="s">
        <v>21</v>
      </c>
      <c r="I269" s="2" t="s">
        <v>41</v>
      </c>
      <c r="J269" s="2" t="s">
        <v>22</v>
      </c>
    </row>
    <row r="270" spans="1:10" x14ac:dyDescent="0.3">
      <c r="A270" s="2" t="s">
        <v>293</v>
      </c>
      <c r="B270" s="2" t="s">
        <v>32</v>
      </c>
      <c r="C270" s="2" t="s">
        <v>26</v>
      </c>
      <c r="D270" s="2">
        <v>7</v>
      </c>
      <c r="E270" s="2">
        <v>7453021693</v>
      </c>
      <c r="F270" s="2" t="s">
        <v>13</v>
      </c>
      <c r="G270" s="2" t="s">
        <v>20</v>
      </c>
      <c r="H270" s="2" t="s">
        <v>15</v>
      </c>
      <c r="I270" s="2" t="s">
        <v>29</v>
      </c>
      <c r="J270" s="2" t="s">
        <v>22</v>
      </c>
    </row>
    <row r="271" spans="1:10" x14ac:dyDescent="0.3">
      <c r="A271" s="2" t="s">
        <v>294</v>
      </c>
      <c r="B271" s="2" t="s">
        <v>25</v>
      </c>
      <c r="C271" s="2" t="s">
        <v>26</v>
      </c>
      <c r="D271" s="2">
        <v>5</v>
      </c>
      <c r="E271" s="2">
        <v>7315120205</v>
      </c>
      <c r="F271" s="2" t="s">
        <v>19</v>
      </c>
      <c r="G271" s="2" t="s">
        <v>14</v>
      </c>
      <c r="H271" s="2" t="s">
        <v>21</v>
      </c>
      <c r="I271" s="2" t="s">
        <v>22</v>
      </c>
      <c r="J271" s="2" t="s">
        <v>17</v>
      </c>
    </row>
    <row r="272" spans="1:10" x14ac:dyDescent="0.3">
      <c r="A272" s="2" t="s">
        <v>295</v>
      </c>
      <c r="B272" s="2" t="s">
        <v>35</v>
      </c>
      <c r="C272" s="2" t="s">
        <v>43</v>
      </c>
      <c r="D272" s="2">
        <v>1</v>
      </c>
      <c r="E272" s="2">
        <v>6653290332</v>
      </c>
      <c r="F272" s="2" t="s">
        <v>19</v>
      </c>
      <c r="G272" s="2" t="s">
        <v>14</v>
      </c>
      <c r="H272" s="2" t="s">
        <v>15</v>
      </c>
      <c r="I272" s="2" t="s">
        <v>37</v>
      </c>
      <c r="J272" s="2" t="s">
        <v>22</v>
      </c>
    </row>
    <row r="273" spans="1:10" x14ac:dyDescent="0.3">
      <c r="A273" s="2" t="s">
        <v>52</v>
      </c>
      <c r="B273" s="2" t="s">
        <v>32</v>
      </c>
      <c r="C273" s="2" t="s">
        <v>36</v>
      </c>
      <c r="D273" s="2">
        <v>7</v>
      </c>
      <c r="E273" s="2">
        <v>8933456313</v>
      </c>
      <c r="F273" s="2" t="s">
        <v>19</v>
      </c>
      <c r="G273" s="2" t="s">
        <v>14</v>
      </c>
      <c r="H273" s="2" t="s">
        <v>15</v>
      </c>
      <c r="I273" s="2" t="s">
        <v>16</v>
      </c>
      <c r="J273" s="2" t="s">
        <v>22</v>
      </c>
    </row>
    <row r="274" spans="1:10" x14ac:dyDescent="0.3">
      <c r="A274" s="2" t="s">
        <v>296</v>
      </c>
      <c r="B274" s="2" t="s">
        <v>11</v>
      </c>
      <c r="C274" s="2" t="s">
        <v>36</v>
      </c>
      <c r="D274" s="2">
        <v>3</v>
      </c>
      <c r="E274" s="2">
        <v>9012070733</v>
      </c>
      <c r="F274" s="2" t="s">
        <v>13</v>
      </c>
      <c r="G274" s="2" t="s">
        <v>20</v>
      </c>
      <c r="H274" s="2" t="s">
        <v>21</v>
      </c>
      <c r="I274" s="2" t="s">
        <v>22</v>
      </c>
      <c r="J274" s="2" t="s">
        <v>22</v>
      </c>
    </row>
    <row r="275" spans="1:10" x14ac:dyDescent="0.3">
      <c r="A275" s="2" t="s">
        <v>297</v>
      </c>
      <c r="B275" s="2" t="s">
        <v>32</v>
      </c>
      <c r="C275" s="2" t="s">
        <v>33</v>
      </c>
      <c r="D275" s="2">
        <v>7</v>
      </c>
      <c r="E275" s="2">
        <v>8780588741</v>
      </c>
      <c r="F275" s="2" t="s">
        <v>19</v>
      </c>
      <c r="G275" s="2" t="s">
        <v>20</v>
      </c>
      <c r="H275" s="2" t="s">
        <v>15</v>
      </c>
      <c r="I275" s="2" t="s">
        <v>22</v>
      </c>
      <c r="J275" s="2" t="s">
        <v>22</v>
      </c>
    </row>
    <row r="276" spans="1:10" x14ac:dyDescent="0.3">
      <c r="A276" s="2" t="s">
        <v>132</v>
      </c>
      <c r="B276" s="2" t="s">
        <v>35</v>
      </c>
      <c r="C276" s="2" t="s">
        <v>43</v>
      </c>
      <c r="D276" s="2">
        <v>1</v>
      </c>
      <c r="E276" s="2">
        <v>6873896121</v>
      </c>
      <c r="F276" s="2" t="s">
        <v>19</v>
      </c>
      <c r="G276" s="2" t="s">
        <v>20</v>
      </c>
      <c r="H276" s="2" t="s">
        <v>21</v>
      </c>
      <c r="I276" s="2" t="s">
        <v>27</v>
      </c>
      <c r="J276" s="2" t="s">
        <v>23</v>
      </c>
    </row>
    <row r="277" spans="1:10" x14ac:dyDescent="0.3">
      <c r="A277" s="2" t="s">
        <v>298</v>
      </c>
      <c r="B277" s="2" t="s">
        <v>25</v>
      </c>
      <c r="C277" s="2" t="s">
        <v>33</v>
      </c>
      <c r="D277" s="2">
        <v>5</v>
      </c>
      <c r="E277" s="2">
        <v>6175040360</v>
      </c>
      <c r="F277" s="2" t="s">
        <v>13</v>
      </c>
      <c r="G277" s="2" t="s">
        <v>14</v>
      </c>
      <c r="H277" s="2" t="s">
        <v>15</v>
      </c>
      <c r="I277" s="2" t="s">
        <v>22</v>
      </c>
      <c r="J277" s="2" t="s">
        <v>23</v>
      </c>
    </row>
    <row r="278" spans="1:10" x14ac:dyDescent="0.3">
      <c r="A278" s="2" t="s">
        <v>299</v>
      </c>
      <c r="B278" s="2" t="s">
        <v>25</v>
      </c>
      <c r="C278" s="2" t="s">
        <v>33</v>
      </c>
      <c r="D278" s="2">
        <v>5</v>
      </c>
      <c r="E278" s="2">
        <v>7833947819</v>
      </c>
      <c r="F278" s="2" t="s">
        <v>19</v>
      </c>
      <c r="G278" s="2" t="s">
        <v>14</v>
      </c>
      <c r="H278" s="2" t="s">
        <v>15</v>
      </c>
      <c r="I278" s="2" t="s">
        <v>16</v>
      </c>
      <c r="J278" s="2" t="s">
        <v>23</v>
      </c>
    </row>
    <row r="279" spans="1:10" x14ac:dyDescent="0.3">
      <c r="A279" s="2" t="s">
        <v>300</v>
      </c>
      <c r="B279" s="2" t="s">
        <v>25</v>
      </c>
      <c r="C279" s="2" t="s">
        <v>12</v>
      </c>
      <c r="D279" s="2">
        <v>5</v>
      </c>
      <c r="E279" s="2">
        <v>7508540175</v>
      </c>
      <c r="F279" s="2" t="s">
        <v>19</v>
      </c>
      <c r="G279" s="2" t="s">
        <v>20</v>
      </c>
      <c r="H279" s="2" t="s">
        <v>21</v>
      </c>
      <c r="I279" s="2" t="s">
        <v>29</v>
      </c>
      <c r="J279" s="2" t="s">
        <v>22</v>
      </c>
    </row>
    <row r="280" spans="1:10" x14ac:dyDescent="0.3">
      <c r="A280" s="2" t="s">
        <v>301</v>
      </c>
      <c r="B280" s="2" t="s">
        <v>32</v>
      </c>
      <c r="C280" s="2" t="s">
        <v>36</v>
      </c>
      <c r="D280" s="2">
        <v>7</v>
      </c>
      <c r="E280" s="2">
        <v>8022301658</v>
      </c>
      <c r="F280" s="2" t="s">
        <v>19</v>
      </c>
      <c r="G280" s="2" t="s">
        <v>20</v>
      </c>
      <c r="H280" s="2" t="s">
        <v>15</v>
      </c>
      <c r="I280" s="2" t="s">
        <v>22</v>
      </c>
      <c r="J280" s="2" t="s">
        <v>23</v>
      </c>
    </row>
    <row r="281" spans="1:10" x14ac:dyDescent="0.3">
      <c r="A281" s="2" t="s">
        <v>302</v>
      </c>
      <c r="B281" s="2" t="s">
        <v>25</v>
      </c>
      <c r="C281" s="2" t="s">
        <v>26</v>
      </c>
      <c r="D281" s="2">
        <v>5</v>
      </c>
      <c r="E281" s="2">
        <v>8843845156</v>
      </c>
      <c r="F281" s="2" t="s">
        <v>13</v>
      </c>
      <c r="G281" s="2" t="s">
        <v>20</v>
      </c>
      <c r="H281" s="2" t="s">
        <v>15</v>
      </c>
      <c r="I281" s="2" t="s">
        <v>27</v>
      </c>
      <c r="J281" s="2" t="s">
        <v>22</v>
      </c>
    </row>
    <row r="282" spans="1:10" x14ac:dyDescent="0.3">
      <c r="A282" s="2" t="s">
        <v>303</v>
      </c>
      <c r="B282" s="2" t="s">
        <v>25</v>
      </c>
      <c r="C282" s="2" t="s">
        <v>26</v>
      </c>
      <c r="D282" s="2">
        <v>5</v>
      </c>
      <c r="E282" s="2">
        <v>6539639903</v>
      </c>
      <c r="F282" s="2" t="s">
        <v>19</v>
      </c>
      <c r="G282" s="2" t="s">
        <v>14</v>
      </c>
      <c r="H282" s="2" t="s">
        <v>15</v>
      </c>
      <c r="I282" s="2" t="s">
        <v>22</v>
      </c>
      <c r="J282" s="2" t="s">
        <v>22</v>
      </c>
    </row>
    <row r="283" spans="1:10" x14ac:dyDescent="0.3">
      <c r="A283" s="2" t="s">
        <v>304</v>
      </c>
      <c r="B283" s="2" t="s">
        <v>11</v>
      </c>
      <c r="C283" s="2" t="s">
        <v>43</v>
      </c>
      <c r="D283" s="2">
        <v>3</v>
      </c>
      <c r="E283" s="2">
        <v>9219332602</v>
      </c>
      <c r="F283" s="2" t="s">
        <v>19</v>
      </c>
      <c r="G283" s="2" t="s">
        <v>20</v>
      </c>
      <c r="H283" s="2" t="s">
        <v>21</v>
      </c>
      <c r="I283" s="2" t="s">
        <v>29</v>
      </c>
      <c r="J283" s="2" t="s">
        <v>22</v>
      </c>
    </row>
    <row r="284" spans="1:10" x14ac:dyDescent="0.3">
      <c r="A284" s="2" t="s">
        <v>305</v>
      </c>
      <c r="B284" s="2" t="s">
        <v>25</v>
      </c>
      <c r="C284" s="2" t="s">
        <v>36</v>
      </c>
      <c r="D284" s="2">
        <v>5</v>
      </c>
      <c r="E284" s="2">
        <v>9250606038</v>
      </c>
      <c r="F284" s="2" t="s">
        <v>13</v>
      </c>
      <c r="G284" s="2" t="s">
        <v>14</v>
      </c>
      <c r="H284" s="2" t="s">
        <v>15</v>
      </c>
      <c r="I284" s="2" t="s">
        <v>37</v>
      </c>
      <c r="J284" s="2" t="s">
        <v>23</v>
      </c>
    </row>
    <row r="285" spans="1:10" x14ac:dyDescent="0.3">
      <c r="A285" s="2" t="s">
        <v>306</v>
      </c>
      <c r="B285" s="2" t="s">
        <v>32</v>
      </c>
      <c r="C285" s="2" t="s">
        <v>36</v>
      </c>
      <c r="D285" s="2">
        <v>7</v>
      </c>
      <c r="E285" s="2">
        <v>8751623627</v>
      </c>
      <c r="F285" s="2" t="s">
        <v>13</v>
      </c>
      <c r="G285" s="2" t="s">
        <v>14</v>
      </c>
      <c r="H285" s="2" t="s">
        <v>15</v>
      </c>
      <c r="I285" s="2" t="s">
        <v>16</v>
      </c>
      <c r="J285" s="2" t="s">
        <v>23</v>
      </c>
    </row>
    <row r="286" spans="1:10" x14ac:dyDescent="0.3">
      <c r="A286" s="2" t="s">
        <v>307</v>
      </c>
      <c r="B286" s="2" t="s">
        <v>11</v>
      </c>
      <c r="C286" s="2" t="s">
        <v>12</v>
      </c>
      <c r="D286" s="2">
        <v>3</v>
      </c>
      <c r="E286" s="2">
        <v>9581677026</v>
      </c>
      <c r="F286" s="2" t="s">
        <v>13</v>
      </c>
      <c r="G286" s="2" t="s">
        <v>14</v>
      </c>
      <c r="H286" s="2" t="s">
        <v>21</v>
      </c>
      <c r="I286" s="2" t="s">
        <v>22</v>
      </c>
      <c r="J286" s="2" t="s">
        <v>23</v>
      </c>
    </row>
    <row r="287" spans="1:10" x14ac:dyDescent="0.3">
      <c r="A287" s="2" t="s">
        <v>308</v>
      </c>
      <c r="B287" s="2" t="s">
        <v>35</v>
      </c>
      <c r="C287" s="2" t="s">
        <v>33</v>
      </c>
      <c r="D287" s="2">
        <v>1</v>
      </c>
      <c r="E287" s="2">
        <v>7591863235</v>
      </c>
      <c r="F287" s="2" t="s">
        <v>19</v>
      </c>
      <c r="G287" s="2" t="s">
        <v>20</v>
      </c>
      <c r="H287" s="2" t="s">
        <v>21</v>
      </c>
      <c r="I287" s="2" t="s">
        <v>22</v>
      </c>
      <c r="J287" s="2" t="s">
        <v>23</v>
      </c>
    </row>
    <row r="288" spans="1:10" x14ac:dyDescent="0.3">
      <c r="A288" s="2" t="s">
        <v>309</v>
      </c>
      <c r="B288" s="2" t="s">
        <v>11</v>
      </c>
      <c r="C288" s="2" t="s">
        <v>12</v>
      </c>
      <c r="D288" s="2">
        <v>3</v>
      </c>
      <c r="E288" s="2">
        <v>7571815436</v>
      </c>
      <c r="F288" s="2" t="s">
        <v>19</v>
      </c>
      <c r="G288" s="2" t="s">
        <v>14</v>
      </c>
      <c r="H288" s="2" t="s">
        <v>15</v>
      </c>
      <c r="I288" s="2" t="s">
        <v>22</v>
      </c>
      <c r="J288" s="2" t="s">
        <v>23</v>
      </c>
    </row>
    <row r="289" spans="1:10" x14ac:dyDescent="0.3">
      <c r="A289" s="2" t="s">
        <v>310</v>
      </c>
      <c r="B289" s="2" t="s">
        <v>35</v>
      </c>
      <c r="C289" s="2" t="s">
        <v>12</v>
      </c>
      <c r="D289" s="2">
        <v>1</v>
      </c>
      <c r="E289" s="2">
        <v>7820642372</v>
      </c>
      <c r="F289" s="2" t="s">
        <v>19</v>
      </c>
      <c r="G289" s="2" t="s">
        <v>14</v>
      </c>
      <c r="H289" s="2" t="s">
        <v>21</v>
      </c>
      <c r="I289" s="2" t="s">
        <v>37</v>
      </c>
      <c r="J289" s="2" t="s">
        <v>22</v>
      </c>
    </row>
    <row r="290" spans="1:10" x14ac:dyDescent="0.3">
      <c r="A290" s="2" t="s">
        <v>311</v>
      </c>
      <c r="B290" s="2" t="s">
        <v>35</v>
      </c>
      <c r="C290" s="2" t="s">
        <v>12</v>
      </c>
      <c r="D290" s="2">
        <v>1</v>
      </c>
      <c r="E290" s="2">
        <v>6214259466</v>
      </c>
      <c r="F290" s="2" t="s">
        <v>13</v>
      </c>
      <c r="G290" s="2" t="s">
        <v>14</v>
      </c>
      <c r="H290" s="2" t="s">
        <v>15</v>
      </c>
      <c r="I290" s="2" t="s">
        <v>22</v>
      </c>
      <c r="J290" s="2" t="s">
        <v>23</v>
      </c>
    </row>
    <row r="291" spans="1:10" x14ac:dyDescent="0.3">
      <c r="A291" s="2" t="s">
        <v>312</v>
      </c>
      <c r="B291" s="2" t="s">
        <v>32</v>
      </c>
      <c r="C291" s="2" t="s">
        <v>43</v>
      </c>
      <c r="D291" s="2">
        <v>7</v>
      </c>
      <c r="E291" s="2">
        <v>6138272229</v>
      </c>
      <c r="F291" s="2" t="s">
        <v>13</v>
      </c>
      <c r="G291" s="2" t="s">
        <v>20</v>
      </c>
      <c r="H291" s="2" t="s">
        <v>15</v>
      </c>
      <c r="I291" s="2" t="s">
        <v>29</v>
      </c>
      <c r="J291" s="2" t="s">
        <v>22</v>
      </c>
    </row>
    <row r="292" spans="1:10" x14ac:dyDescent="0.3">
      <c r="A292" s="2" t="s">
        <v>313</v>
      </c>
      <c r="B292" s="2" t="s">
        <v>32</v>
      </c>
      <c r="C292" s="2" t="s">
        <v>43</v>
      </c>
      <c r="D292" s="2">
        <v>7</v>
      </c>
      <c r="E292" s="2">
        <v>8808322626</v>
      </c>
      <c r="F292" s="2" t="s">
        <v>19</v>
      </c>
      <c r="G292" s="2" t="s">
        <v>14</v>
      </c>
      <c r="H292" s="2" t="s">
        <v>15</v>
      </c>
      <c r="I292" s="2" t="s">
        <v>16</v>
      </c>
      <c r="J292" s="2" t="s">
        <v>22</v>
      </c>
    </row>
    <row r="293" spans="1:10" x14ac:dyDescent="0.3">
      <c r="A293" s="2" t="s">
        <v>314</v>
      </c>
      <c r="B293" s="2" t="s">
        <v>35</v>
      </c>
      <c r="C293" s="2" t="s">
        <v>12</v>
      </c>
      <c r="D293" s="2">
        <v>1</v>
      </c>
      <c r="E293" s="2">
        <v>7224698432</v>
      </c>
      <c r="F293" s="2" t="s">
        <v>19</v>
      </c>
      <c r="G293" s="2" t="s">
        <v>14</v>
      </c>
      <c r="H293" s="2" t="s">
        <v>21</v>
      </c>
      <c r="I293" s="2" t="s">
        <v>41</v>
      </c>
      <c r="J293" s="2" t="s">
        <v>22</v>
      </c>
    </row>
    <row r="294" spans="1:10" x14ac:dyDescent="0.3">
      <c r="A294" s="2" t="s">
        <v>315</v>
      </c>
      <c r="B294" s="2" t="s">
        <v>32</v>
      </c>
      <c r="C294" s="2" t="s">
        <v>26</v>
      </c>
      <c r="D294" s="2">
        <v>7</v>
      </c>
      <c r="E294" s="2">
        <v>9222471765</v>
      </c>
      <c r="F294" s="2" t="s">
        <v>19</v>
      </c>
      <c r="G294" s="2" t="s">
        <v>20</v>
      </c>
      <c r="H294" s="2" t="s">
        <v>21</v>
      </c>
      <c r="I294" s="2" t="s">
        <v>37</v>
      </c>
      <c r="J294" s="2" t="s">
        <v>22</v>
      </c>
    </row>
    <row r="295" spans="1:10" x14ac:dyDescent="0.3">
      <c r="A295" s="2" t="s">
        <v>316</v>
      </c>
      <c r="B295" s="2" t="s">
        <v>32</v>
      </c>
      <c r="C295" s="2" t="s">
        <v>12</v>
      </c>
      <c r="D295" s="2">
        <v>7</v>
      </c>
      <c r="E295" s="2">
        <v>9631014275</v>
      </c>
      <c r="F295" s="2" t="s">
        <v>13</v>
      </c>
      <c r="G295" s="2" t="s">
        <v>20</v>
      </c>
      <c r="H295" s="2" t="s">
        <v>21</v>
      </c>
      <c r="I295" s="2" t="s">
        <v>29</v>
      </c>
      <c r="J295" s="2" t="s">
        <v>22</v>
      </c>
    </row>
    <row r="296" spans="1:10" x14ac:dyDescent="0.3">
      <c r="A296" s="2" t="s">
        <v>317</v>
      </c>
      <c r="B296" s="2" t="s">
        <v>11</v>
      </c>
      <c r="C296" s="2" t="s">
        <v>33</v>
      </c>
      <c r="D296" s="2">
        <v>3</v>
      </c>
      <c r="E296" s="2">
        <v>9017213082</v>
      </c>
      <c r="F296" s="2" t="s">
        <v>13</v>
      </c>
      <c r="G296" s="2" t="s">
        <v>20</v>
      </c>
      <c r="H296" s="2" t="s">
        <v>21</v>
      </c>
      <c r="I296" s="2" t="s">
        <v>22</v>
      </c>
      <c r="J296" s="2" t="s">
        <v>22</v>
      </c>
    </row>
    <row r="297" spans="1:10" x14ac:dyDescent="0.3">
      <c r="A297" s="2" t="s">
        <v>318</v>
      </c>
      <c r="B297" s="2" t="s">
        <v>32</v>
      </c>
      <c r="C297" s="2" t="s">
        <v>26</v>
      </c>
      <c r="D297" s="2">
        <v>7</v>
      </c>
      <c r="E297" s="2">
        <v>9585524674</v>
      </c>
      <c r="F297" s="2" t="s">
        <v>19</v>
      </c>
      <c r="G297" s="2" t="s">
        <v>20</v>
      </c>
      <c r="H297" s="2" t="s">
        <v>21</v>
      </c>
      <c r="I297" s="2" t="s">
        <v>22</v>
      </c>
      <c r="J297" s="2" t="s">
        <v>22</v>
      </c>
    </row>
    <row r="298" spans="1:10" x14ac:dyDescent="0.3">
      <c r="A298" s="2" t="s">
        <v>319</v>
      </c>
      <c r="B298" s="2" t="s">
        <v>35</v>
      </c>
      <c r="C298" s="2" t="s">
        <v>43</v>
      </c>
      <c r="D298" s="2">
        <v>1</v>
      </c>
      <c r="E298" s="2">
        <v>9319981861</v>
      </c>
      <c r="F298" s="2" t="s">
        <v>19</v>
      </c>
      <c r="G298" s="2" t="s">
        <v>20</v>
      </c>
      <c r="H298" s="2" t="s">
        <v>21</v>
      </c>
      <c r="I298" s="2" t="s">
        <v>41</v>
      </c>
      <c r="J298" s="2" t="s">
        <v>23</v>
      </c>
    </row>
    <row r="299" spans="1:10" x14ac:dyDescent="0.3">
      <c r="A299" s="2" t="s">
        <v>320</v>
      </c>
      <c r="B299" s="2" t="s">
        <v>25</v>
      </c>
      <c r="C299" s="2" t="s">
        <v>33</v>
      </c>
      <c r="D299" s="2">
        <v>5</v>
      </c>
      <c r="E299" s="2">
        <v>9041231436</v>
      </c>
      <c r="F299" s="2" t="s">
        <v>13</v>
      </c>
      <c r="G299" s="2" t="s">
        <v>14</v>
      </c>
      <c r="H299" s="2" t="s">
        <v>21</v>
      </c>
      <c r="I299" s="2" t="s">
        <v>37</v>
      </c>
      <c r="J299" s="2" t="s">
        <v>22</v>
      </c>
    </row>
    <row r="300" spans="1:10" x14ac:dyDescent="0.3">
      <c r="A300" s="2" t="s">
        <v>321</v>
      </c>
      <c r="B300" s="2" t="s">
        <v>35</v>
      </c>
      <c r="C300" s="2" t="s">
        <v>33</v>
      </c>
      <c r="D300" s="2">
        <v>1</v>
      </c>
      <c r="E300" s="2">
        <v>8565900630</v>
      </c>
      <c r="F300" s="2" t="s">
        <v>19</v>
      </c>
      <c r="G300" s="2" t="s">
        <v>14</v>
      </c>
      <c r="H300" s="2" t="s">
        <v>15</v>
      </c>
      <c r="I300" s="2" t="s">
        <v>37</v>
      </c>
      <c r="J300" s="2" t="s">
        <v>22</v>
      </c>
    </row>
    <row r="301" spans="1:10" x14ac:dyDescent="0.3">
      <c r="A301" s="2" t="s">
        <v>322</v>
      </c>
      <c r="B301" s="2" t="s">
        <v>32</v>
      </c>
      <c r="C301" s="2" t="s">
        <v>12</v>
      </c>
      <c r="D301" s="2">
        <v>7</v>
      </c>
      <c r="E301" s="2">
        <v>6909456424</v>
      </c>
      <c r="F301" s="2" t="s">
        <v>19</v>
      </c>
      <c r="G301" s="2" t="s">
        <v>20</v>
      </c>
      <c r="H301" s="2" t="s">
        <v>15</v>
      </c>
      <c r="I301" s="2" t="s">
        <v>16</v>
      </c>
      <c r="J301" s="2" t="s">
        <v>22</v>
      </c>
    </row>
    <row r="302" spans="1:10" x14ac:dyDescent="0.3">
      <c r="A302" s="2" t="s">
        <v>323</v>
      </c>
      <c r="B302" s="2" t="s">
        <v>11</v>
      </c>
      <c r="C302" s="2" t="s">
        <v>36</v>
      </c>
      <c r="D302" s="2">
        <v>3</v>
      </c>
      <c r="E302" s="2">
        <v>9985286187</v>
      </c>
      <c r="F302" s="2" t="s">
        <v>13</v>
      </c>
      <c r="G302" s="2" t="s">
        <v>14</v>
      </c>
      <c r="H302" s="2" t="s">
        <v>21</v>
      </c>
      <c r="I302" s="2" t="s">
        <v>22</v>
      </c>
      <c r="J302" s="2" t="s">
        <v>17</v>
      </c>
    </row>
    <row r="303" spans="1:10" x14ac:dyDescent="0.3">
      <c r="A303" s="2" t="s">
        <v>324</v>
      </c>
      <c r="B303" s="2" t="s">
        <v>32</v>
      </c>
      <c r="C303" s="2" t="s">
        <v>12</v>
      </c>
      <c r="D303" s="2">
        <v>7</v>
      </c>
      <c r="E303" s="2">
        <v>9950282483</v>
      </c>
      <c r="F303" s="2" t="s">
        <v>13</v>
      </c>
      <c r="G303" s="2" t="s">
        <v>20</v>
      </c>
      <c r="H303" s="2" t="s">
        <v>15</v>
      </c>
      <c r="I303" s="2" t="s">
        <v>29</v>
      </c>
      <c r="J303" s="2" t="s">
        <v>22</v>
      </c>
    </row>
    <row r="304" spans="1:10" x14ac:dyDescent="0.3">
      <c r="A304" s="2" t="s">
        <v>325</v>
      </c>
      <c r="B304" s="2" t="s">
        <v>25</v>
      </c>
      <c r="C304" s="2" t="s">
        <v>26</v>
      </c>
      <c r="D304" s="2">
        <v>5</v>
      </c>
      <c r="E304" s="2">
        <v>6501595760</v>
      </c>
      <c r="F304" s="2" t="s">
        <v>19</v>
      </c>
      <c r="G304" s="2" t="s">
        <v>20</v>
      </c>
      <c r="H304" s="2" t="s">
        <v>21</v>
      </c>
      <c r="I304" s="2" t="s">
        <v>37</v>
      </c>
      <c r="J304" s="2" t="s">
        <v>22</v>
      </c>
    </row>
    <row r="305" spans="1:10" x14ac:dyDescent="0.3">
      <c r="A305" s="2" t="s">
        <v>326</v>
      </c>
      <c r="B305" s="2" t="s">
        <v>35</v>
      </c>
      <c r="C305" s="2" t="s">
        <v>36</v>
      </c>
      <c r="D305" s="2">
        <v>1</v>
      </c>
      <c r="E305" s="2">
        <v>6491679736</v>
      </c>
      <c r="F305" s="2" t="s">
        <v>19</v>
      </c>
      <c r="G305" s="2" t="s">
        <v>20</v>
      </c>
      <c r="H305" s="2" t="s">
        <v>15</v>
      </c>
      <c r="I305" s="2" t="s">
        <v>22</v>
      </c>
      <c r="J305" s="2" t="s">
        <v>22</v>
      </c>
    </row>
    <row r="306" spans="1:10" x14ac:dyDescent="0.3">
      <c r="A306" s="2" t="s">
        <v>327</v>
      </c>
      <c r="B306" s="2" t="s">
        <v>11</v>
      </c>
      <c r="C306" s="2" t="s">
        <v>43</v>
      </c>
      <c r="D306" s="2">
        <v>3</v>
      </c>
      <c r="E306" s="2">
        <v>8170221149</v>
      </c>
      <c r="F306" s="2" t="s">
        <v>19</v>
      </c>
      <c r="G306" s="2" t="s">
        <v>20</v>
      </c>
      <c r="H306" s="2" t="s">
        <v>21</v>
      </c>
      <c r="I306" s="2" t="s">
        <v>37</v>
      </c>
      <c r="J306" s="2" t="s">
        <v>23</v>
      </c>
    </row>
    <row r="307" spans="1:10" x14ac:dyDescent="0.3">
      <c r="A307" s="2" t="s">
        <v>328</v>
      </c>
      <c r="B307" s="2" t="s">
        <v>35</v>
      </c>
      <c r="C307" s="2" t="s">
        <v>26</v>
      </c>
      <c r="D307" s="2">
        <v>1</v>
      </c>
      <c r="E307" s="2">
        <v>9419907098</v>
      </c>
      <c r="F307" s="2" t="s">
        <v>13</v>
      </c>
      <c r="G307" s="2" t="s">
        <v>14</v>
      </c>
      <c r="H307" s="2" t="s">
        <v>21</v>
      </c>
      <c r="I307" s="2" t="s">
        <v>41</v>
      </c>
      <c r="J307" s="2" t="s">
        <v>23</v>
      </c>
    </row>
    <row r="308" spans="1:10" x14ac:dyDescent="0.3">
      <c r="A308" s="2" t="s">
        <v>329</v>
      </c>
      <c r="B308" s="2" t="s">
        <v>35</v>
      </c>
      <c r="C308" s="2" t="s">
        <v>26</v>
      </c>
      <c r="D308" s="2">
        <v>1</v>
      </c>
      <c r="E308" s="2">
        <v>8231986838</v>
      </c>
      <c r="F308" s="2" t="s">
        <v>13</v>
      </c>
      <c r="G308" s="2" t="s">
        <v>14</v>
      </c>
      <c r="H308" s="2" t="s">
        <v>15</v>
      </c>
      <c r="I308" s="2" t="s">
        <v>22</v>
      </c>
      <c r="J308" s="2" t="s">
        <v>22</v>
      </c>
    </row>
    <row r="309" spans="1:10" x14ac:dyDescent="0.3">
      <c r="A309" s="2" t="s">
        <v>330</v>
      </c>
      <c r="B309" s="2" t="s">
        <v>11</v>
      </c>
      <c r="C309" s="2" t="s">
        <v>12</v>
      </c>
      <c r="D309" s="2">
        <v>3</v>
      </c>
      <c r="E309" s="2">
        <v>9015229272</v>
      </c>
      <c r="F309" s="2" t="s">
        <v>13</v>
      </c>
      <c r="G309" s="2" t="s">
        <v>14</v>
      </c>
      <c r="H309" s="2" t="s">
        <v>21</v>
      </c>
      <c r="I309" s="2" t="s">
        <v>41</v>
      </c>
      <c r="J309" s="2" t="s">
        <v>22</v>
      </c>
    </row>
    <row r="310" spans="1:10" x14ac:dyDescent="0.3">
      <c r="A310" s="2" t="s">
        <v>331</v>
      </c>
      <c r="B310" s="2" t="s">
        <v>35</v>
      </c>
      <c r="C310" s="2" t="s">
        <v>26</v>
      </c>
      <c r="D310" s="2">
        <v>1</v>
      </c>
      <c r="E310" s="2">
        <v>7589063584</v>
      </c>
      <c r="F310" s="2" t="s">
        <v>13</v>
      </c>
      <c r="G310" s="2" t="s">
        <v>14</v>
      </c>
      <c r="H310" s="2" t="s">
        <v>21</v>
      </c>
      <c r="I310" s="2" t="s">
        <v>22</v>
      </c>
      <c r="J310" s="2" t="s">
        <v>17</v>
      </c>
    </row>
    <row r="311" spans="1:10" x14ac:dyDescent="0.3">
      <c r="A311" s="2" t="s">
        <v>332</v>
      </c>
      <c r="B311" s="2" t="s">
        <v>32</v>
      </c>
      <c r="C311" s="2" t="s">
        <v>36</v>
      </c>
      <c r="D311" s="2">
        <v>7</v>
      </c>
      <c r="E311" s="2">
        <v>8885132052</v>
      </c>
      <c r="F311" s="2" t="s">
        <v>19</v>
      </c>
      <c r="G311" s="2" t="s">
        <v>20</v>
      </c>
      <c r="H311" s="2" t="s">
        <v>15</v>
      </c>
      <c r="I311" s="2" t="s">
        <v>41</v>
      </c>
      <c r="J311" s="2" t="s">
        <v>23</v>
      </c>
    </row>
    <row r="312" spans="1:10" x14ac:dyDescent="0.3">
      <c r="A312" s="2" t="s">
        <v>333</v>
      </c>
      <c r="B312" s="2" t="s">
        <v>32</v>
      </c>
      <c r="C312" s="2" t="s">
        <v>26</v>
      </c>
      <c r="D312" s="2">
        <v>7</v>
      </c>
      <c r="E312" s="2">
        <v>9703709139</v>
      </c>
      <c r="F312" s="2" t="s">
        <v>13</v>
      </c>
      <c r="G312" s="2" t="s">
        <v>20</v>
      </c>
      <c r="H312" s="2" t="s">
        <v>21</v>
      </c>
      <c r="I312" s="2" t="s">
        <v>41</v>
      </c>
      <c r="J312" s="2" t="s">
        <v>23</v>
      </c>
    </row>
    <row r="313" spans="1:10" x14ac:dyDescent="0.3">
      <c r="A313" s="2" t="s">
        <v>334</v>
      </c>
      <c r="B313" s="2" t="s">
        <v>32</v>
      </c>
      <c r="C313" s="2" t="s">
        <v>43</v>
      </c>
      <c r="D313" s="2">
        <v>7</v>
      </c>
      <c r="E313" s="2">
        <v>7901230518</v>
      </c>
      <c r="F313" s="2" t="s">
        <v>13</v>
      </c>
      <c r="G313" s="2" t="s">
        <v>20</v>
      </c>
      <c r="H313" s="2" t="s">
        <v>21</v>
      </c>
      <c r="I313" s="2" t="s">
        <v>29</v>
      </c>
      <c r="J313" s="2" t="s">
        <v>22</v>
      </c>
    </row>
    <row r="314" spans="1:10" x14ac:dyDescent="0.3">
      <c r="A314" s="2" t="s">
        <v>335</v>
      </c>
      <c r="B314" s="2" t="s">
        <v>35</v>
      </c>
      <c r="C314" s="2" t="s">
        <v>12</v>
      </c>
      <c r="D314" s="2">
        <v>1</v>
      </c>
      <c r="E314" s="2">
        <v>6881513688</v>
      </c>
      <c r="F314" s="2" t="s">
        <v>19</v>
      </c>
      <c r="G314" s="2" t="s">
        <v>14</v>
      </c>
      <c r="H314" s="2" t="s">
        <v>21</v>
      </c>
      <c r="I314" s="2" t="s">
        <v>22</v>
      </c>
      <c r="J314" s="2" t="s">
        <v>17</v>
      </c>
    </row>
    <row r="315" spans="1:10" x14ac:dyDescent="0.3">
      <c r="A315" s="2" t="s">
        <v>336</v>
      </c>
      <c r="B315" s="2" t="s">
        <v>25</v>
      </c>
      <c r="C315" s="2" t="s">
        <v>33</v>
      </c>
      <c r="D315" s="2">
        <v>5</v>
      </c>
      <c r="E315" s="2">
        <v>9108905407</v>
      </c>
      <c r="F315" s="2" t="s">
        <v>19</v>
      </c>
      <c r="G315" s="2" t="s">
        <v>14</v>
      </c>
      <c r="H315" s="2" t="s">
        <v>21</v>
      </c>
      <c r="I315" s="2" t="s">
        <v>41</v>
      </c>
      <c r="J315" s="2" t="s">
        <v>22</v>
      </c>
    </row>
    <row r="316" spans="1:10" x14ac:dyDescent="0.3">
      <c r="A316" s="2" t="s">
        <v>337</v>
      </c>
      <c r="B316" s="2" t="s">
        <v>35</v>
      </c>
      <c r="C316" s="2" t="s">
        <v>12</v>
      </c>
      <c r="D316" s="2">
        <v>1</v>
      </c>
      <c r="E316" s="2">
        <v>9382482365</v>
      </c>
      <c r="F316" s="2" t="s">
        <v>19</v>
      </c>
      <c r="G316" s="2" t="s">
        <v>14</v>
      </c>
      <c r="H316" s="2" t="s">
        <v>15</v>
      </c>
      <c r="I316" s="2" t="s">
        <v>22</v>
      </c>
      <c r="J316" s="2" t="s">
        <v>23</v>
      </c>
    </row>
    <row r="317" spans="1:10" x14ac:dyDescent="0.3">
      <c r="A317" s="2" t="s">
        <v>338</v>
      </c>
      <c r="B317" s="2" t="s">
        <v>32</v>
      </c>
      <c r="C317" s="2" t="s">
        <v>12</v>
      </c>
      <c r="D317" s="2">
        <v>7</v>
      </c>
      <c r="E317" s="2">
        <v>9176378136</v>
      </c>
      <c r="F317" s="2" t="s">
        <v>13</v>
      </c>
      <c r="G317" s="2" t="s">
        <v>14</v>
      </c>
      <c r="H317" s="2" t="s">
        <v>15</v>
      </c>
      <c r="I317" s="2" t="s">
        <v>22</v>
      </c>
      <c r="J317" s="2" t="s">
        <v>23</v>
      </c>
    </row>
    <row r="318" spans="1:10" x14ac:dyDescent="0.3">
      <c r="A318" s="2" t="s">
        <v>339</v>
      </c>
      <c r="B318" s="2" t="s">
        <v>11</v>
      </c>
      <c r="C318" s="2" t="s">
        <v>43</v>
      </c>
      <c r="D318" s="2">
        <v>3</v>
      </c>
      <c r="E318" s="2">
        <v>8357282905</v>
      </c>
      <c r="F318" s="2" t="s">
        <v>13</v>
      </c>
      <c r="G318" s="2" t="s">
        <v>20</v>
      </c>
      <c r="H318" s="2" t="s">
        <v>21</v>
      </c>
      <c r="I318" s="2" t="s">
        <v>22</v>
      </c>
      <c r="J318" s="2" t="s">
        <v>22</v>
      </c>
    </row>
    <row r="319" spans="1:10" x14ac:dyDescent="0.3">
      <c r="A319" s="2" t="s">
        <v>340</v>
      </c>
      <c r="B319" s="2" t="s">
        <v>35</v>
      </c>
      <c r="C319" s="2" t="s">
        <v>26</v>
      </c>
      <c r="D319" s="2">
        <v>1</v>
      </c>
      <c r="E319" s="2">
        <v>8487440378</v>
      </c>
      <c r="F319" s="2" t="s">
        <v>19</v>
      </c>
      <c r="G319" s="2" t="s">
        <v>20</v>
      </c>
      <c r="H319" s="2" t="s">
        <v>21</v>
      </c>
      <c r="I319" s="2" t="s">
        <v>22</v>
      </c>
      <c r="J319" s="2" t="s">
        <v>22</v>
      </c>
    </row>
    <row r="320" spans="1:10" x14ac:dyDescent="0.3">
      <c r="A320" s="2" t="s">
        <v>341</v>
      </c>
      <c r="B320" s="2" t="s">
        <v>35</v>
      </c>
      <c r="C320" s="2" t="s">
        <v>26</v>
      </c>
      <c r="D320" s="2">
        <v>1</v>
      </c>
      <c r="E320" s="2">
        <v>7801236636</v>
      </c>
      <c r="F320" s="2" t="s">
        <v>19</v>
      </c>
      <c r="G320" s="2" t="s">
        <v>20</v>
      </c>
      <c r="H320" s="2" t="s">
        <v>21</v>
      </c>
      <c r="I320" s="2" t="s">
        <v>27</v>
      </c>
      <c r="J320" s="2" t="s">
        <v>23</v>
      </c>
    </row>
    <row r="321" spans="1:10" x14ac:dyDescent="0.3">
      <c r="A321" s="2" t="s">
        <v>342</v>
      </c>
      <c r="B321" s="2" t="s">
        <v>11</v>
      </c>
      <c r="C321" s="2" t="s">
        <v>26</v>
      </c>
      <c r="D321" s="2">
        <v>3</v>
      </c>
      <c r="E321" s="2">
        <v>6887661013</v>
      </c>
      <c r="F321" s="2" t="s">
        <v>13</v>
      </c>
      <c r="G321" s="2" t="s">
        <v>20</v>
      </c>
      <c r="H321" s="2" t="s">
        <v>15</v>
      </c>
      <c r="I321" s="2" t="s">
        <v>37</v>
      </c>
      <c r="J321" s="2" t="s">
        <v>22</v>
      </c>
    </row>
    <row r="322" spans="1:10" x14ac:dyDescent="0.3">
      <c r="A322" s="2" t="s">
        <v>343</v>
      </c>
      <c r="B322" s="2" t="s">
        <v>35</v>
      </c>
      <c r="C322" s="2" t="s">
        <v>12</v>
      </c>
      <c r="D322" s="2">
        <v>1</v>
      </c>
      <c r="E322" s="2">
        <v>7819681315</v>
      </c>
      <c r="F322" s="2" t="s">
        <v>19</v>
      </c>
      <c r="G322" s="2" t="s">
        <v>14</v>
      </c>
      <c r="H322" s="2" t="s">
        <v>15</v>
      </c>
      <c r="I322" s="2" t="s">
        <v>41</v>
      </c>
      <c r="J322" s="2" t="s">
        <v>22</v>
      </c>
    </row>
    <row r="323" spans="1:10" x14ac:dyDescent="0.3">
      <c r="A323" s="2" t="s">
        <v>344</v>
      </c>
      <c r="B323" s="2" t="s">
        <v>32</v>
      </c>
      <c r="C323" s="2" t="s">
        <v>12</v>
      </c>
      <c r="D323" s="2">
        <v>7</v>
      </c>
      <c r="E323" s="2">
        <v>8087335119</v>
      </c>
      <c r="F323" s="2" t="s">
        <v>13</v>
      </c>
      <c r="G323" s="2" t="s">
        <v>20</v>
      </c>
      <c r="H323" s="2" t="s">
        <v>21</v>
      </c>
      <c r="I323" s="2" t="s">
        <v>16</v>
      </c>
      <c r="J323" s="2" t="s">
        <v>22</v>
      </c>
    </row>
    <row r="324" spans="1:10" x14ac:dyDescent="0.3">
      <c r="A324" s="2" t="s">
        <v>345</v>
      </c>
      <c r="B324" s="2" t="s">
        <v>25</v>
      </c>
      <c r="C324" s="2" t="s">
        <v>33</v>
      </c>
      <c r="D324" s="2">
        <v>5</v>
      </c>
      <c r="E324" s="2">
        <v>7241865784</v>
      </c>
      <c r="F324" s="2" t="s">
        <v>19</v>
      </c>
      <c r="G324" s="2" t="s">
        <v>14</v>
      </c>
      <c r="H324" s="2" t="s">
        <v>21</v>
      </c>
      <c r="I324" s="2" t="s">
        <v>27</v>
      </c>
      <c r="J324" s="2" t="s">
        <v>22</v>
      </c>
    </row>
    <row r="325" spans="1:10" x14ac:dyDescent="0.3">
      <c r="A325" s="2" t="s">
        <v>346</v>
      </c>
      <c r="B325" s="2" t="s">
        <v>25</v>
      </c>
      <c r="C325" s="2" t="s">
        <v>12</v>
      </c>
      <c r="D325" s="2">
        <v>5</v>
      </c>
      <c r="E325" s="2">
        <v>8607035304</v>
      </c>
      <c r="F325" s="2" t="s">
        <v>19</v>
      </c>
      <c r="G325" s="2" t="s">
        <v>20</v>
      </c>
      <c r="H325" s="2" t="s">
        <v>21</v>
      </c>
      <c r="I325" s="2" t="s">
        <v>27</v>
      </c>
      <c r="J325" s="2" t="s">
        <v>22</v>
      </c>
    </row>
    <row r="326" spans="1:10" x14ac:dyDescent="0.3">
      <c r="A326" s="2" t="s">
        <v>347</v>
      </c>
      <c r="B326" s="2" t="s">
        <v>32</v>
      </c>
      <c r="C326" s="2" t="s">
        <v>43</v>
      </c>
      <c r="D326" s="2">
        <v>7</v>
      </c>
      <c r="E326" s="2">
        <v>9360091103</v>
      </c>
      <c r="F326" s="2" t="s">
        <v>19</v>
      </c>
      <c r="G326" s="2" t="s">
        <v>20</v>
      </c>
      <c r="H326" s="2" t="s">
        <v>21</v>
      </c>
      <c r="I326" s="2" t="s">
        <v>16</v>
      </c>
      <c r="J326" s="2" t="s">
        <v>22</v>
      </c>
    </row>
    <row r="327" spans="1:10" x14ac:dyDescent="0.3">
      <c r="A327" s="2" t="s">
        <v>348</v>
      </c>
      <c r="B327" s="2" t="s">
        <v>32</v>
      </c>
      <c r="C327" s="2" t="s">
        <v>36</v>
      </c>
      <c r="D327" s="2">
        <v>7</v>
      </c>
      <c r="E327" s="2">
        <v>9935742634</v>
      </c>
      <c r="F327" s="2" t="s">
        <v>13</v>
      </c>
      <c r="G327" s="2" t="s">
        <v>14</v>
      </c>
      <c r="H327" s="2" t="s">
        <v>21</v>
      </c>
      <c r="I327" s="2" t="s">
        <v>22</v>
      </c>
      <c r="J327" s="2" t="s">
        <v>22</v>
      </c>
    </row>
    <row r="328" spans="1:10" x14ac:dyDescent="0.3">
      <c r="A328" s="2" t="s">
        <v>349</v>
      </c>
      <c r="B328" s="2" t="s">
        <v>32</v>
      </c>
      <c r="C328" s="2" t="s">
        <v>36</v>
      </c>
      <c r="D328" s="2">
        <v>7</v>
      </c>
      <c r="E328" s="2">
        <v>9330981780</v>
      </c>
      <c r="F328" s="2" t="s">
        <v>19</v>
      </c>
      <c r="G328" s="2" t="s">
        <v>20</v>
      </c>
      <c r="H328" s="2" t="s">
        <v>15</v>
      </c>
      <c r="I328" s="2" t="s">
        <v>22</v>
      </c>
      <c r="J328" s="2" t="s">
        <v>17</v>
      </c>
    </row>
    <row r="329" spans="1:10" x14ac:dyDescent="0.3">
      <c r="A329" s="2" t="s">
        <v>350</v>
      </c>
      <c r="B329" s="2" t="s">
        <v>25</v>
      </c>
      <c r="C329" s="2" t="s">
        <v>33</v>
      </c>
      <c r="D329" s="2">
        <v>5</v>
      </c>
      <c r="E329" s="2">
        <v>9655386925</v>
      </c>
      <c r="F329" s="2" t="s">
        <v>19</v>
      </c>
      <c r="G329" s="2" t="s">
        <v>20</v>
      </c>
      <c r="H329" s="2" t="s">
        <v>15</v>
      </c>
      <c r="I329" s="2" t="s">
        <v>22</v>
      </c>
      <c r="J329" s="2" t="s">
        <v>22</v>
      </c>
    </row>
    <row r="330" spans="1:10" x14ac:dyDescent="0.3">
      <c r="A330" s="2" t="s">
        <v>351</v>
      </c>
      <c r="B330" s="2" t="s">
        <v>11</v>
      </c>
      <c r="C330" s="2" t="s">
        <v>26</v>
      </c>
      <c r="D330" s="2">
        <v>3</v>
      </c>
      <c r="E330" s="2">
        <v>7748109259</v>
      </c>
      <c r="F330" s="2" t="s">
        <v>13</v>
      </c>
      <c r="G330" s="2" t="s">
        <v>20</v>
      </c>
      <c r="H330" s="2" t="s">
        <v>15</v>
      </c>
      <c r="I330" s="2" t="s">
        <v>41</v>
      </c>
      <c r="J330" s="2" t="s">
        <v>22</v>
      </c>
    </row>
    <row r="331" spans="1:10" x14ac:dyDescent="0.3">
      <c r="A331" s="2" t="s">
        <v>352</v>
      </c>
      <c r="B331" s="2" t="s">
        <v>35</v>
      </c>
      <c r="C331" s="2" t="s">
        <v>36</v>
      </c>
      <c r="D331" s="2">
        <v>1</v>
      </c>
      <c r="E331" s="2">
        <v>9957198283</v>
      </c>
      <c r="F331" s="2" t="s">
        <v>13</v>
      </c>
      <c r="G331" s="2" t="s">
        <v>20</v>
      </c>
      <c r="H331" s="2" t="s">
        <v>21</v>
      </c>
      <c r="I331" s="2" t="s">
        <v>22</v>
      </c>
      <c r="J331" s="2" t="s">
        <v>22</v>
      </c>
    </row>
    <row r="332" spans="1:10" x14ac:dyDescent="0.3">
      <c r="A332" s="2" t="s">
        <v>353</v>
      </c>
      <c r="B332" s="2" t="s">
        <v>25</v>
      </c>
      <c r="C332" s="2" t="s">
        <v>36</v>
      </c>
      <c r="D332" s="2">
        <v>5</v>
      </c>
      <c r="E332" s="2">
        <v>8940121225</v>
      </c>
      <c r="F332" s="2" t="s">
        <v>19</v>
      </c>
      <c r="G332" s="2" t="s">
        <v>14</v>
      </c>
      <c r="H332" s="2" t="s">
        <v>21</v>
      </c>
      <c r="I332" s="2" t="s">
        <v>29</v>
      </c>
      <c r="J332" s="2" t="s">
        <v>22</v>
      </c>
    </row>
    <row r="333" spans="1:10" x14ac:dyDescent="0.3">
      <c r="A333" s="2" t="s">
        <v>354</v>
      </c>
      <c r="B333" s="2" t="s">
        <v>25</v>
      </c>
      <c r="C333" s="2" t="s">
        <v>12</v>
      </c>
      <c r="D333" s="2">
        <v>5</v>
      </c>
      <c r="E333" s="2">
        <v>8782081790</v>
      </c>
      <c r="F333" s="2" t="s">
        <v>13</v>
      </c>
      <c r="G333" s="2" t="s">
        <v>20</v>
      </c>
      <c r="H333" s="2" t="s">
        <v>15</v>
      </c>
      <c r="I333" s="2" t="s">
        <v>22</v>
      </c>
      <c r="J333" s="2" t="s">
        <v>23</v>
      </c>
    </row>
    <row r="334" spans="1:10" x14ac:dyDescent="0.3">
      <c r="A334" s="2" t="s">
        <v>355</v>
      </c>
      <c r="B334" s="2" t="s">
        <v>35</v>
      </c>
      <c r="C334" s="2" t="s">
        <v>43</v>
      </c>
      <c r="D334" s="2">
        <v>1</v>
      </c>
      <c r="E334" s="2">
        <v>9576395488</v>
      </c>
      <c r="F334" s="2" t="s">
        <v>13</v>
      </c>
      <c r="G334" s="2" t="s">
        <v>20</v>
      </c>
      <c r="H334" s="2" t="s">
        <v>15</v>
      </c>
      <c r="I334" s="2" t="s">
        <v>22</v>
      </c>
      <c r="J334" s="2" t="s">
        <v>17</v>
      </c>
    </row>
    <row r="335" spans="1:10" x14ac:dyDescent="0.3">
      <c r="A335" s="2" t="s">
        <v>356</v>
      </c>
      <c r="B335" s="2" t="s">
        <v>11</v>
      </c>
      <c r="C335" s="2" t="s">
        <v>33</v>
      </c>
      <c r="D335" s="2">
        <v>3</v>
      </c>
      <c r="E335" s="2">
        <v>6505490679</v>
      </c>
      <c r="F335" s="2" t="s">
        <v>13</v>
      </c>
      <c r="G335" s="2" t="s">
        <v>20</v>
      </c>
      <c r="H335" s="2" t="s">
        <v>21</v>
      </c>
      <c r="I335" s="2" t="s">
        <v>22</v>
      </c>
      <c r="J335" s="2" t="s">
        <v>22</v>
      </c>
    </row>
    <row r="336" spans="1:10" x14ac:dyDescent="0.3">
      <c r="A336" s="2" t="s">
        <v>357</v>
      </c>
      <c r="B336" s="2" t="s">
        <v>35</v>
      </c>
      <c r="C336" s="2" t="s">
        <v>26</v>
      </c>
      <c r="D336" s="2">
        <v>1</v>
      </c>
      <c r="E336" s="2">
        <v>9284636166</v>
      </c>
      <c r="F336" s="2" t="s">
        <v>19</v>
      </c>
      <c r="G336" s="2" t="s">
        <v>20</v>
      </c>
      <c r="H336" s="2" t="s">
        <v>21</v>
      </c>
      <c r="I336" s="2" t="s">
        <v>41</v>
      </c>
      <c r="J336" s="2" t="s">
        <v>22</v>
      </c>
    </row>
    <row r="337" spans="1:10" x14ac:dyDescent="0.3">
      <c r="A337" s="2" t="s">
        <v>358</v>
      </c>
      <c r="B337" s="2" t="s">
        <v>11</v>
      </c>
      <c r="C337" s="2" t="s">
        <v>12</v>
      </c>
      <c r="D337" s="2">
        <v>3</v>
      </c>
      <c r="E337" s="2">
        <v>8762525544</v>
      </c>
      <c r="F337" s="2" t="s">
        <v>19</v>
      </c>
      <c r="G337" s="2" t="s">
        <v>20</v>
      </c>
      <c r="H337" s="2" t="s">
        <v>15</v>
      </c>
      <c r="I337" s="2" t="s">
        <v>41</v>
      </c>
      <c r="J337" s="2" t="s">
        <v>22</v>
      </c>
    </row>
    <row r="338" spans="1:10" x14ac:dyDescent="0.3">
      <c r="A338" s="2" t="s">
        <v>359</v>
      </c>
      <c r="B338" s="2" t="s">
        <v>35</v>
      </c>
      <c r="C338" s="2" t="s">
        <v>26</v>
      </c>
      <c r="D338" s="2">
        <v>1</v>
      </c>
      <c r="E338" s="2">
        <v>6274514568</v>
      </c>
      <c r="F338" s="2" t="s">
        <v>19</v>
      </c>
      <c r="G338" s="2" t="s">
        <v>14</v>
      </c>
      <c r="H338" s="2" t="s">
        <v>21</v>
      </c>
      <c r="I338" s="2" t="s">
        <v>29</v>
      </c>
      <c r="J338" s="2" t="s">
        <v>22</v>
      </c>
    </row>
    <row r="339" spans="1:10" x14ac:dyDescent="0.3">
      <c r="A339" s="2" t="s">
        <v>176</v>
      </c>
      <c r="B339" s="2" t="s">
        <v>32</v>
      </c>
      <c r="C339" s="2" t="s">
        <v>36</v>
      </c>
      <c r="D339" s="2">
        <v>7</v>
      </c>
      <c r="E339" s="2">
        <v>9799634476</v>
      </c>
      <c r="F339" s="2" t="s">
        <v>13</v>
      </c>
      <c r="G339" s="2" t="s">
        <v>20</v>
      </c>
      <c r="H339" s="2" t="s">
        <v>15</v>
      </c>
      <c r="I339" s="2" t="s">
        <v>41</v>
      </c>
      <c r="J339" s="2" t="s">
        <v>22</v>
      </c>
    </row>
    <row r="340" spans="1:10" x14ac:dyDescent="0.3">
      <c r="A340" s="2" t="s">
        <v>360</v>
      </c>
      <c r="B340" s="2" t="s">
        <v>25</v>
      </c>
      <c r="C340" s="2" t="s">
        <v>36</v>
      </c>
      <c r="D340" s="2">
        <v>5</v>
      </c>
      <c r="E340" s="2">
        <v>7310759000</v>
      </c>
      <c r="F340" s="2" t="s">
        <v>19</v>
      </c>
      <c r="G340" s="2" t="s">
        <v>20</v>
      </c>
      <c r="H340" s="2" t="s">
        <v>21</v>
      </c>
      <c r="I340" s="2" t="s">
        <v>22</v>
      </c>
      <c r="J340" s="2" t="s">
        <v>23</v>
      </c>
    </row>
    <row r="341" spans="1:10" x14ac:dyDescent="0.3">
      <c r="A341" s="2" t="s">
        <v>361</v>
      </c>
      <c r="B341" s="2" t="s">
        <v>35</v>
      </c>
      <c r="C341" s="2" t="s">
        <v>26</v>
      </c>
      <c r="D341" s="2">
        <v>1</v>
      </c>
      <c r="E341" s="2">
        <v>8980177303</v>
      </c>
      <c r="F341" s="2" t="s">
        <v>13</v>
      </c>
      <c r="G341" s="2" t="s">
        <v>20</v>
      </c>
      <c r="H341" s="2" t="s">
        <v>15</v>
      </c>
      <c r="I341" s="2" t="s">
        <v>27</v>
      </c>
      <c r="J341" s="2" t="s">
        <v>22</v>
      </c>
    </row>
    <row r="342" spans="1:10" x14ac:dyDescent="0.3">
      <c r="A342" s="2" t="s">
        <v>362</v>
      </c>
      <c r="B342" s="2" t="s">
        <v>35</v>
      </c>
      <c r="C342" s="2" t="s">
        <v>43</v>
      </c>
      <c r="D342" s="2">
        <v>1</v>
      </c>
      <c r="E342" s="2">
        <v>9377927796</v>
      </c>
      <c r="F342" s="2" t="s">
        <v>13</v>
      </c>
      <c r="G342" s="2" t="s">
        <v>20</v>
      </c>
      <c r="H342" s="2" t="s">
        <v>15</v>
      </c>
      <c r="I342" s="2" t="s">
        <v>27</v>
      </c>
      <c r="J342" s="2" t="s">
        <v>22</v>
      </c>
    </row>
    <row r="343" spans="1:10" x14ac:dyDescent="0.3">
      <c r="A343" s="2" t="s">
        <v>363</v>
      </c>
      <c r="B343" s="2" t="s">
        <v>35</v>
      </c>
      <c r="C343" s="2" t="s">
        <v>26</v>
      </c>
      <c r="D343" s="2">
        <v>1</v>
      </c>
      <c r="E343" s="2">
        <v>9292138042</v>
      </c>
      <c r="F343" s="2" t="s">
        <v>13</v>
      </c>
      <c r="G343" s="2" t="s">
        <v>14</v>
      </c>
      <c r="H343" s="2" t="s">
        <v>21</v>
      </c>
      <c r="I343" s="2" t="s">
        <v>29</v>
      </c>
      <c r="J343" s="2" t="s">
        <v>22</v>
      </c>
    </row>
    <row r="344" spans="1:10" x14ac:dyDescent="0.3">
      <c r="A344" s="2" t="s">
        <v>364</v>
      </c>
      <c r="B344" s="2" t="s">
        <v>25</v>
      </c>
      <c r="C344" s="2" t="s">
        <v>33</v>
      </c>
      <c r="D344" s="2">
        <v>5</v>
      </c>
      <c r="E344" s="2">
        <v>9790828308</v>
      </c>
      <c r="F344" s="2" t="s">
        <v>13</v>
      </c>
      <c r="G344" s="2" t="s">
        <v>20</v>
      </c>
      <c r="H344" s="2" t="s">
        <v>21</v>
      </c>
      <c r="I344" s="2" t="s">
        <v>22</v>
      </c>
      <c r="J344" s="2" t="s">
        <v>23</v>
      </c>
    </row>
    <row r="345" spans="1:10" x14ac:dyDescent="0.3">
      <c r="A345" s="2" t="s">
        <v>365</v>
      </c>
      <c r="B345" s="2" t="s">
        <v>32</v>
      </c>
      <c r="C345" s="2" t="s">
        <v>43</v>
      </c>
      <c r="D345" s="2">
        <v>7</v>
      </c>
      <c r="E345" s="2">
        <v>6163066985</v>
      </c>
      <c r="F345" s="2" t="s">
        <v>19</v>
      </c>
      <c r="G345" s="2" t="s">
        <v>14</v>
      </c>
      <c r="H345" s="2" t="s">
        <v>15</v>
      </c>
      <c r="I345" s="2" t="s">
        <v>27</v>
      </c>
      <c r="J345" s="2" t="s">
        <v>22</v>
      </c>
    </row>
    <row r="346" spans="1:10" x14ac:dyDescent="0.3">
      <c r="A346" s="2" t="s">
        <v>366</v>
      </c>
      <c r="B346" s="2" t="s">
        <v>35</v>
      </c>
      <c r="C346" s="2" t="s">
        <v>43</v>
      </c>
      <c r="D346" s="2">
        <v>1</v>
      </c>
      <c r="E346" s="2">
        <v>9133319189</v>
      </c>
      <c r="F346" s="2" t="s">
        <v>13</v>
      </c>
      <c r="G346" s="2" t="s">
        <v>14</v>
      </c>
      <c r="H346" s="2" t="s">
        <v>15</v>
      </c>
      <c r="I346" s="2" t="s">
        <v>22</v>
      </c>
      <c r="J346" s="2" t="s">
        <v>22</v>
      </c>
    </row>
    <row r="347" spans="1:10" x14ac:dyDescent="0.3">
      <c r="A347" s="2" t="s">
        <v>367</v>
      </c>
      <c r="B347" s="2" t="s">
        <v>32</v>
      </c>
      <c r="C347" s="2" t="s">
        <v>43</v>
      </c>
      <c r="D347" s="2">
        <v>7</v>
      </c>
      <c r="E347" s="2">
        <v>6532481726</v>
      </c>
      <c r="F347" s="2" t="s">
        <v>13</v>
      </c>
      <c r="G347" s="2" t="s">
        <v>14</v>
      </c>
      <c r="H347" s="2" t="s">
        <v>15</v>
      </c>
      <c r="I347" s="2" t="s">
        <v>22</v>
      </c>
      <c r="J347" s="2" t="s">
        <v>23</v>
      </c>
    </row>
    <row r="348" spans="1:10" x14ac:dyDescent="0.3">
      <c r="A348" s="2" t="s">
        <v>368</v>
      </c>
      <c r="B348" s="2" t="s">
        <v>32</v>
      </c>
      <c r="C348" s="2" t="s">
        <v>26</v>
      </c>
      <c r="D348" s="2">
        <v>7</v>
      </c>
      <c r="E348" s="2">
        <v>7216116614</v>
      </c>
      <c r="F348" s="2" t="s">
        <v>19</v>
      </c>
      <c r="G348" s="2" t="s">
        <v>14</v>
      </c>
      <c r="H348" s="2" t="s">
        <v>21</v>
      </c>
      <c r="I348" s="2" t="s">
        <v>22</v>
      </c>
      <c r="J348" s="2" t="s">
        <v>17</v>
      </c>
    </row>
    <row r="349" spans="1:10" x14ac:dyDescent="0.3">
      <c r="A349" s="2" t="s">
        <v>369</v>
      </c>
      <c r="B349" s="2" t="s">
        <v>35</v>
      </c>
      <c r="C349" s="2" t="s">
        <v>43</v>
      </c>
      <c r="D349" s="2">
        <v>1</v>
      </c>
      <c r="E349" s="2">
        <v>6222297119</v>
      </c>
      <c r="F349" s="2" t="s">
        <v>19</v>
      </c>
      <c r="G349" s="2" t="s">
        <v>14</v>
      </c>
      <c r="H349" s="2" t="s">
        <v>15</v>
      </c>
      <c r="I349" s="2" t="s">
        <v>27</v>
      </c>
      <c r="J349" s="2" t="s">
        <v>22</v>
      </c>
    </row>
    <row r="350" spans="1:10" x14ac:dyDescent="0.3">
      <c r="A350" s="2" t="s">
        <v>370</v>
      </c>
      <c r="B350" s="2" t="s">
        <v>11</v>
      </c>
      <c r="C350" s="2" t="s">
        <v>43</v>
      </c>
      <c r="D350" s="2">
        <v>3</v>
      </c>
      <c r="E350" s="2">
        <v>8846475206</v>
      </c>
      <c r="F350" s="2" t="s">
        <v>13</v>
      </c>
      <c r="G350" s="2" t="s">
        <v>14</v>
      </c>
      <c r="H350" s="2" t="s">
        <v>15</v>
      </c>
      <c r="I350" s="2" t="s">
        <v>22</v>
      </c>
      <c r="J350" s="2" t="s">
        <v>22</v>
      </c>
    </row>
    <row r="351" spans="1:10" x14ac:dyDescent="0.3">
      <c r="A351" s="2" t="s">
        <v>371</v>
      </c>
      <c r="B351" s="2" t="s">
        <v>35</v>
      </c>
      <c r="C351" s="2" t="s">
        <v>36</v>
      </c>
      <c r="D351" s="2">
        <v>1</v>
      </c>
      <c r="E351" s="2">
        <v>8203381060</v>
      </c>
      <c r="F351" s="2" t="s">
        <v>19</v>
      </c>
      <c r="G351" s="2" t="s">
        <v>20</v>
      </c>
      <c r="H351" s="2" t="s">
        <v>21</v>
      </c>
      <c r="I351" s="2" t="s">
        <v>37</v>
      </c>
      <c r="J351" s="2" t="s">
        <v>23</v>
      </c>
    </row>
    <row r="352" spans="1:10" x14ac:dyDescent="0.3">
      <c r="A352" s="2" t="s">
        <v>372</v>
      </c>
      <c r="B352" s="2" t="s">
        <v>11</v>
      </c>
      <c r="C352" s="2" t="s">
        <v>26</v>
      </c>
      <c r="D352" s="2">
        <v>3</v>
      </c>
      <c r="E352" s="2">
        <v>6564524489</v>
      </c>
      <c r="F352" s="2" t="s">
        <v>13</v>
      </c>
      <c r="G352" s="2" t="s">
        <v>14</v>
      </c>
      <c r="H352" s="2" t="s">
        <v>21</v>
      </c>
      <c r="I352" s="2" t="s">
        <v>22</v>
      </c>
      <c r="J352" s="2" t="s">
        <v>23</v>
      </c>
    </row>
    <row r="353" spans="1:10" x14ac:dyDescent="0.3">
      <c r="A353" s="2" t="s">
        <v>373</v>
      </c>
      <c r="B353" s="2" t="s">
        <v>11</v>
      </c>
      <c r="C353" s="2" t="s">
        <v>26</v>
      </c>
      <c r="D353" s="2">
        <v>3</v>
      </c>
      <c r="E353" s="2">
        <v>9702794458</v>
      </c>
      <c r="F353" s="2" t="s">
        <v>19</v>
      </c>
      <c r="G353" s="2" t="s">
        <v>14</v>
      </c>
      <c r="H353" s="2" t="s">
        <v>15</v>
      </c>
      <c r="I353" s="2" t="s">
        <v>37</v>
      </c>
      <c r="J353" s="2" t="s">
        <v>17</v>
      </c>
    </row>
    <row r="354" spans="1:10" x14ac:dyDescent="0.3">
      <c r="A354" s="2" t="s">
        <v>374</v>
      </c>
      <c r="B354" s="2" t="s">
        <v>35</v>
      </c>
      <c r="C354" s="2" t="s">
        <v>33</v>
      </c>
      <c r="D354" s="2">
        <v>1</v>
      </c>
      <c r="E354" s="2">
        <v>9197694366</v>
      </c>
      <c r="F354" s="2" t="s">
        <v>19</v>
      </c>
      <c r="G354" s="2" t="s">
        <v>14</v>
      </c>
      <c r="H354" s="2" t="s">
        <v>15</v>
      </c>
      <c r="I354" s="2" t="s">
        <v>41</v>
      </c>
      <c r="J354" s="2" t="s">
        <v>23</v>
      </c>
    </row>
    <row r="355" spans="1:10" x14ac:dyDescent="0.3">
      <c r="A355" s="2" t="s">
        <v>375</v>
      </c>
      <c r="B355" s="2" t="s">
        <v>32</v>
      </c>
      <c r="C355" s="2" t="s">
        <v>26</v>
      </c>
      <c r="D355" s="2">
        <v>7</v>
      </c>
      <c r="E355" s="2">
        <v>7882395101</v>
      </c>
      <c r="F355" s="2" t="s">
        <v>19</v>
      </c>
      <c r="G355" s="2" t="s">
        <v>14</v>
      </c>
      <c r="H355" s="2" t="s">
        <v>21</v>
      </c>
      <c r="I355" s="2" t="s">
        <v>16</v>
      </c>
      <c r="J355" s="2" t="s">
        <v>23</v>
      </c>
    </row>
    <row r="356" spans="1:10" x14ac:dyDescent="0.3">
      <c r="A356" s="2" t="s">
        <v>376</v>
      </c>
      <c r="B356" s="2" t="s">
        <v>11</v>
      </c>
      <c r="C356" s="2" t="s">
        <v>26</v>
      </c>
      <c r="D356" s="2">
        <v>3</v>
      </c>
      <c r="E356" s="2">
        <v>9878298998</v>
      </c>
      <c r="F356" s="2" t="s">
        <v>13</v>
      </c>
      <c r="G356" s="2" t="s">
        <v>14</v>
      </c>
      <c r="H356" s="2" t="s">
        <v>15</v>
      </c>
      <c r="I356" s="2" t="s">
        <v>22</v>
      </c>
      <c r="J356" s="2" t="s">
        <v>22</v>
      </c>
    </row>
    <row r="357" spans="1:10" x14ac:dyDescent="0.3">
      <c r="A357" s="2" t="s">
        <v>377</v>
      </c>
      <c r="B357" s="2" t="s">
        <v>35</v>
      </c>
      <c r="C357" s="2" t="s">
        <v>12</v>
      </c>
      <c r="D357" s="2">
        <v>1</v>
      </c>
      <c r="E357" s="2">
        <v>7321579557</v>
      </c>
      <c r="F357" s="2" t="s">
        <v>19</v>
      </c>
      <c r="G357" s="2" t="s">
        <v>20</v>
      </c>
      <c r="H357" s="2" t="s">
        <v>15</v>
      </c>
      <c r="I357" s="2" t="s">
        <v>22</v>
      </c>
      <c r="J357" s="2" t="s">
        <v>17</v>
      </c>
    </row>
    <row r="358" spans="1:10" x14ac:dyDescent="0.3">
      <c r="A358" s="2" t="s">
        <v>378</v>
      </c>
      <c r="B358" s="2" t="s">
        <v>25</v>
      </c>
      <c r="C358" s="2" t="s">
        <v>43</v>
      </c>
      <c r="D358" s="2">
        <v>5</v>
      </c>
      <c r="E358" s="2">
        <v>9319351231</v>
      </c>
      <c r="F358" s="2" t="s">
        <v>13</v>
      </c>
      <c r="G358" s="2" t="s">
        <v>20</v>
      </c>
      <c r="H358" s="2" t="s">
        <v>15</v>
      </c>
      <c r="I358" s="2" t="s">
        <v>29</v>
      </c>
      <c r="J358" s="2" t="s">
        <v>17</v>
      </c>
    </row>
    <row r="359" spans="1:10" x14ac:dyDescent="0.3">
      <c r="A359" s="2" t="s">
        <v>379</v>
      </c>
      <c r="B359" s="2" t="s">
        <v>25</v>
      </c>
      <c r="C359" s="2" t="s">
        <v>26</v>
      </c>
      <c r="D359" s="2">
        <v>5</v>
      </c>
      <c r="E359" s="2">
        <v>8854114255</v>
      </c>
      <c r="F359" s="2" t="s">
        <v>19</v>
      </c>
      <c r="G359" s="2" t="s">
        <v>14</v>
      </c>
      <c r="H359" s="2" t="s">
        <v>21</v>
      </c>
      <c r="I359" s="2" t="s">
        <v>22</v>
      </c>
      <c r="J359" s="2" t="s">
        <v>23</v>
      </c>
    </row>
    <row r="360" spans="1:10" x14ac:dyDescent="0.3">
      <c r="A360" s="2" t="s">
        <v>380</v>
      </c>
      <c r="B360" s="2" t="s">
        <v>25</v>
      </c>
      <c r="C360" s="2" t="s">
        <v>43</v>
      </c>
      <c r="D360" s="2">
        <v>5</v>
      </c>
      <c r="E360" s="2">
        <v>8487251900</v>
      </c>
      <c r="F360" s="2" t="s">
        <v>13</v>
      </c>
      <c r="G360" s="2" t="s">
        <v>20</v>
      </c>
      <c r="H360" s="2" t="s">
        <v>21</v>
      </c>
      <c r="I360" s="2" t="s">
        <v>22</v>
      </c>
      <c r="J360" s="2" t="s">
        <v>17</v>
      </c>
    </row>
    <row r="361" spans="1:10" x14ac:dyDescent="0.3">
      <c r="A361" s="2" t="s">
        <v>381</v>
      </c>
      <c r="B361" s="2" t="s">
        <v>25</v>
      </c>
      <c r="C361" s="2" t="s">
        <v>26</v>
      </c>
      <c r="D361" s="2">
        <v>5</v>
      </c>
      <c r="E361" s="2">
        <v>9557479819</v>
      </c>
      <c r="F361" s="2" t="s">
        <v>13</v>
      </c>
      <c r="G361" s="2" t="s">
        <v>20</v>
      </c>
      <c r="H361" s="2" t="s">
        <v>15</v>
      </c>
      <c r="I361" s="2" t="s">
        <v>41</v>
      </c>
      <c r="J361" s="2" t="s">
        <v>17</v>
      </c>
    </row>
    <row r="362" spans="1:10" x14ac:dyDescent="0.3">
      <c r="A362" s="2" t="s">
        <v>382</v>
      </c>
      <c r="B362" s="2" t="s">
        <v>25</v>
      </c>
      <c r="C362" s="2" t="s">
        <v>36</v>
      </c>
      <c r="D362" s="2">
        <v>5</v>
      </c>
      <c r="E362" s="2">
        <v>6041006304</v>
      </c>
      <c r="F362" s="2" t="s">
        <v>13</v>
      </c>
      <c r="G362" s="2" t="s">
        <v>14</v>
      </c>
      <c r="H362" s="2" t="s">
        <v>21</v>
      </c>
      <c r="I362" s="2" t="s">
        <v>22</v>
      </c>
      <c r="J362" s="2" t="s">
        <v>22</v>
      </c>
    </row>
    <row r="363" spans="1:10" x14ac:dyDescent="0.3">
      <c r="A363" s="2" t="s">
        <v>383</v>
      </c>
      <c r="B363" s="2" t="s">
        <v>11</v>
      </c>
      <c r="C363" s="2" t="s">
        <v>33</v>
      </c>
      <c r="D363" s="2">
        <v>3</v>
      </c>
      <c r="E363" s="2">
        <v>9691792161</v>
      </c>
      <c r="F363" s="2" t="s">
        <v>19</v>
      </c>
      <c r="G363" s="2" t="s">
        <v>14</v>
      </c>
      <c r="H363" s="2" t="s">
        <v>21</v>
      </c>
      <c r="I363" s="2" t="s">
        <v>27</v>
      </c>
      <c r="J363" s="2" t="s">
        <v>22</v>
      </c>
    </row>
    <row r="364" spans="1:10" x14ac:dyDescent="0.3">
      <c r="A364" s="2" t="s">
        <v>384</v>
      </c>
      <c r="B364" s="2" t="s">
        <v>35</v>
      </c>
      <c r="C364" s="2" t="s">
        <v>26</v>
      </c>
      <c r="D364" s="2">
        <v>1</v>
      </c>
      <c r="E364" s="2">
        <v>9755508431</v>
      </c>
      <c r="F364" s="2" t="s">
        <v>19</v>
      </c>
      <c r="G364" s="2" t="s">
        <v>20</v>
      </c>
      <c r="H364" s="2" t="s">
        <v>21</v>
      </c>
      <c r="I364" s="2" t="s">
        <v>37</v>
      </c>
      <c r="J364" s="2" t="s">
        <v>23</v>
      </c>
    </row>
    <row r="365" spans="1:10" x14ac:dyDescent="0.3">
      <c r="A365" s="2" t="s">
        <v>385</v>
      </c>
      <c r="B365" s="2" t="s">
        <v>11</v>
      </c>
      <c r="C365" s="2" t="s">
        <v>36</v>
      </c>
      <c r="D365" s="2">
        <v>3</v>
      </c>
      <c r="E365" s="2">
        <v>9537716519</v>
      </c>
      <c r="F365" s="2" t="s">
        <v>13</v>
      </c>
      <c r="G365" s="2" t="s">
        <v>20</v>
      </c>
      <c r="H365" s="2" t="s">
        <v>21</v>
      </c>
      <c r="I365" s="2" t="s">
        <v>29</v>
      </c>
      <c r="J365" s="2" t="s">
        <v>17</v>
      </c>
    </row>
    <row r="366" spans="1:10" x14ac:dyDescent="0.3">
      <c r="A366" s="2" t="s">
        <v>386</v>
      </c>
      <c r="B366" s="2" t="s">
        <v>32</v>
      </c>
      <c r="C366" s="2" t="s">
        <v>36</v>
      </c>
      <c r="D366" s="2">
        <v>7</v>
      </c>
      <c r="E366" s="2">
        <v>9720218003</v>
      </c>
      <c r="F366" s="2" t="s">
        <v>13</v>
      </c>
      <c r="G366" s="2" t="s">
        <v>20</v>
      </c>
      <c r="H366" s="2" t="s">
        <v>21</v>
      </c>
      <c r="I366" s="2" t="s">
        <v>37</v>
      </c>
      <c r="J366" s="2" t="s">
        <v>22</v>
      </c>
    </row>
    <row r="367" spans="1:10" x14ac:dyDescent="0.3">
      <c r="A367" s="2" t="s">
        <v>387</v>
      </c>
      <c r="B367" s="2" t="s">
        <v>32</v>
      </c>
      <c r="C367" s="2" t="s">
        <v>26</v>
      </c>
      <c r="D367" s="2">
        <v>7</v>
      </c>
      <c r="E367" s="2">
        <v>8780053545</v>
      </c>
      <c r="F367" s="2" t="s">
        <v>13</v>
      </c>
      <c r="G367" s="2" t="s">
        <v>20</v>
      </c>
      <c r="H367" s="2" t="s">
        <v>21</v>
      </c>
      <c r="I367" s="2" t="s">
        <v>16</v>
      </c>
      <c r="J367" s="2" t="s">
        <v>23</v>
      </c>
    </row>
    <row r="368" spans="1:10" x14ac:dyDescent="0.3">
      <c r="A368" s="2" t="s">
        <v>388</v>
      </c>
      <c r="B368" s="2" t="s">
        <v>25</v>
      </c>
      <c r="C368" s="2" t="s">
        <v>43</v>
      </c>
      <c r="D368" s="2">
        <v>5</v>
      </c>
      <c r="E368" s="2">
        <v>6978398514</v>
      </c>
      <c r="F368" s="2" t="s">
        <v>13</v>
      </c>
      <c r="G368" s="2" t="s">
        <v>20</v>
      </c>
      <c r="H368" s="2" t="s">
        <v>15</v>
      </c>
      <c r="I368" s="2" t="s">
        <v>29</v>
      </c>
      <c r="J368" s="2" t="s">
        <v>17</v>
      </c>
    </row>
    <row r="369" spans="1:10" x14ac:dyDescent="0.3">
      <c r="A369" s="2" t="s">
        <v>389</v>
      </c>
      <c r="B369" s="2" t="s">
        <v>11</v>
      </c>
      <c r="C369" s="2" t="s">
        <v>26</v>
      </c>
      <c r="D369" s="2">
        <v>3</v>
      </c>
      <c r="E369" s="2">
        <v>8261889901</v>
      </c>
      <c r="F369" s="2" t="s">
        <v>19</v>
      </c>
      <c r="G369" s="2" t="s">
        <v>20</v>
      </c>
      <c r="H369" s="2" t="s">
        <v>15</v>
      </c>
      <c r="I369" s="2" t="s">
        <v>29</v>
      </c>
      <c r="J369" s="2" t="s">
        <v>23</v>
      </c>
    </row>
    <row r="370" spans="1:10" x14ac:dyDescent="0.3">
      <c r="A370" s="2" t="s">
        <v>390</v>
      </c>
      <c r="B370" s="2" t="s">
        <v>11</v>
      </c>
      <c r="C370" s="2" t="s">
        <v>36</v>
      </c>
      <c r="D370" s="2">
        <v>3</v>
      </c>
      <c r="E370" s="2">
        <v>9759899733</v>
      </c>
      <c r="F370" s="2" t="s">
        <v>13</v>
      </c>
      <c r="G370" s="2" t="s">
        <v>14</v>
      </c>
      <c r="H370" s="2" t="s">
        <v>21</v>
      </c>
      <c r="I370" s="2" t="s">
        <v>22</v>
      </c>
      <c r="J370" s="2" t="s">
        <v>22</v>
      </c>
    </row>
    <row r="371" spans="1:10" x14ac:dyDescent="0.3">
      <c r="A371" s="2" t="s">
        <v>391</v>
      </c>
      <c r="B371" s="2" t="s">
        <v>25</v>
      </c>
      <c r="C371" s="2" t="s">
        <v>12</v>
      </c>
      <c r="D371" s="2">
        <v>5</v>
      </c>
      <c r="E371" s="2">
        <v>6357350529</v>
      </c>
      <c r="F371" s="2" t="s">
        <v>13</v>
      </c>
      <c r="G371" s="2" t="s">
        <v>14</v>
      </c>
      <c r="H371" s="2" t="s">
        <v>21</v>
      </c>
      <c r="I371" s="2" t="s">
        <v>27</v>
      </c>
      <c r="J371" s="2" t="s">
        <v>23</v>
      </c>
    </row>
    <row r="372" spans="1:10" x14ac:dyDescent="0.3">
      <c r="A372" s="2" t="s">
        <v>392</v>
      </c>
      <c r="B372" s="2" t="s">
        <v>32</v>
      </c>
      <c r="C372" s="2" t="s">
        <v>43</v>
      </c>
      <c r="D372" s="2">
        <v>7</v>
      </c>
      <c r="E372" s="2">
        <v>7774394963</v>
      </c>
      <c r="F372" s="2" t="s">
        <v>13</v>
      </c>
      <c r="G372" s="2" t="s">
        <v>14</v>
      </c>
      <c r="H372" s="2" t="s">
        <v>15</v>
      </c>
      <c r="I372" s="2" t="s">
        <v>22</v>
      </c>
      <c r="J372" s="2" t="s">
        <v>23</v>
      </c>
    </row>
    <row r="373" spans="1:10" x14ac:dyDescent="0.3">
      <c r="A373" s="2" t="s">
        <v>393</v>
      </c>
      <c r="B373" s="2" t="s">
        <v>11</v>
      </c>
      <c r="C373" s="2" t="s">
        <v>26</v>
      </c>
      <c r="D373" s="2">
        <v>3</v>
      </c>
      <c r="E373" s="2">
        <v>6410931184</v>
      </c>
      <c r="F373" s="2" t="s">
        <v>13</v>
      </c>
      <c r="G373" s="2" t="s">
        <v>20</v>
      </c>
      <c r="H373" s="2" t="s">
        <v>15</v>
      </c>
      <c r="I373" s="2" t="s">
        <v>27</v>
      </c>
      <c r="J373" s="2" t="s">
        <v>23</v>
      </c>
    </row>
    <row r="374" spans="1:10" x14ac:dyDescent="0.3">
      <c r="A374" s="2" t="s">
        <v>272</v>
      </c>
      <c r="B374" s="2" t="s">
        <v>11</v>
      </c>
      <c r="C374" s="2" t="s">
        <v>36</v>
      </c>
      <c r="D374" s="2">
        <v>3</v>
      </c>
      <c r="E374" s="2">
        <v>8777180060</v>
      </c>
      <c r="F374" s="2" t="s">
        <v>13</v>
      </c>
      <c r="G374" s="2" t="s">
        <v>14</v>
      </c>
      <c r="H374" s="2" t="s">
        <v>21</v>
      </c>
      <c r="I374" s="2" t="s">
        <v>41</v>
      </c>
      <c r="J374" s="2" t="s">
        <v>23</v>
      </c>
    </row>
    <row r="375" spans="1:10" x14ac:dyDescent="0.3">
      <c r="A375" s="2" t="s">
        <v>394</v>
      </c>
      <c r="B375" s="2" t="s">
        <v>11</v>
      </c>
      <c r="C375" s="2" t="s">
        <v>33</v>
      </c>
      <c r="D375" s="2">
        <v>3</v>
      </c>
      <c r="E375" s="2">
        <v>9416409051</v>
      </c>
      <c r="F375" s="2" t="s">
        <v>13</v>
      </c>
      <c r="G375" s="2" t="s">
        <v>20</v>
      </c>
      <c r="H375" s="2" t="s">
        <v>21</v>
      </c>
      <c r="I375" s="2" t="s">
        <v>22</v>
      </c>
      <c r="J375" s="2" t="s">
        <v>22</v>
      </c>
    </row>
    <row r="376" spans="1:10" x14ac:dyDescent="0.3">
      <c r="A376" s="2" t="s">
        <v>395</v>
      </c>
      <c r="B376" s="2" t="s">
        <v>32</v>
      </c>
      <c r="C376" s="2" t="s">
        <v>26</v>
      </c>
      <c r="D376" s="2">
        <v>7</v>
      </c>
      <c r="E376" s="2">
        <v>6798462618</v>
      </c>
      <c r="F376" s="2" t="s">
        <v>19</v>
      </c>
      <c r="G376" s="2" t="s">
        <v>20</v>
      </c>
      <c r="H376" s="2" t="s">
        <v>21</v>
      </c>
      <c r="I376" s="2" t="s">
        <v>22</v>
      </c>
      <c r="J376" s="2" t="s">
        <v>17</v>
      </c>
    </row>
    <row r="377" spans="1:10" x14ac:dyDescent="0.3">
      <c r="A377" s="2" t="s">
        <v>396</v>
      </c>
      <c r="B377" s="2" t="s">
        <v>11</v>
      </c>
      <c r="C377" s="2" t="s">
        <v>43</v>
      </c>
      <c r="D377" s="2">
        <v>3</v>
      </c>
      <c r="E377" s="2">
        <v>9629823068</v>
      </c>
      <c r="F377" s="2" t="s">
        <v>19</v>
      </c>
      <c r="G377" s="2" t="s">
        <v>20</v>
      </c>
      <c r="H377" s="2" t="s">
        <v>21</v>
      </c>
      <c r="I377" s="2" t="s">
        <v>41</v>
      </c>
      <c r="J377" s="2" t="s">
        <v>22</v>
      </c>
    </row>
    <row r="378" spans="1:10" x14ac:dyDescent="0.3">
      <c r="A378" s="2" t="s">
        <v>397</v>
      </c>
      <c r="B378" s="2" t="s">
        <v>25</v>
      </c>
      <c r="C378" s="2" t="s">
        <v>26</v>
      </c>
      <c r="D378" s="2">
        <v>5</v>
      </c>
      <c r="E378" s="2">
        <v>7228048436</v>
      </c>
      <c r="F378" s="2" t="s">
        <v>19</v>
      </c>
      <c r="G378" s="2" t="s">
        <v>20</v>
      </c>
      <c r="H378" s="2" t="s">
        <v>21</v>
      </c>
      <c r="I378" s="2" t="s">
        <v>22</v>
      </c>
      <c r="J378" s="2" t="s">
        <v>23</v>
      </c>
    </row>
    <row r="379" spans="1:10" x14ac:dyDescent="0.3">
      <c r="A379" s="2" t="s">
        <v>398</v>
      </c>
      <c r="B379" s="2" t="s">
        <v>25</v>
      </c>
      <c r="C379" s="2" t="s">
        <v>26</v>
      </c>
      <c r="D379" s="2">
        <v>5</v>
      </c>
      <c r="E379" s="2">
        <v>8130968865</v>
      </c>
      <c r="F379" s="2" t="s">
        <v>19</v>
      </c>
      <c r="G379" s="2" t="s">
        <v>14</v>
      </c>
      <c r="H379" s="2" t="s">
        <v>15</v>
      </c>
      <c r="I379" s="2" t="s">
        <v>37</v>
      </c>
      <c r="J379" s="2" t="s">
        <v>23</v>
      </c>
    </row>
    <row r="380" spans="1:10" x14ac:dyDescent="0.3">
      <c r="A380" s="2" t="s">
        <v>399</v>
      </c>
      <c r="B380" s="2" t="s">
        <v>25</v>
      </c>
      <c r="C380" s="2" t="s">
        <v>36</v>
      </c>
      <c r="D380" s="2">
        <v>5</v>
      </c>
      <c r="E380" s="2">
        <v>9760540447</v>
      </c>
      <c r="F380" s="2" t="s">
        <v>19</v>
      </c>
      <c r="G380" s="2" t="s">
        <v>20</v>
      </c>
      <c r="H380" s="2" t="s">
        <v>21</v>
      </c>
      <c r="I380" s="2" t="s">
        <v>16</v>
      </c>
      <c r="J380" s="2" t="s">
        <v>17</v>
      </c>
    </row>
    <row r="381" spans="1:10" x14ac:dyDescent="0.3">
      <c r="A381" s="2" t="s">
        <v>400</v>
      </c>
      <c r="B381" s="2" t="s">
        <v>11</v>
      </c>
      <c r="C381" s="2" t="s">
        <v>26</v>
      </c>
      <c r="D381" s="2">
        <v>3</v>
      </c>
      <c r="E381" s="2">
        <v>6065208701</v>
      </c>
      <c r="F381" s="2" t="s">
        <v>19</v>
      </c>
      <c r="G381" s="2" t="s">
        <v>20</v>
      </c>
      <c r="H381" s="2" t="s">
        <v>15</v>
      </c>
      <c r="I381" s="2" t="s">
        <v>27</v>
      </c>
      <c r="J381" s="2" t="s">
        <v>22</v>
      </c>
    </row>
    <row r="382" spans="1:10" x14ac:dyDescent="0.3">
      <c r="A382" s="2" t="s">
        <v>401</v>
      </c>
      <c r="B382" s="2" t="s">
        <v>25</v>
      </c>
      <c r="C382" s="2" t="s">
        <v>26</v>
      </c>
      <c r="D382" s="2">
        <v>5</v>
      </c>
      <c r="E382" s="2">
        <v>9220126639</v>
      </c>
      <c r="F382" s="2" t="s">
        <v>19</v>
      </c>
      <c r="G382" s="2" t="s">
        <v>20</v>
      </c>
      <c r="H382" s="2" t="s">
        <v>21</v>
      </c>
      <c r="I382" s="2" t="s">
        <v>29</v>
      </c>
      <c r="J382" s="2" t="s">
        <v>22</v>
      </c>
    </row>
    <row r="383" spans="1:10" x14ac:dyDescent="0.3">
      <c r="A383" s="2" t="s">
        <v>172</v>
      </c>
      <c r="B383" s="2" t="s">
        <v>25</v>
      </c>
      <c r="C383" s="2" t="s">
        <v>33</v>
      </c>
      <c r="D383" s="2">
        <v>5</v>
      </c>
      <c r="E383" s="2">
        <v>6802897985</v>
      </c>
      <c r="F383" s="2" t="s">
        <v>13</v>
      </c>
      <c r="G383" s="2" t="s">
        <v>20</v>
      </c>
      <c r="H383" s="2" t="s">
        <v>15</v>
      </c>
      <c r="I383" s="2" t="s">
        <v>41</v>
      </c>
      <c r="J383" s="2" t="s">
        <v>22</v>
      </c>
    </row>
    <row r="384" spans="1:10" x14ac:dyDescent="0.3">
      <c r="A384" s="2" t="s">
        <v>402</v>
      </c>
      <c r="B384" s="2" t="s">
        <v>32</v>
      </c>
      <c r="C384" s="2" t="s">
        <v>12</v>
      </c>
      <c r="D384" s="2">
        <v>7</v>
      </c>
      <c r="E384" s="2">
        <v>6001798181</v>
      </c>
      <c r="F384" s="2" t="s">
        <v>13</v>
      </c>
      <c r="G384" s="2" t="s">
        <v>20</v>
      </c>
      <c r="H384" s="2" t="s">
        <v>15</v>
      </c>
      <c r="I384" s="2" t="s">
        <v>27</v>
      </c>
      <c r="J384" s="2" t="s">
        <v>23</v>
      </c>
    </row>
    <row r="385" spans="1:10" x14ac:dyDescent="0.3">
      <c r="A385" s="2" t="s">
        <v>403</v>
      </c>
      <c r="B385" s="2" t="s">
        <v>35</v>
      </c>
      <c r="C385" s="2" t="s">
        <v>43</v>
      </c>
      <c r="D385" s="2">
        <v>1</v>
      </c>
      <c r="E385" s="2">
        <v>6829011064</v>
      </c>
      <c r="F385" s="2" t="s">
        <v>13</v>
      </c>
      <c r="G385" s="2" t="s">
        <v>20</v>
      </c>
      <c r="H385" s="2" t="s">
        <v>21</v>
      </c>
      <c r="I385" s="2" t="s">
        <v>29</v>
      </c>
      <c r="J385" s="2" t="s">
        <v>22</v>
      </c>
    </row>
    <row r="386" spans="1:10" x14ac:dyDescent="0.3">
      <c r="A386" s="2" t="s">
        <v>404</v>
      </c>
      <c r="B386" s="2" t="s">
        <v>32</v>
      </c>
      <c r="C386" s="2" t="s">
        <v>33</v>
      </c>
      <c r="D386" s="2">
        <v>7</v>
      </c>
      <c r="E386" s="2">
        <v>7600235040</v>
      </c>
      <c r="F386" s="2" t="s">
        <v>19</v>
      </c>
      <c r="G386" s="2" t="s">
        <v>20</v>
      </c>
      <c r="H386" s="2" t="s">
        <v>15</v>
      </c>
      <c r="I386" s="2" t="s">
        <v>29</v>
      </c>
      <c r="J386" s="2" t="s">
        <v>22</v>
      </c>
    </row>
    <row r="387" spans="1:10" x14ac:dyDescent="0.3">
      <c r="A387" s="2" t="s">
        <v>405</v>
      </c>
      <c r="B387" s="2" t="s">
        <v>32</v>
      </c>
      <c r="C387" s="2" t="s">
        <v>43</v>
      </c>
      <c r="D387" s="2">
        <v>7</v>
      </c>
      <c r="E387" s="2">
        <v>8201362507</v>
      </c>
      <c r="F387" s="2" t="s">
        <v>19</v>
      </c>
      <c r="G387" s="2" t="s">
        <v>14</v>
      </c>
      <c r="H387" s="2" t="s">
        <v>21</v>
      </c>
      <c r="I387" s="2" t="s">
        <v>22</v>
      </c>
      <c r="J387" s="2" t="s">
        <v>17</v>
      </c>
    </row>
    <row r="388" spans="1:10" x14ac:dyDescent="0.3">
      <c r="A388" s="2" t="s">
        <v>245</v>
      </c>
      <c r="B388" s="2" t="s">
        <v>32</v>
      </c>
      <c r="C388" s="2" t="s">
        <v>12</v>
      </c>
      <c r="D388" s="2">
        <v>7</v>
      </c>
      <c r="E388" s="2">
        <v>9010963256</v>
      </c>
      <c r="F388" s="2" t="s">
        <v>19</v>
      </c>
      <c r="G388" s="2" t="s">
        <v>20</v>
      </c>
      <c r="H388" s="2" t="s">
        <v>21</v>
      </c>
      <c r="I388" s="2" t="s">
        <v>41</v>
      </c>
      <c r="J388" s="2" t="s">
        <v>23</v>
      </c>
    </row>
    <row r="389" spans="1:10" x14ac:dyDescent="0.3">
      <c r="A389" s="2" t="s">
        <v>406</v>
      </c>
      <c r="B389" s="2" t="s">
        <v>25</v>
      </c>
      <c r="C389" s="2" t="s">
        <v>12</v>
      </c>
      <c r="D389" s="2">
        <v>5</v>
      </c>
      <c r="E389" s="2">
        <v>7611044753</v>
      </c>
      <c r="F389" s="2" t="s">
        <v>19</v>
      </c>
      <c r="G389" s="2" t="s">
        <v>14</v>
      </c>
      <c r="H389" s="2" t="s">
        <v>15</v>
      </c>
      <c r="I389" s="2" t="s">
        <v>22</v>
      </c>
      <c r="J389" s="2" t="s">
        <v>17</v>
      </c>
    </row>
    <row r="390" spans="1:10" x14ac:dyDescent="0.3">
      <c r="A390" s="2" t="s">
        <v>407</v>
      </c>
      <c r="B390" s="2" t="s">
        <v>25</v>
      </c>
      <c r="C390" s="2" t="s">
        <v>12</v>
      </c>
      <c r="D390" s="2">
        <v>5</v>
      </c>
      <c r="E390" s="2">
        <v>7670512345</v>
      </c>
      <c r="F390" s="2" t="s">
        <v>13</v>
      </c>
      <c r="G390" s="2" t="s">
        <v>14</v>
      </c>
      <c r="H390" s="2" t="s">
        <v>15</v>
      </c>
      <c r="I390" s="2" t="s">
        <v>16</v>
      </c>
      <c r="J390" s="2" t="s">
        <v>22</v>
      </c>
    </row>
    <row r="391" spans="1:10" x14ac:dyDescent="0.3">
      <c r="A391" s="2" t="s">
        <v>386</v>
      </c>
      <c r="B391" s="2" t="s">
        <v>25</v>
      </c>
      <c r="C391" s="2" t="s">
        <v>12</v>
      </c>
      <c r="D391" s="2">
        <v>5</v>
      </c>
      <c r="E391" s="2">
        <v>7153814034</v>
      </c>
      <c r="F391" s="2" t="s">
        <v>13</v>
      </c>
      <c r="G391" s="2" t="s">
        <v>20</v>
      </c>
      <c r="H391" s="2" t="s">
        <v>21</v>
      </c>
      <c r="I391" s="2" t="s">
        <v>22</v>
      </c>
      <c r="J391" s="2" t="s">
        <v>17</v>
      </c>
    </row>
    <row r="392" spans="1:10" x14ac:dyDescent="0.3">
      <c r="A392" s="2" t="s">
        <v>408</v>
      </c>
      <c r="B392" s="2" t="s">
        <v>35</v>
      </c>
      <c r="C392" s="2" t="s">
        <v>43</v>
      </c>
      <c r="D392" s="2">
        <v>1</v>
      </c>
      <c r="E392" s="2">
        <v>8190064554</v>
      </c>
      <c r="F392" s="2" t="s">
        <v>19</v>
      </c>
      <c r="G392" s="2" t="s">
        <v>14</v>
      </c>
      <c r="H392" s="2" t="s">
        <v>21</v>
      </c>
      <c r="I392" s="2" t="s">
        <v>27</v>
      </c>
      <c r="J392" s="2" t="s">
        <v>23</v>
      </c>
    </row>
    <row r="393" spans="1:10" x14ac:dyDescent="0.3">
      <c r="A393" s="2" t="s">
        <v>409</v>
      </c>
      <c r="B393" s="2" t="s">
        <v>32</v>
      </c>
      <c r="C393" s="2" t="s">
        <v>33</v>
      </c>
      <c r="D393" s="2">
        <v>7</v>
      </c>
      <c r="E393" s="2">
        <v>7038530231</v>
      </c>
      <c r="F393" s="2" t="s">
        <v>19</v>
      </c>
      <c r="G393" s="2" t="s">
        <v>14</v>
      </c>
      <c r="H393" s="2" t="s">
        <v>15</v>
      </c>
      <c r="I393" s="2" t="s">
        <v>22</v>
      </c>
      <c r="J393" s="2" t="s">
        <v>22</v>
      </c>
    </row>
    <row r="394" spans="1:10" x14ac:dyDescent="0.3">
      <c r="A394" s="2" t="s">
        <v>410</v>
      </c>
      <c r="B394" s="2" t="s">
        <v>25</v>
      </c>
      <c r="C394" s="2" t="s">
        <v>12</v>
      </c>
      <c r="D394" s="2">
        <v>5</v>
      </c>
      <c r="E394" s="2">
        <v>6262370299</v>
      </c>
      <c r="F394" s="2" t="s">
        <v>19</v>
      </c>
      <c r="G394" s="2" t="s">
        <v>20</v>
      </c>
      <c r="H394" s="2" t="s">
        <v>15</v>
      </c>
      <c r="I394" s="2" t="s">
        <v>29</v>
      </c>
      <c r="J394" s="2" t="s">
        <v>17</v>
      </c>
    </row>
    <row r="395" spans="1:10" x14ac:dyDescent="0.3">
      <c r="A395" s="2" t="s">
        <v>411</v>
      </c>
      <c r="B395" s="2" t="s">
        <v>25</v>
      </c>
      <c r="C395" s="2" t="s">
        <v>26</v>
      </c>
      <c r="D395" s="2">
        <v>5</v>
      </c>
      <c r="E395" s="2">
        <v>9622874622</v>
      </c>
      <c r="F395" s="2" t="s">
        <v>13</v>
      </c>
      <c r="G395" s="2" t="s">
        <v>14</v>
      </c>
      <c r="H395" s="2" t="s">
        <v>21</v>
      </c>
      <c r="I395" s="2" t="s">
        <v>29</v>
      </c>
      <c r="J395" s="2" t="s">
        <v>22</v>
      </c>
    </row>
    <row r="396" spans="1:10" x14ac:dyDescent="0.3">
      <c r="A396" s="2" t="s">
        <v>412</v>
      </c>
      <c r="B396" s="2" t="s">
        <v>35</v>
      </c>
      <c r="C396" s="2" t="s">
        <v>36</v>
      </c>
      <c r="D396" s="2">
        <v>1</v>
      </c>
      <c r="E396" s="2">
        <v>8867280292</v>
      </c>
      <c r="F396" s="2" t="s">
        <v>13</v>
      </c>
      <c r="G396" s="2" t="s">
        <v>20</v>
      </c>
      <c r="H396" s="2" t="s">
        <v>21</v>
      </c>
      <c r="I396" s="2" t="s">
        <v>41</v>
      </c>
      <c r="J396" s="2" t="s">
        <v>17</v>
      </c>
    </row>
    <row r="397" spans="1:10" x14ac:dyDescent="0.3">
      <c r="A397" s="2" t="s">
        <v>413</v>
      </c>
      <c r="B397" s="2" t="s">
        <v>11</v>
      </c>
      <c r="C397" s="2" t="s">
        <v>26</v>
      </c>
      <c r="D397" s="2">
        <v>3</v>
      </c>
      <c r="E397" s="2">
        <v>6241582747</v>
      </c>
      <c r="F397" s="2" t="s">
        <v>19</v>
      </c>
      <c r="G397" s="2" t="s">
        <v>20</v>
      </c>
      <c r="H397" s="2" t="s">
        <v>15</v>
      </c>
      <c r="I397" s="2" t="s">
        <v>22</v>
      </c>
      <c r="J397" s="2" t="s">
        <v>22</v>
      </c>
    </row>
    <row r="398" spans="1:10" x14ac:dyDescent="0.3">
      <c r="A398" s="2" t="s">
        <v>414</v>
      </c>
      <c r="B398" s="2" t="s">
        <v>35</v>
      </c>
      <c r="C398" s="2" t="s">
        <v>26</v>
      </c>
      <c r="D398" s="2">
        <v>1</v>
      </c>
      <c r="E398" s="2">
        <v>7891554611</v>
      </c>
      <c r="F398" s="2" t="s">
        <v>19</v>
      </c>
      <c r="G398" s="2" t="s">
        <v>20</v>
      </c>
      <c r="H398" s="2" t="s">
        <v>15</v>
      </c>
      <c r="I398" s="2" t="s">
        <v>29</v>
      </c>
      <c r="J398" s="2" t="s">
        <v>23</v>
      </c>
    </row>
    <row r="399" spans="1:10" x14ac:dyDescent="0.3">
      <c r="A399" s="2" t="s">
        <v>256</v>
      </c>
      <c r="B399" s="2" t="s">
        <v>32</v>
      </c>
      <c r="C399" s="2" t="s">
        <v>33</v>
      </c>
      <c r="D399" s="2">
        <v>7</v>
      </c>
      <c r="E399" s="2">
        <v>8252917353</v>
      </c>
      <c r="F399" s="2" t="s">
        <v>19</v>
      </c>
      <c r="G399" s="2" t="s">
        <v>14</v>
      </c>
      <c r="H399" s="2" t="s">
        <v>21</v>
      </c>
      <c r="I399" s="2" t="s">
        <v>22</v>
      </c>
      <c r="J399" s="2" t="s">
        <v>23</v>
      </c>
    </row>
    <row r="400" spans="1:10" x14ac:dyDescent="0.3">
      <c r="A400" s="2" t="s">
        <v>415</v>
      </c>
      <c r="B400" s="2" t="s">
        <v>32</v>
      </c>
      <c r="C400" s="2" t="s">
        <v>12</v>
      </c>
      <c r="D400" s="2">
        <v>7</v>
      </c>
      <c r="E400" s="2">
        <v>6220533732</v>
      </c>
      <c r="F400" s="2" t="s">
        <v>19</v>
      </c>
      <c r="G400" s="2" t="s">
        <v>20</v>
      </c>
      <c r="H400" s="2" t="s">
        <v>21</v>
      </c>
      <c r="I400" s="2" t="s">
        <v>37</v>
      </c>
      <c r="J400" s="2" t="s">
        <v>22</v>
      </c>
    </row>
    <row r="401" spans="1:10" x14ac:dyDescent="0.3">
      <c r="A401" s="2" t="s">
        <v>416</v>
      </c>
      <c r="B401" s="2" t="s">
        <v>32</v>
      </c>
      <c r="C401" s="2" t="s">
        <v>43</v>
      </c>
      <c r="D401" s="2">
        <v>7</v>
      </c>
      <c r="E401" s="2">
        <v>9625590206</v>
      </c>
      <c r="F401" s="2" t="s">
        <v>19</v>
      </c>
      <c r="G401" s="2" t="s">
        <v>20</v>
      </c>
      <c r="H401" s="2" t="s">
        <v>21</v>
      </c>
      <c r="I401" s="2" t="s">
        <v>41</v>
      </c>
      <c r="J401" s="2" t="s">
        <v>23</v>
      </c>
    </row>
    <row r="402" spans="1:10" x14ac:dyDescent="0.3">
      <c r="A402" s="2" t="s">
        <v>417</v>
      </c>
      <c r="B402" s="2" t="s">
        <v>35</v>
      </c>
      <c r="C402" s="2" t="s">
        <v>33</v>
      </c>
      <c r="D402" s="2">
        <v>1</v>
      </c>
      <c r="E402" s="2">
        <v>6532686828</v>
      </c>
      <c r="F402" s="2" t="s">
        <v>19</v>
      </c>
      <c r="G402" s="2" t="s">
        <v>14</v>
      </c>
      <c r="H402" s="2" t="s">
        <v>21</v>
      </c>
      <c r="I402" s="2" t="s">
        <v>29</v>
      </c>
      <c r="J402" s="2" t="s">
        <v>22</v>
      </c>
    </row>
    <row r="403" spans="1:10" x14ac:dyDescent="0.3">
      <c r="A403" s="2" t="s">
        <v>418</v>
      </c>
      <c r="B403" s="2" t="s">
        <v>35</v>
      </c>
      <c r="C403" s="2" t="s">
        <v>12</v>
      </c>
      <c r="D403" s="2">
        <v>1</v>
      </c>
      <c r="E403" s="2">
        <v>8573092728</v>
      </c>
      <c r="F403" s="2" t="s">
        <v>19</v>
      </c>
      <c r="G403" s="2" t="s">
        <v>20</v>
      </c>
      <c r="H403" s="2" t="s">
        <v>21</v>
      </c>
      <c r="I403" s="2" t="s">
        <v>41</v>
      </c>
      <c r="J403" s="2" t="s">
        <v>22</v>
      </c>
    </row>
    <row r="404" spans="1:10" x14ac:dyDescent="0.3">
      <c r="A404" s="2" t="s">
        <v>419</v>
      </c>
      <c r="B404" s="2" t="s">
        <v>35</v>
      </c>
      <c r="C404" s="2" t="s">
        <v>33</v>
      </c>
      <c r="D404" s="2">
        <v>1</v>
      </c>
      <c r="E404" s="2">
        <v>6489472674</v>
      </c>
      <c r="F404" s="2" t="s">
        <v>19</v>
      </c>
      <c r="G404" s="2" t="s">
        <v>14</v>
      </c>
      <c r="H404" s="2" t="s">
        <v>21</v>
      </c>
      <c r="I404" s="2" t="s">
        <v>37</v>
      </c>
      <c r="J404" s="2" t="s">
        <v>22</v>
      </c>
    </row>
    <row r="405" spans="1:10" x14ac:dyDescent="0.3">
      <c r="A405" s="2" t="s">
        <v>420</v>
      </c>
      <c r="B405" s="2" t="s">
        <v>32</v>
      </c>
      <c r="C405" s="2" t="s">
        <v>36</v>
      </c>
      <c r="D405" s="2">
        <v>7</v>
      </c>
      <c r="E405" s="2">
        <v>8442835198</v>
      </c>
      <c r="F405" s="2" t="s">
        <v>13</v>
      </c>
      <c r="G405" s="2" t="s">
        <v>20</v>
      </c>
      <c r="H405" s="2" t="s">
        <v>15</v>
      </c>
      <c r="I405" s="2" t="s">
        <v>22</v>
      </c>
      <c r="J405" s="2" t="s">
        <v>17</v>
      </c>
    </row>
    <row r="406" spans="1:10" x14ac:dyDescent="0.3">
      <c r="A406" s="2" t="s">
        <v>276</v>
      </c>
      <c r="B406" s="2" t="s">
        <v>32</v>
      </c>
      <c r="C406" s="2" t="s">
        <v>12</v>
      </c>
      <c r="D406" s="2">
        <v>7</v>
      </c>
      <c r="E406" s="2">
        <v>7723902708</v>
      </c>
      <c r="F406" s="2" t="s">
        <v>19</v>
      </c>
      <c r="G406" s="2" t="s">
        <v>20</v>
      </c>
      <c r="H406" s="2" t="s">
        <v>15</v>
      </c>
      <c r="I406" s="2" t="s">
        <v>22</v>
      </c>
      <c r="J406" s="2" t="s">
        <v>22</v>
      </c>
    </row>
    <row r="407" spans="1:10" x14ac:dyDescent="0.3">
      <c r="A407" s="2" t="s">
        <v>421</v>
      </c>
      <c r="B407" s="2" t="s">
        <v>11</v>
      </c>
      <c r="C407" s="2" t="s">
        <v>12</v>
      </c>
      <c r="D407" s="2">
        <v>3</v>
      </c>
      <c r="E407" s="2">
        <v>8213058272</v>
      </c>
      <c r="F407" s="2" t="s">
        <v>19</v>
      </c>
      <c r="G407" s="2" t="s">
        <v>14</v>
      </c>
      <c r="H407" s="2" t="s">
        <v>15</v>
      </c>
      <c r="I407" s="2" t="s">
        <v>22</v>
      </c>
      <c r="J407" s="2" t="s">
        <v>17</v>
      </c>
    </row>
    <row r="408" spans="1:10" x14ac:dyDescent="0.3">
      <c r="A408" s="2" t="s">
        <v>422</v>
      </c>
      <c r="B408" s="2" t="s">
        <v>35</v>
      </c>
      <c r="C408" s="2" t="s">
        <v>26</v>
      </c>
      <c r="D408" s="2">
        <v>1</v>
      </c>
      <c r="E408" s="2">
        <v>6224064382</v>
      </c>
      <c r="F408" s="2" t="s">
        <v>13</v>
      </c>
      <c r="G408" s="2" t="s">
        <v>20</v>
      </c>
      <c r="H408" s="2" t="s">
        <v>15</v>
      </c>
      <c r="I408" s="2" t="s">
        <v>37</v>
      </c>
      <c r="J408" s="2" t="s">
        <v>22</v>
      </c>
    </row>
    <row r="409" spans="1:10" x14ac:dyDescent="0.3">
      <c r="A409" s="2" t="s">
        <v>423</v>
      </c>
      <c r="B409" s="2" t="s">
        <v>32</v>
      </c>
      <c r="C409" s="2" t="s">
        <v>36</v>
      </c>
      <c r="D409" s="2">
        <v>7</v>
      </c>
      <c r="E409" s="2">
        <v>6029120214</v>
      </c>
      <c r="F409" s="2" t="s">
        <v>13</v>
      </c>
      <c r="G409" s="2" t="s">
        <v>14</v>
      </c>
      <c r="H409" s="2" t="s">
        <v>21</v>
      </c>
      <c r="I409" s="2" t="s">
        <v>22</v>
      </c>
      <c r="J409" s="2" t="s">
        <v>22</v>
      </c>
    </row>
    <row r="410" spans="1:10" x14ac:dyDescent="0.3">
      <c r="A410" s="2" t="s">
        <v>424</v>
      </c>
      <c r="B410" s="2" t="s">
        <v>11</v>
      </c>
      <c r="C410" s="2" t="s">
        <v>26</v>
      </c>
      <c r="D410" s="2">
        <v>3</v>
      </c>
      <c r="E410" s="2">
        <v>7995892910</v>
      </c>
      <c r="F410" s="2" t="s">
        <v>19</v>
      </c>
      <c r="G410" s="2" t="s">
        <v>20</v>
      </c>
      <c r="H410" s="2" t="s">
        <v>15</v>
      </c>
      <c r="I410" s="2" t="s">
        <v>22</v>
      </c>
      <c r="J410" s="2" t="s">
        <v>23</v>
      </c>
    </row>
    <row r="411" spans="1:10" x14ac:dyDescent="0.3">
      <c r="A411" s="2" t="s">
        <v>425</v>
      </c>
      <c r="B411" s="2" t="s">
        <v>35</v>
      </c>
      <c r="C411" s="2" t="s">
        <v>26</v>
      </c>
      <c r="D411" s="2">
        <v>1</v>
      </c>
      <c r="E411" s="2">
        <v>6746780906</v>
      </c>
      <c r="F411" s="2" t="s">
        <v>19</v>
      </c>
      <c r="G411" s="2" t="s">
        <v>14</v>
      </c>
      <c r="H411" s="2" t="s">
        <v>15</v>
      </c>
      <c r="I411" s="2" t="s">
        <v>22</v>
      </c>
      <c r="J411" s="2" t="s">
        <v>22</v>
      </c>
    </row>
    <row r="412" spans="1:10" x14ac:dyDescent="0.3">
      <c r="A412" s="2" t="s">
        <v>426</v>
      </c>
      <c r="B412" s="2" t="s">
        <v>25</v>
      </c>
      <c r="C412" s="2" t="s">
        <v>36</v>
      </c>
      <c r="D412" s="2">
        <v>5</v>
      </c>
      <c r="E412" s="2">
        <v>6842400297</v>
      </c>
      <c r="F412" s="2" t="s">
        <v>13</v>
      </c>
      <c r="G412" s="2" t="s">
        <v>20</v>
      </c>
      <c r="H412" s="2" t="s">
        <v>21</v>
      </c>
      <c r="I412" s="2" t="s">
        <v>16</v>
      </c>
      <c r="J412" s="2" t="s">
        <v>22</v>
      </c>
    </row>
    <row r="413" spans="1:10" x14ac:dyDescent="0.3">
      <c r="A413" s="2" t="s">
        <v>427</v>
      </c>
      <c r="B413" s="2" t="s">
        <v>32</v>
      </c>
      <c r="C413" s="2" t="s">
        <v>43</v>
      </c>
      <c r="D413" s="2">
        <v>7</v>
      </c>
      <c r="E413" s="2">
        <v>8594447711</v>
      </c>
      <c r="F413" s="2" t="s">
        <v>13</v>
      </c>
      <c r="G413" s="2" t="s">
        <v>20</v>
      </c>
      <c r="H413" s="2" t="s">
        <v>21</v>
      </c>
      <c r="I413" s="2" t="s">
        <v>22</v>
      </c>
      <c r="J413" s="2" t="s">
        <v>17</v>
      </c>
    </row>
    <row r="414" spans="1:10" x14ac:dyDescent="0.3">
      <c r="A414" s="2" t="s">
        <v>428</v>
      </c>
      <c r="B414" s="2" t="s">
        <v>32</v>
      </c>
      <c r="C414" s="2" t="s">
        <v>36</v>
      </c>
      <c r="D414" s="2">
        <v>7</v>
      </c>
      <c r="E414" s="2">
        <v>6636125476</v>
      </c>
      <c r="F414" s="2" t="s">
        <v>13</v>
      </c>
      <c r="G414" s="2" t="s">
        <v>14</v>
      </c>
      <c r="H414" s="2" t="s">
        <v>15</v>
      </c>
      <c r="I414" s="2" t="s">
        <v>41</v>
      </c>
      <c r="J414" s="2" t="s">
        <v>22</v>
      </c>
    </row>
    <row r="415" spans="1:10" x14ac:dyDescent="0.3">
      <c r="A415" s="2" t="s">
        <v>429</v>
      </c>
      <c r="B415" s="2" t="s">
        <v>25</v>
      </c>
      <c r="C415" s="2" t="s">
        <v>12</v>
      </c>
      <c r="D415" s="2">
        <v>5</v>
      </c>
      <c r="E415" s="2">
        <v>7662718863</v>
      </c>
      <c r="F415" s="2" t="s">
        <v>19</v>
      </c>
      <c r="G415" s="2" t="s">
        <v>20</v>
      </c>
      <c r="H415" s="2" t="s">
        <v>21</v>
      </c>
      <c r="I415" s="2" t="s">
        <v>16</v>
      </c>
      <c r="J415" s="2" t="s">
        <v>22</v>
      </c>
    </row>
    <row r="416" spans="1:10" x14ac:dyDescent="0.3">
      <c r="A416" s="2" t="s">
        <v>430</v>
      </c>
      <c r="B416" s="2" t="s">
        <v>11</v>
      </c>
      <c r="C416" s="2" t="s">
        <v>12</v>
      </c>
      <c r="D416" s="2">
        <v>3</v>
      </c>
      <c r="E416" s="2">
        <v>6664080094</v>
      </c>
      <c r="F416" s="2" t="s">
        <v>19</v>
      </c>
      <c r="G416" s="2" t="s">
        <v>14</v>
      </c>
      <c r="H416" s="2" t="s">
        <v>15</v>
      </c>
      <c r="I416" s="2" t="s">
        <v>37</v>
      </c>
      <c r="J416" s="2" t="s">
        <v>23</v>
      </c>
    </row>
    <row r="417" spans="1:10" x14ac:dyDescent="0.3">
      <c r="A417" s="2" t="s">
        <v>431</v>
      </c>
      <c r="B417" s="2" t="s">
        <v>11</v>
      </c>
      <c r="C417" s="2" t="s">
        <v>26</v>
      </c>
      <c r="D417" s="2">
        <v>3</v>
      </c>
      <c r="E417" s="2">
        <v>8852790241</v>
      </c>
      <c r="F417" s="2" t="s">
        <v>19</v>
      </c>
      <c r="G417" s="2" t="s">
        <v>14</v>
      </c>
      <c r="H417" s="2" t="s">
        <v>15</v>
      </c>
      <c r="I417" s="2" t="s">
        <v>16</v>
      </c>
      <c r="J417" s="2" t="s">
        <v>23</v>
      </c>
    </row>
    <row r="418" spans="1:10" x14ac:dyDescent="0.3">
      <c r="A418" s="2" t="s">
        <v>432</v>
      </c>
      <c r="B418" s="2" t="s">
        <v>11</v>
      </c>
      <c r="C418" s="2" t="s">
        <v>12</v>
      </c>
      <c r="D418" s="2">
        <v>3</v>
      </c>
      <c r="E418" s="2">
        <v>6018481124</v>
      </c>
      <c r="F418" s="2" t="s">
        <v>19</v>
      </c>
      <c r="G418" s="2" t="s">
        <v>20</v>
      </c>
      <c r="H418" s="2" t="s">
        <v>15</v>
      </c>
      <c r="I418" s="2" t="s">
        <v>29</v>
      </c>
      <c r="J418" s="2" t="s">
        <v>23</v>
      </c>
    </row>
    <row r="419" spans="1:10" x14ac:dyDescent="0.3">
      <c r="A419" s="2" t="s">
        <v>433</v>
      </c>
      <c r="B419" s="2" t="s">
        <v>32</v>
      </c>
      <c r="C419" s="2" t="s">
        <v>26</v>
      </c>
      <c r="D419" s="2">
        <v>7</v>
      </c>
      <c r="E419" s="2">
        <v>7966532117</v>
      </c>
      <c r="F419" s="2" t="s">
        <v>19</v>
      </c>
      <c r="G419" s="2" t="s">
        <v>14</v>
      </c>
      <c r="H419" s="2" t="s">
        <v>21</v>
      </c>
      <c r="I419" s="2" t="s">
        <v>41</v>
      </c>
      <c r="J419" s="2" t="s">
        <v>22</v>
      </c>
    </row>
    <row r="420" spans="1:10" x14ac:dyDescent="0.3">
      <c r="A420" s="2" t="s">
        <v>434</v>
      </c>
      <c r="B420" s="2" t="s">
        <v>32</v>
      </c>
      <c r="C420" s="2" t="s">
        <v>12</v>
      </c>
      <c r="D420" s="2">
        <v>7</v>
      </c>
      <c r="E420" s="2">
        <v>7639041600</v>
      </c>
      <c r="F420" s="2" t="s">
        <v>13</v>
      </c>
      <c r="G420" s="2" t="s">
        <v>14</v>
      </c>
      <c r="H420" s="2" t="s">
        <v>21</v>
      </c>
      <c r="I420" s="2" t="s">
        <v>37</v>
      </c>
      <c r="J420" s="2" t="s">
        <v>22</v>
      </c>
    </row>
    <row r="421" spans="1:10" x14ac:dyDescent="0.3">
      <c r="A421" s="2" t="s">
        <v>435</v>
      </c>
      <c r="B421" s="2" t="s">
        <v>11</v>
      </c>
      <c r="C421" s="2" t="s">
        <v>36</v>
      </c>
      <c r="D421" s="2">
        <v>3</v>
      </c>
      <c r="E421" s="2">
        <v>8425499906</v>
      </c>
      <c r="F421" s="2" t="s">
        <v>13</v>
      </c>
      <c r="G421" s="2" t="s">
        <v>20</v>
      </c>
      <c r="H421" s="2" t="s">
        <v>15</v>
      </c>
      <c r="I421" s="2" t="s">
        <v>37</v>
      </c>
      <c r="J421" s="2" t="s">
        <v>22</v>
      </c>
    </row>
    <row r="422" spans="1:10" x14ac:dyDescent="0.3">
      <c r="A422" s="2" t="s">
        <v>436</v>
      </c>
      <c r="B422" s="2" t="s">
        <v>25</v>
      </c>
      <c r="C422" s="2" t="s">
        <v>43</v>
      </c>
      <c r="D422" s="2">
        <v>5</v>
      </c>
      <c r="E422" s="2">
        <v>8128479615</v>
      </c>
      <c r="F422" s="2" t="s">
        <v>19</v>
      </c>
      <c r="G422" s="2" t="s">
        <v>20</v>
      </c>
      <c r="H422" s="2" t="s">
        <v>15</v>
      </c>
      <c r="I422" s="2" t="s">
        <v>16</v>
      </c>
      <c r="J422" s="2" t="s">
        <v>22</v>
      </c>
    </row>
    <row r="423" spans="1:10" x14ac:dyDescent="0.3">
      <c r="A423" s="2" t="s">
        <v>437</v>
      </c>
      <c r="B423" s="2" t="s">
        <v>35</v>
      </c>
      <c r="C423" s="2" t="s">
        <v>36</v>
      </c>
      <c r="D423" s="2">
        <v>1</v>
      </c>
      <c r="E423" s="2">
        <v>7329081362</v>
      </c>
      <c r="F423" s="2" t="s">
        <v>13</v>
      </c>
      <c r="G423" s="2" t="s">
        <v>20</v>
      </c>
      <c r="H423" s="2" t="s">
        <v>21</v>
      </c>
      <c r="I423" s="2" t="s">
        <v>22</v>
      </c>
      <c r="J423" s="2" t="s">
        <v>17</v>
      </c>
    </row>
    <row r="424" spans="1:10" x14ac:dyDescent="0.3">
      <c r="A424" s="2" t="s">
        <v>438</v>
      </c>
      <c r="B424" s="2" t="s">
        <v>35</v>
      </c>
      <c r="C424" s="2" t="s">
        <v>12</v>
      </c>
      <c r="D424" s="2">
        <v>1</v>
      </c>
      <c r="E424" s="2">
        <v>9843720558</v>
      </c>
      <c r="F424" s="2" t="s">
        <v>19</v>
      </c>
      <c r="G424" s="2" t="s">
        <v>20</v>
      </c>
      <c r="H424" s="2" t="s">
        <v>21</v>
      </c>
      <c r="I424" s="2" t="s">
        <v>29</v>
      </c>
      <c r="J424" s="2" t="s">
        <v>23</v>
      </c>
    </row>
    <row r="425" spans="1:10" x14ac:dyDescent="0.3">
      <c r="A425" s="2" t="s">
        <v>439</v>
      </c>
      <c r="B425" s="2" t="s">
        <v>25</v>
      </c>
      <c r="C425" s="2" t="s">
        <v>43</v>
      </c>
      <c r="D425" s="2">
        <v>5</v>
      </c>
      <c r="E425" s="2">
        <v>7872958481</v>
      </c>
      <c r="F425" s="2" t="s">
        <v>13</v>
      </c>
      <c r="G425" s="2" t="s">
        <v>20</v>
      </c>
      <c r="H425" s="2" t="s">
        <v>21</v>
      </c>
      <c r="I425" s="2" t="s">
        <v>37</v>
      </c>
      <c r="J425" s="2" t="s">
        <v>17</v>
      </c>
    </row>
    <row r="426" spans="1:10" x14ac:dyDescent="0.3">
      <c r="A426" s="2" t="s">
        <v>342</v>
      </c>
      <c r="B426" s="2" t="s">
        <v>35</v>
      </c>
      <c r="C426" s="2" t="s">
        <v>12</v>
      </c>
      <c r="D426" s="2">
        <v>1</v>
      </c>
      <c r="E426" s="2">
        <v>7265529176</v>
      </c>
      <c r="F426" s="2" t="s">
        <v>19</v>
      </c>
      <c r="G426" s="2" t="s">
        <v>14</v>
      </c>
      <c r="H426" s="2" t="s">
        <v>21</v>
      </c>
      <c r="I426" s="2" t="s">
        <v>37</v>
      </c>
      <c r="J426" s="2" t="s">
        <v>22</v>
      </c>
    </row>
    <row r="427" spans="1:10" x14ac:dyDescent="0.3">
      <c r="A427" s="2" t="s">
        <v>440</v>
      </c>
      <c r="B427" s="2" t="s">
        <v>25</v>
      </c>
      <c r="C427" s="2" t="s">
        <v>12</v>
      </c>
      <c r="D427" s="2">
        <v>5</v>
      </c>
      <c r="E427" s="2">
        <v>7175138999</v>
      </c>
      <c r="F427" s="2" t="s">
        <v>19</v>
      </c>
      <c r="G427" s="2" t="s">
        <v>20</v>
      </c>
      <c r="H427" s="2" t="s">
        <v>21</v>
      </c>
      <c r="I427" s="2" t="s">
        <v>22</v>
      </c>
      <c r="J427" s="2" t="s">
        <v>17</v>
      </c>
    </row>
    <row r="428" spans="1:10" x14ac:dyDescent="0.3">
      <c r="A428" s="2" t="s">
        <v>164</v>
      </c>
      <c r="B428" s="2" t="s">
        <v>32</v>
      </c>
      <c r="C428" s="2" t="s">
        <v>33</v>
      </c>
      <c r="D428" s="2">
        <v>7</v>
      </c>
      <c r="E428" s="2">
        <v>6916929404</v>
      </c>
      <c r="F428" s="2" t="s">
        <v>19</v>
      </c>
      <c r="G428" s="2" t="s">
        <v>14</v>
      </c>
      <c r="H428" s="2" t="s">
        <v>21</v>
      </c>
      <c r="I428" s="2" t="s">
        <v>22</v>
      </c>
      <c r="J428" s="2" t="s">
        <v>22</v>
      </c>
    </row>
    <row r="429" spans="1:10" x14ac:dyDescent="0.3">
      <c r="A429" s="2" t="s">
        <v>441</v>
      </c>
      <c r="B429" s="2" t="s">
        <v>11</v>
      </c>
      <c r="C429" s="2" t="s">
        <v>43</v>
      </c>
      <c r="D429" s="2">
        <v>3</v>
      </c>
      <c r="E429" s="2">
        <v>7578639935</v>
      </c>
      <c r="F429" s="2" t="s">
        <v>13</v>
      </c>
      <c r="G429" s="2" t="s">
        <v>20</v>
      </c>
      <c r="H429" s="2" t="s">
        <v>21</v>
      </c>
      <c r="I429" s="2" t="s">
        <v>27</v>
      </c>
      <c r="J429" s="2" t="s">
        <v>23</v>
      </c>
    </row>
    <row r="430" spans="1:10" x14ac:dyDescent="0.3">
      <c r="A430" s="2" t="s">
        <v>442</v>
      </c>
      <c r="B430" s="2" t="s">
        <v>32</v>
      </c>
      <c r="C430" s="2" t="s">
        <v>43</v>
      </c>
      <c r="D430" s="2">
        <v>7</v>
      </c>
      <c r="E430" s="2">
        <v>7981115337</v>
      </c>
      <c r="F430" s="2" t="s">
        <v>13</v>
      </c>
      <c r="G430" s="2" t="s">
        <v>14</v>
      </c>
      <c r="H430" s="2" t="s">
        <v>21</v>
      </c>
      <c r="I430" s="2" t="s">
        <v>22</v>
      </c>
      <c r="J430" s="2" t="s">
        <v>22</v>
      </c>
    </row>
    <row r="431" spans="1:10" x14ac:dyDescent="0.3">
      <c r="A431" s="2" t="s">
        <v>443</v>
      </c>
      <c r="B431" s="2" t="s">
        <v>32</v>
      </c>
      <c r="C431" s="2" t="s">
        <v>43</v>
      </c>
      <c r="D431" s="2">
        <v>7</v>
      </c>
      <c r="E431" s="2">
        <v>6759915509</v>
      </c>
      <c r="F431" s="2" t="s">
        <v>13</v>
      </c>
      <c r="G431" s="2" t="s">
        <v>14</v>
      </c>
      <c r="H431" s="2" t="s">
        <v>21</v>
      </c>
      <c r="I431" s="2" t="s">
        <v>29</v>
      </c>
      <c r="J431" s="2" t="s">
        <v>22</v>
      </c>
    </row>
    <row r="432" spans="1:10" x14ac:dyDescent="0.3">
      <c r="A432" s="2" t="s">
        <v>444</v>
      </c>
      <c r="B432" s="2" t="s">
        <v>32</v>
      </c>
      <c r="C432" s="2" t="s">
        <v>43</v>
      </c>
      <c r="D432" s="2">
        <v>7</v>
      </c>
      <c r="E432" s="2">
        <v>6043371887</v>
      </c>
      <c r="F432" s="2" t="s">
        <v>13</v>
      </c>
      <c r="G432" s="2" t="s">
        <v>20</v>
      </c>
      <c r="H432" s="2" t="s">
        <v>21</v>
      </c>
      <c r="I432" s="2" t="s">
        <v>29</v>
      </c>
      <c r="J432" s="2" t="s">
        <v>17</v>
      </c>
    </row>
    <row r="433" spans="1:10" x14ac:dyDescent="0.3">
      <c r="A433" s="2" t="s">
        <v>445</v>
      </c>
      <c r="B433" s="2" t="s">
        <v>11</v>
      </c>
      <c r="C433" s="2" t="s">
        <v>26</v>
      </c>
      <c r="D433" s="2">
        <v>3</v>
      </c>
      <c r="E433" s="2">
        <v>7056373018</v>
      </c>
      <c r="F433" s="2" t="s">
        <v>19</v>
      </c>
      <c r="G433" s="2" t="s">
        <v>20</v>
      </c>
      <c r="H433" s="2" t="s">
        <v>15</v>
      </c>
      <c r="I433" s="2" t="s">
        <v>37</v>
      </c>
      <c r="J433" s="2" t="s">
        <v>23</v>
      </c>
    </row>
    <row r="434" spans="1:10" x14ac:dyDescent="0.3">
      <c r="A434" s="2" t="s">
        <v>446</v>
      </c>
      <c r="B434" s="2" t="s">
        <v>32</v>
      </c>
      <c r="C434" s="2" t="s">
        <v>36</v>
      </c>
      <c r="D434" s="2">
        <v>7</v>
      </c>
      <c r="E434" s="2">
        <v>9966393845</v>
      </c>
      <c r="F434" s="2" t="s">
        <v>19</v>
      </c>
      <c r="G434" s="2" t="s">
        <v>20</v>
      </c>
      <c r="H434" s="2" t="s">
        <v>15</v>
      </c>
      <c r="I434" s="2" t="s">
        <v>27</v>
      </c>
      <c r="J434" s="2" t="s">
        <v>22</v>
      </c>
    </row>
    <row r="435" spans="1:10" x14ac:dyDescent="0.3">
      <c r="A435" s="2" t="s">
        <v>447</v>
      </c>
      <c r="B435" s="2" t="s">
        <v>35</v>
      </c>
      <c r="C435" s="2" t="s">
        <v>12</v>
      </c>
      <c r="D435" s="2">
        <v>1</v>
      </c>
      <c r="E435" s="2">
        <v>8222071316</v>
      </c>
      <c r="F435" s="2" t="s">
        <v>19</v>
      </c>
      <c r="G435" s="2" t="s">
        <v>20</v>
      </c>
      <c r="H435" s="2" t="s">
        <v>21</v>
      </c>
      <c r="I435" s="2" t="s">
        <v>22</v>
      </c>
      <c r="J435" s="2" t="s">
        <v>22</v>
      </c>
    </row>
    <row r="436" spans="1:10" x14ac:dyDescent="0.3">
      <c r="A436" s="2" t="s">
        <v>448</v>
      </c>
      <c r="B436" s="2" t="s">
        <v>32</v>
      </c>
      <c r="C436" s="2" t="s">
        <v>33</v>
      </c>
      <c r="D436" s="2">
        <v>7</v>
      </c>
      <c r="E436" s="2">
        <v>8040119751</v>
      </c>
      <c r="F436" s="2" t="s">
        <v>13</v>
      </c>
      <c r="G436" s="2" t="s">
        <v>20</v>
      </c>
      <c r="H436" s="2" t="s">
        <v>15</v>
      </c>
      <c r="I436" s="2" t="s">
        <v>27</v>
      </c>
      <c r="J436" s="2" t="s">
        <v>22</v>
      </c>
    </row>
    <row r="437" spans="1:10" x14ac:dyDescent="0.3">
      <c r="A437" s="2" t="s">
        <v>449</v>
      </c>
      <c r="B437" s="2" t="s">
        <v>25</v>
      </c>
      <c r="C437" s="2" t="s">
        <v>33</v>
      </c>
      <c r="D437" s="2">
        <v>5</v>
      </c>
      <c r="E437" s="2">
        <v>8432055028</v>
      </c>
      <c r="F437" s="2" t="s">
        <v>19</v>
      </c>
      <c r="G437" s="2" t="s">
        <v>20</v>
      </c>
      <c r="H437" s="2" t="s">
        <v>15</v>
      </c>
      <c r="I437" s="2" t="s">
        <v>27</v>
      </c>
      <c r="J437" s="2" t="s">
        <v>22</v>
      </c>
    </row>
    <row r="438" spans="1:10" x14ac:dyDescent="0.3">
      <c r="A438" s="2" t="s">
        <v>450</v>
      </c>
      <c r="B438" s="2" t="s">
        <v>11</v>
      </c>
      <c r="C438" s="2" t="s">
        <v>36</v>
      </c>
      <c r="D438" s="2">
        <v>3</v>
      </c>
      <c r="E438" s="2">
        <v>7458810015</v>
      </c>
      <c r="F438" s="2" t="s">
        <v>19</v>
      </c>
      <c r="G438" s="2" t="s">
        <v>14</v>
      </c>
      <c r="H438" s="2" t="s">
        <v>21</v>
      </c>
      <c r="I438" s="2" t="s">
        <v>29</v>
      </c>
      <c r="J438" s="2" t="s">
        <v>22</v>
      </c>
    </row>
    <row r="439" spans="1:10" x14ac:dyDescent="0.3">
      <c r="A439" s="2" t="s">
        <v>451</v>
      </c>
      <c r="B439" s="2" t="s">
        <v>32</v>
      </c>
      <c r="C439" s="2" t="s">
        <v>12</v>
      </c>
      <c r="D439" s="2">
        <v>7</v>
      </c>
      <c r="E439" s="2">
        <v>7660936281</v>
      </c>
      <c r="F439" s="2" t="s">
        <v>19</v>
      </c>
      <c r="G439" s="2" t="s">
        <v>14</v>
      </c>
      <c r="H439" s="2" t="s">
        <v>15</v>
      </c>
      <c r="I439" s="2" t="s">
        <v>41</v>
      </c>
      <c r="J439" s="2" t="s">
        <v>23</v>
      </c>
    </row>
    <row r="440" spans="1:10" x14ac:dyDescent="0.3">
      <c r="A440" s="2" t="s">
        <v>452</v>
      </c>
      <c r="B440" s="2" t="s">
        <v>11</v>
      </c>
      <c r="C440" s="2" t="s">
        <v>26</v>
      </c>
      <c r="D440" s="2">
        <v>3</v>
      </c>
      <c r="E440" s="2">
        <v>9589950817</v>
      </c>
      <c r="F440" s="2" t="s">
        <v>19</v>
      </c>
      <c r="G440" s="2" t="s">
        <v>14</v>
      </c>
      <c r="H440" s="2" t="s">
        <v>15</v>
      </c>
      <c r="I440" s="2" t="s">
        <v>22</v>
      </c>
      <c r="J440" s="2" t="s">
        <v>17</v>
      </c>
    </row>
    <row r="441" spans="1:10" x14ac:dyDescent="0.3">
      <c r="A441" s="2" t="s">
        <v>453</v>
      </c>
      <c r="B441" s="2" t="s">
        <v>35</v>
      </c>
      <c r="C441" s="2" t="s">
        <v>33</v>
      </c>
      <c r="D441" s="2">
        <v>1</v>
      </c>
      <c r="E441" s="2">
        <v>6652375431</v>
      </c>
      <c r="F441" s="2" t="s">
        <v>19</v>
      </c>
      <c r="G441" s="2" t="s">
        <v>20</v>
      </c>
      <c r="H441" s="2" t="s">
        <v>15</v>
      </c>
      <c r="I441" s="2" t="s">
        <v>16</v>
      </c>
      <c r="J441" s="2" t="s">
        <v>22</v>
      </c>
    </row>
    <row r="442" spans="1:10" x14ac:dyDescent="0.3">
      <c r="A442" s="2" t="s">
        <v>454</v>
      </c>
      <c r="B442" s="2" t="s">
        <v>32</v>
      </c>
      <c r="C442" s="2" t="s">
        <v>33</v>
      </c>
      <c r="D442" s="2">
        <v>7</v>
      </c>
      <c r="E442" s="2">
        <v>8146157458</v>
      </c>
      <c r="F442" s="2" t="s">
        <v>19</v>
      </c>
      <c r="G442" s="2" t="s">
        <v>14</v>
      </c>
      <c r="H442" s="2" t="s">
        <v>15</v>
      </c>
      <c r="I442" s="2" t="s">
        <v>37</v>
      </c>
      <c r="J442" s="2" t="s">
        <v>23</v>
      </c>
    </row>
    <row r="443" spans="1:10" x14ac:dyDescent="0.3">
      <c r="A443" s="2" t="s">
        <v>455</v>
      </c>
      <c r="B443" s="2" t="s">
        <v>25</v>
      </c>
      <c r="C443" s="2" t="s">
        <v>36</v>
      </c>
      <c r="D443" s="2">
        <v>5</v>
      </c>
      <c r="E443" s="2">
        <v>7749961526</v>
      </c>
      <c r="F443" s="2" t="s">
        <v>13</v>
      </c>
      <c r="G443" s="2" t="s">
        <v>14</v>
      </c>
      <c r="H443" s="2" t="s">
        <v>21</v>
      </c>
      <c r="I443" s="2" t="s">
        <v>37</v>
      </c>
      <c r="J443" s="2" t="s">
        <v>22</v>
      </c>
    </row>
    <row r="444" spans="1:10" x14ac:dyDescent="0.3">
      <c r="A444" s="2" t="s">
        <v>456</v>
      </c>
      <c r="B444" s="2" t="s">
        <v>11</v>
      </c>
      <c r="C444" s="2" t="s">
        <v>12</v>
      </c>
      <c r="D444" s="2">
        <v>3</v>
      </c>
      <c r="E444" s="2">
        <v>8837328306</v>
      </c>
      <c r="F444" s="2" t="s">
        <v>19</v>
      </c>
      <c r="G444" s="2" t="s">
        <v>20</v>
      </c>
      <c r="H444" s="2" t="s">
        <v>15</v>
      </c>
      <c r="I444" s="2" t="s">
        <v>29</v>
      </c>
      <c r="J444" s="2" t="s">
        <v>23</v>
      </c>
    </row>
    <row r="445" spans="1:10" x14ac:dyDescent="0.3">
      <c r="A445" s="2" t="s">
        <v>457</v>
      </c>
      <c r="B445" s="2" t="s">
        <v>11</v>
      </c>
      <c r="C445" s="2" t="s">
        <v>12</v>
      </c>
      <c r="D445" s="2">
        <v>3</v>
      </c>
      <c r="E445" s="2">
        <v>7517974835</v>
      </c>
      <c r="F445" s="2" t="s">
        <v>13</v>
      </c>
      <c r="G445" s="2" t="s">
        <v>14</v>
      </c>
      <c r="H445" s="2" t="s">
        <v>15</v>
      </c>
      <c r="I445" s="2" t="s">
        <v>16</v>
      </c>
      <c r="J445" s="2" t="s">
        <v>22</v>
      </c>
    </row>
    <row r="446" spans="1:10" x14ac:dyDescent="0.3">
      <c r="A446" s="2" t="s">
        <v>458</v>
      </c>
      <c r="B446" s="2" t="s">
        <v>25</v>
      </c>
      <c r="C446" s="2" t="s">
        <v>12</v>
      </c>
      <c r="D446" s="2">
        <v>5</v>
      </c>
      <c r="E446" s="2">
        <v>9247984940</v>
      </c>
      <c r="F446" s="2" t="s">
        <v>19</v>
      </c>
      <c r="G446" s="2" t="s">
        <v>20</v>
      </c>
      <c r="H446" s="2" t="s">
        <v>21</v>
      </c>
      <c r="I446" s="2" t="s">
        <v>22</v>
      </c>
      <c r="J446" s="2" t="s">
        <v>22</v>
      </c>
    </row>
    <row r="447" spans="1:10" x14ac:dyDescent="0.3">
      <c r="A447" s="2" t="s">
        <v>459</v>
      </c>
      <c r="B447" s="2" t="s">
        <v>25</v>
      </c>
      <c r="C447" s="2" t="s">
        <v>26</v>
      </c>
      <c r="D447" s="2">
        <v>5</v>
      </c>
      <c r="E447" s="2">
        <v>7808483238</v>
      </c>
      <c r="F447" s="2" t="s">
        <v>13</v>
      </c>
      <c r="G447" s="2" t="s">
        <v>20</v>
      </c>
      <c r="H447" s="2" t="s">
        <v>21</v>
      </c>
      <c r="I447" s="2" t="s">
        <v>29</v>
      </c>
      <c r="J447" s="2" t="s">
        <v>22</v>
      </c>
    </row>
    <row r="448" spans="1:10" x14ac:dyDescent="0.3">
      <c r="A448" s="2" t="s">
        <v>460</v>
      </c>
      <c r="B448" s="2" t="s">
        <v>25</v>
      </c>
      <c r="C448" s="2" t="s">
        <v>43</v>
      </c>
      <c r="D448" s="2">
        <v>5</v>
      </c>
      <c r="E448" s="2">
        <v>9674474748</v>
      </c>
      <c r="F448" s="2" t="s">
        <v>13</v>
      </c>
      <c r="G448" s="2" t="s">
        <v>14</v>
      </c>
      <c r="H448" s="2" t="s">
        <v>21</v>
      </c>
      <c r="I448" s="2" t="s">
        <v>16</v>
      </c>
      <c r="J448" s="2" t="s">
        <v>22</v>
      </c>
    </row>
    <row r="449" spans="1:10" x14ac:dyDescent="0.3">
      <c r="A449" s="2" t="s">
        <v>461</v>
      </c>
      <c r="B449" s="2" t="s">
        <v>25</v>
      </c>
      <c r="C449" s="2" t="s">
        <v>43</v>
      </c>
      <c r="D449" s="2">
        <v>5</v>
      </c>
      <c r="E449" s="2">
        <v>6760706177</v>
      </c>
      <c r="F449" s="2" t="s">
        <v>19</v>
      </c>
      <c r="G449" s="2" t="s">
        <v>14</v>
      </c>
      <c r="H449" s="2" t="s">
        <v>21</v>
      </c>
      <c r="I449" s="2" t="s">
        <v>22</v>
      </c>
      <c r="J449" s="2" t="s">
        <v>22</v>
      </c>
    </row>
    <row r="450" spans="1:10" x14ac:dyDescent="0.3">
      <c r="A450" s="2" t="s">
        <v>462</v>
      </c>
      <c r="B450" s="2" t="s">
        <v>35</v>
      </c>
      <c r="C450" s="2" t="s">
        <v>33</v>
      </c>
      <c r="D450" s="2">
        <v>1</v>
      </c>
      <c r="E450" s="2">
        <v>6016851584</v>
      </c>
      <c r="F450" s="2" t="s">
        <v>19</v>
      </c>
      <c r="G450" s="2" t="s">
        <v>20</v>
      </c>
      <c r="H450" s="2" t="s">
        <v>15</v>
      </c>
      <c r="I450" s="2" t="s">
        <v>16</v>
      </c>
      <c r="J450" s="2" t="s">
        <v>22</v>
      </c>
    </row>
    <row r="451" spans="1:10" x14ac:dyDescent="0.3">
      <c r="A451" s="2" t="s">
        <v>463</v>
      </c>
      <c r="B451" s="2" t="s">
        <v>35</v>
      </c>
      <c r="C451" s="2" t="s">
        <v>33</v>
      </c>
      <c r="D451" s="2">
        <v>1</v>
      </c>
      <c r="E451" s="2">
        <v>6710324869</v>
      </c>
      <c r="F451" s="2" t="s">
        <v>13</v>
      </c>
      <c r="G451" s="2" t="s">
        <v>14</v>
      </c>
      <c r="H451" s="2" t="s">
        <v>21</v>
      </c>
      <c r="I451" s="2" t="s">
        <v>22</v>
      </c>
      <c r="J451" s="2" t="s">
        <v>17</v>
      </c>
    </row>
    <row r="452" spans="1:10" x14ac:dyDescent="0.3">
      <c r="A452" s="2" t="s">
        <v>464</v>
      </c>
      <c r="B452" s="2" t="s">
        <v>32</v>
      </c>
      <c r="C452" s="2" t="s">
        <v>33</v>
      </c>
      <c r="D452" s="2">
        <v>7</v>
      </c>
      <c r="E452" s="2">
        <v>9055636678</v>
      </c>
      <c r="F452" s="2" t="s">
        <v>13</v>
      </c>
      <c r="G452" s="2" t="s">
        <v>14</v>
      </c>
      <c r="H452" s="2" t="s">
        <v>21</v>
      </c>
      <c r="I452" s="2" t="s">
        <v>16</v>
      </c>
      <c r="J452" s="2" t="s">
        <v>22</v>
      </c>
    </row>
    <row r="453" spans="1:10" x14ac:dyDescent="0.3">
      <c r="A453" s="2" t="s">
        <v>465</v>
      </c>
      <c r="B453" s="2" t="s">
        <v>35</v>
      </c>
      <c r="C453" s="2" t="s">
        <v>33</v>
      </c>
      <c r="D453" s="2">
        <v>1</v>
      </c>
      <c r="E453" s="2">
        <v>6744800165</v>
      </c>
      <c r="F453" s="2" t="s">
        <v>19</v>
      </c>
      <c r="G453" s="2" t="s">
        <v>14</v>
      </c>
      <c r="H453" s="2" t="s">
        <v>21</v>
      </c>
      <c r="I453" s="2" t="s">
        <v>37</v>
      </c>
      <c r="J453" s="2" t="s">
        <v>17</v>
      </c>
    </row>
    <row r="454" spans="1:10" x14ac:dyDescent="0.3">
      <c r="A454" s="2" t="s">
        <v>466</v>
      </c>
      <c r="B454" s="2" t="s">
        <v>11</v>
      </c>
      <c r="C454" s="2" t="s">
        <v>12</v>
      </c>
      <c r="D454" s="2">
        <v>3</v>
      </c>
      <c r="E454" s="2">
        <v>8241218520</v>
      </c>
      <c r="F454" s="2" t="s">
        <v>13</v>
      </c>
      <c r="G454" s="2" t="s">
        <v>14</v>
      </c>
      <c r="H454" s="2" t="s">
        <v>15</v>
      </c>
      <c r="I454" s="2" t="s">
        <v>29</v>
      </c>
      <c r="J454" s="2" t="s">
        <v>23</v>
      </c>
    </row>
    <row r="455" spans="1:10" x14ac:dyDescent="0.3">
      <c r="A455" s="2" t="s">
        <v>467</v>
      </c>
      <c r="B455" s="2" t="s">
        <v>35</v>
      </c>
      <c r="C455" s="2" t="s">
        <v>43</v>
      </c>
      <c r="D455" s="2">
        <v>1</v>
      </c>
      <c r="E455" s="2">
        <v>6561378375</v>
      </c>
      <c r="F455" s="2" t="s">
        <v>19</v>
      </c>
      <c r="G455" s="2" t="s">
        <v>20</v>
      </c>
      <c r="H455" s="2" t="s">
        <v>21</v>
      </c>
      <c r="I455" s="2" t="s">
        <v>16</v>
      </c>
      <c r="J455" s="2" t="s">
        <v>22</v>
      </c>
    </row>
    <row r="456" spans="1:10" x14ac:dyDescent="0.3">
      <c r="A456" s="2" t="s">
        <v>468</v>
      </c>
      <c r="B456" s="2" t="s">
        <v>32</v>
      </c>
      <c r="C456" s="2" t="s">
        <v>43</v>
      </c>
      <c r="D456" s="2">
        <v>7</v>
      </c>
      <c r="E456" s="2">
        <v>6539466165</v>
      </c>
      <c r="F456" s="2" t="s">
        <v>19</v>
      </c>
      <c r="G456" s="2" t="s">
        <v>20</v>
      </c>
      <c r="H456" s="2" t="s">
        <v>21</v>
      </c>
      <c r="I456" s="2" t="s">
        <v>22</v>
      </c>
      <c r="J456" s="2" t="s">
        <v>23</v>
      </c>
    </row>
    <row r="457" spans="1:10" x14ac:dyDescent="0.3">
      <c r="A457" s="2" t="s">
        <v>469</v>
      </c>
      <c r="B457" s="2" t="s">
        <v>25</v>
      </c>
      <c r="C457" s="2" t="s">
        <v>26</v>
      </c>
      <c r="D457" s="2">
        <v>5</v>
      </c>
      <c r="E457" s="2">
        <v>7100920800</v>
      </c>
      <c r="F457" s="2" t="s">
        <v>19</v>
      </c>
      <c r="G457" s="2" t="s">
        <v>20</v>
      </c>
      <c r="H457" s="2" t="s">
        <v>15</v>
      </c>
      <c r="I457" s="2" t="s">
        <v>37</v>
      </c>
      <c r="J457" s="2" t="s">
        <v>23</v>
      </c>
    </row>
    <row r="458" spans="1:10" x14ac:dyDescent="0.3">
      <c r="A458" s="2" t="s">
        <v>470</v>
      </c>
      <c r="B458" s="2" t="s">
        <v>25</v>
      </c>
      <c r="C458" s="2" t="s">
        <v>26</v>
      </c>
      <c r="D458" s="2">
        <v>5</v>
      </c>
      <c r="E458" s="2">
        <v>7631837536</v>
      </c>
      <c r="F458" s="2" t="s">
        <v>19</v>
      </c>
      <c r="G458" s="2" t="s">
        <v>14</v>
      </c>
      <c r="H458" s="2" t="s">
        <v>15</v>
      </c>
      <c r="I458" s="2" t="s">
        <v>29</v>
      </c>
      <c r="J458" s="2" t="s">
        <v>22</v>
      </c>
    </row>
    <row r="459" spans="1:10" x14ac:dyDescent="0.3">
      <c r="A459" s="2" t="s">
        <v>471</v>
      </c>
      <c r="B459" s="2" t="s">
        <v>25</v>
      </c>
      <c r="C459" s="2" t="s">
        <v>43</v>
      </c>
      <c r="D459" s="2">
        <v>5</v>
      </c>
      <c r="E459" s="2">
        <v>7215178339</v>
      </c>
      <c r="F459" s="2" t="s">
        <v>19</v>
      </c>
      <c r="G459" s="2" t="s">
        <v>14</v>
      </c>
      <c r="H459" s="2" t="s">
        <v>15</v>
      </c>
      <c r="I459" s="2" t="s">
        <v>22</v>
      </c>
      <c r="J459" s="2" t="s">
        <v>23</v>
      </c>
    </row>
    <row r="460" spans="1:10" x14ac:dyDescent="0.3">
      <c r="A460" s="2" t="s">
        <v>472</v>
      </c>
      <c r="B460" s="2" t="s">
        <v>35</v>
      </c>
      <c r="C460" s="2" t="s">
        <v>43</v>
      </c>
      <c r="D460" s="2">
        <v>1</v>
      </c>
      <c r="E460" s="2">
        <v>7449425536</v>
      </c>
      <c r="F460" s="2" t="s">
        <v>19</v>
      </c>
      <c r="G460" s="2" t="s">
        <v>14</v>
      </c>
      <c r="H460" s="2" t="s">
        <v>21</v>
      </c>
      <c r="I460" s="2" t="s">
        <v>37</v>
      </c>
      <c r="J460" s="2" t="s">
        <v>22</v>
      </c>
    </row>
    <row r="461" spans="1:10" x14ac:dyDescent="0.3">
      <c r="A461" s="2" t="s">
        <v>367</v>
      </c>
      <c r="B461" s="2" t="s">
        <v>32</v>
      </c>
      <c r="C461" s="2" t="s">
        <v>36</v>
      </c>
      <c r="D461" s="2">
        <v>7</v>
      </c>
      <c r="E461" s="2">
        <v>7488243527</v>
      </c>
      <c r="F461" s="2" t="s">
        <v>13</v>
      </c>
      <c r="G461" s="2" t="s">
        <v>20</v>
      </c>
      <c r="H461" s="2" t="s">
        <v>21</v>
      </c>
      <c r="I461" s="2" t="s">
        <v>41</v>
      </c>
      <c r="J461" s="2" t="s">
        <v>23</v>
      </c>
    </row>
    <row r="462" spans="1:10" x14ac:dyDescent="0.3">
      <c r="A462" s="2" t="s">
        <v>473</v>
      </c>
      <c r="B462" s="2" t="s">
        <v>11</v>
      </c>
      <c r="C462" s="2" t="s">
        <v>26</v>
      </c>
      <c r="D462" s="2">
        <v>3</v>
      </c>
      <c r="E462" s="2">
        <v>6638446925</v>
      </c>
      <c r="F462" s="2" t="s">
        <v>13</v>
      </c>
      <c r="G462" s="2" t="s">
        <v>14</v>
      </c>
      <c r="H462" s="2" t="s">
        <v>15</v>
      </c>
      <c r="I462" s="2" t="s">
        <v>27</v>
      </c>
      <c r="J462" s="2" t="s">
        <v>23</v>
      </c>
    </row>
    <row r="463" spans="1:10" x14ac:dyDescent="0.3">
      <c r="A463" s="2" t="s">
        <v>474</v>
      </c>
      <c r="B463" s="2" t="s">
        <v>32</v>
      </c>
      <c r="C463" s="2" t="s">
        <v>43</v>
      </c>
      <c r="D463" s="2">
        <v>7</v>
      </c>
      <c r="E463" s="2">
        <v>7241751573</v>
      </c>
      <c r="F463" s="2" t="s">
        <v>13</v>
      </c>
      <c r="G463" s="2" t="s">
        <v>20</v>
      </c>
      <c r="H463" s="2" t="s">
        <v>15</v>
      </c>
      <c r="I463" s="2" t="s">
        <v>22</v>
      </c>
      <c r="J463" s="2" t="s">
        <v>23</v>
      </c>
    </row>
    <row r="464" spans="1:10" x14ac:dyDescent="0.3">
      <c r="A464" s="2" t="s">
        <v>475</v>
      </c>
      <c r="B464" s="2" t="s">
        <v>32</v>
      </c>
      <c r="C464" s="2" t="s">
        <v>12</v>
      </c>
      <c r="D464" s="2">
        <v>7</v>
      </c>
      <c r="E464" s="2">
        <v>8982599699</v>
      </c>
      <c r="F464" s="2" t="s">
        <v>19</v>
      </c>
      <c r="G464" s="2" t="s">
        <v>20</v>
      </c>
      <c r="H464" s="2" t="s">
        <v>21</v>
      </c>
      <c r="I464" s="2" t="s">
        <v>22</v>
      </c>
      <c r="J464" s="2" t="s">
        <v>17</v>
      </c>
    </row>
    <row r="465" spans="1:10" x14ac:dyDescent="0.3">
      <c r="A465" s="2" t="s">
        <v>476</v>
      </c>
      <c r="B465" s="2" t="s">
        <v>35</v>
      </c>
      <c r="C465" s="2" t="s">
        <v>43</v>
      </c>
      <c r="D465" s="2">
        <v>1</v>
      </c>
      <c r="E465" s="2">
        <v>9884395934</v>
      </c>
      <c r="F465" s="2" t="s">
        <v>19</v>
      </c>
      <c r="G465" s="2" t="s">
        <v>14</v>
      </c>
      <c r="H465" s="2" t="s">
        <v>15</v>
      </c>
      <c r="I465" s="2" t="s">
        <v>22</v>
      </c>
      <c r="J465" s="2" t="s">
        <v>22</v>
      </c>
    </row>
    <row r="466" spans="1:10" x14ac:dyDescent="0.3">
      <c r="A466" s="2" t="s">
        <v>477</v>
      </c>
      <c r="B466" s="2" t="s">
        <v>35</v>
      </c>
      <c r="C466" s="2" t="s">
        <v>26</v>
      </c>
      <c r="D466" s="2">
        <v>1</v>
      </c>
      <c r="E466" s="2">
        <v>7023587431</v>
      </c>
      <c r="F466" s="2" t="s">
        <v>19</v>
      </c>
      <c r="G466" s="2" t="s">
        <v>14</v>
      </c>
      <c r="H466" s="2" t="s">
        <v>21</v>
      </c>
      <c r="I466" s="2" t="s">
        <v>27</v>
      </c>
      <c r="J466" s="2" t="s">
        <v>22</v>
      </c>
    </row>
    <row r="467" spans="1:10" x14ac:dyDescent="0.3">
      <c r="A467" s="2" t="s">
        <v>478</v>
      </c>
      <c r="B467" s="2" t="s">
        <v>32</v>
      </c>
      <c r="C467" s="2" t="s">
        <v>33</v>
      </c>
      <c r="D467" s="2">
        <v>7</v>
      </c>
      <c r="E467" s="2">
        <v>7442807338</v>
      </c>
      <c r="F467" s="2" t="s">
        <v>13</v>
      </c>
      <c r="G467" s="2" t="s">
        <v>14</v>
      </c>
      <c r="H467" s="2" t="s">
        <v>21</v>
      </c>
      <c r="I467" s="2" t="s">
        <v>27</v>
      </c>
      <c r="J467" s="2" t="s">
        <v>23</v>
      </c>
    </row>
    <row r="468" spans="1:10" x14ac:dyDescent="0.3">
      <c r="A468" s="2" t="s">
        <v>479</v>
      </c>
      <c r="B468" s="2" t="s">
        <v>35</v>
      </c>
      <c r="C468" s="2" t="s">
        <v>43</v>
      </c>
      <c r="D468" s="2">
        <v>1</v>
      </c>
      <c r="E468" s="2">
        <v>9423836399</v>
      </c>
      <c r="F468" s="2" t="s">
        <v>19</v>
      </c>
      <c r="G468" s="2" t="s">
        <v>14</v>
      </c>
      <c r="H468" s="2" t="s">
        <v>15</v>
      </c>
      <c r="I468" s="2" t="s">
        <v>22</v>
      </c>
      <c r="J468" s="2" t="s">
        <v>23</v>
      </c>
    </row>
    <row r="469" spans="1:10" x14ac:dyDescent="0.3">
      <c r="A469" s="2" t="s">
        <v>480</v>
      </c>
      <c r="B469" s="2" t="s">
        <v>35</v>
      </c>
      <c r="C469" s="2" t="s">
        <v>26</v>
      </c>
      <c r="D469" s="2">
        <v>1</v>
      </c>
      <c r="E469" s="2">
        <v>7422699392</v>
      </c>
      <c r="F469" s="2" t="s">
        <v>19</v>
      </c>
      <c r="G469" s="2" t="s">
        <v>14</v>
      </c>
      <c r="H469" s="2" t="s">
        <v>15</v>
      </c>
      <c r="I469" s="2" t="s">
        <v>27</v>
      </c>
      <c r="J469" s="2" t="s">
        <v>23</v>
      </c>
    </row>
    <row r="470" spans="1:10" x14ac:dyDescent="0.3">
      <c r="A470" s="2" t="s">
        <v>481</v>
      </c>
      <c r="B470" s="2" t="s">
        <v>11</v>
      </c>
      <c r="C470" s="2" t="s">
        <v>26</v>
      </c>
      <c r="D470" s="2">
        <v>3</v>
      </c>
      <c r="E470" s="2">
        <v>9362476393</v>
      </c>
      <c r="F470" s="2" t="s">
        <v>19</v>
      </c>
      <c r="G470" s="2" t="s">
        <v>20</v>
      </c>
      <c r="H470" s="2" t="s">
        <v>15</v>
      </c>
      <c r="I470" s="2" t="s">
        <v>27</v>
      </c>
      <c r="J470" s="2" t="s">
        <v>22</v>
      </c>
    </row>
    <row r="471" spans="1:10" x14ac:dyDescent="0.3">
      <c r="A471" s="2" t="s">
        <v>482</v>
      </c>
      <c r="B471" s="2" t="s">
        <v>32</v>
      </c>
      <c r="C471" s="2" t="s">
        <v>12</v>
      </c>
      <c r="D471" s="2">
        <v>7</v>
      </c>
      <c r="E471" s="2">
        <v>8663603389</v>
      </c>
      <c r="F471" s="2" t="s">
        <v>19</v>
      </c>
      <c r="G471" s="2" t="s">
        <v>20</v>
      </c>
      <c r="H471" s="2" t="s">
        <v>15</v>
      </c>
      <c r="I471" s="2" t="s">
        <v>27</v>
      </c>
      <c r="J471" s="2" t="s">
        <v>17</v>
      </c>
    </row>
    <row r="472" spans="1:10" x14ac:dyDescent="0.3">
      <c r="A472" s="2" t="s">
        <v>483</v>
      </c>
      <c r="B472" s="2" t="s">
        <v>35</v>
      </c>
      <c r="C472" s="2" t="s">
        <v>33</v>
      </c>
      <c r="D472" s="2">
        <v>1</v>
      </c>
      <c r="E472" s="2">
        <v>9031389119</v>
      </c>
      <c r="F472" s="2" t="s">
        <v>19</v>
      </c>
      <c r="G472" s="2" t="s">
        <v>20</v>
      </c>
      <c r="H472" s="2" t="s">
        <v>21</v>
      </c>
      <c r="I472" s="2" t="s">
        <v>16</v>
      </c>
      <c r="J472" s="2" t="s">
        <v>22</v>
      </c>
    </row>
    <row r="473" spans="1:10" x14ac:dyDescent="0.3">
      <c r="A473" s="2" t="s">
        <v>484</v>
      </c>
      <c r="B473" s="2" t="s">
        <v>35</v>
      </c>
      <c r="C473" s="2" t="s">
        <v>43</v>
      </c>
      <c r="D473" s="2">
        <v>1</v>
      </c>
      <c r="E473" s="2">
        <v>6426975886</v>
      </c>
      <c r="F473" s="2" t="s">
        <v>13</v>
      </c>
      <c r="G473" s="2" t="s">
        <v>20</v>
      </c>
      <c r="H473" s="2" t="s">
        <v>15</v>
      </c>
      <c r="I473" s="2" t="s">
        <v>41</v>
      </c>
      <c r="J473" s="2" t="s">
        <v>17</v>
      </c>
    </row>
    <row r="474" spans="1:10" x14ac:dyDescent="0.3">
      <c r="A474" s="2" t="s">
        <v>485</v>
      </c>
      <c r="B474" s="2" t="s">
        <v>25</v>
      </c>
      <c r="C474" s="2" t="s">
        <v>26</v>
      </c>
      <c r="D474" s="2">
        <v>5</v>
      </c>
      <c r="E474" s="2">
        <v>8938331095</v>
      </c>
      <c r="F474" s="2" t="s">
        <v>13</v>
      </c>
      <c r="G474" s="2" t="s">
        <v>20</v>
      </c>
      <c r="H474" s="2" t="s">
        <v>21</v>
      </c>
      <c r="I474" s="2" t="s">
        <v>41</v>
      </c>
      <c r="J474" s="2" t="s">
        <v>17</v>
      </c>
    </row>
    <row r="475" spans="1:10" x14ac:dyDescent="0.3">
      <c r="A475" s="2" t="s">
        <v>396</v>
      </c>
      <c r="B475" s="2" t="s">
        <v>11</v>
      </c>
      <c r="C475" s="2" t="s">
        <v>33</v>
      </c>
      <c r="D475" s="2">
        <v>3</v>
      </c>
      <c r="E475" s="2">
        <v>8065438945</v>
      </c>
      <c r="F475" s="2" t="s">
        <v>19</v>
      </c>
      <c r="G475" s="2" t="s">
        <v>14</v>
      </c>
      <c r="H475" s="2" t="s">
        <v>21</v>
      </c>
      <c r="I475" s="2" t="s">
        <v>41</v>
      </c>
      <c r="J475" s="2" t="s">
        <v>22</v>
      </c>
    </row>
    <row r="476" spans="1:10" x14ac:dyDescent="0.3">
      <c r="A476" s="2" t="s">
        <v>486</v>
      </c>
      <c r="B476" s="2" t="s">
        <v>32</v>
      </c>
      <c r="C476" s="2" t="s">
        <v>26</v>
      </c>
      <c r="D476" s="2">
        <v>7</v>
      </c>
      <c r="E476" s="2">
        <v>8123120427</v>
      </c>
      <c r="F476" s="2" t="s">
        <v>13</v>
      </c>
      <c r="G476" s="2" t="s">
        <v>20</v>
      </c>
      <c r="H476" s="2" t="s">
        <v>15</v>
      </c>
      <c r="I476" s="2" t="s">
        <v>29</v>
      </c>
      <c r="J476" s="2" t="s">
        <v>22</v>
      </c>
    </row>
    <row r="477" spans="1:10" x14ac:dyDescent="0.3">
      <c r="A477" s="2" t="s">
        <v>487</v>
      </c>
      <c r="B477" s="2" t="s">
        <v>11</v>
      </c>
      <c r="C477" s="2" t="s">
        <v>26</v>
      </c>
      <c r="D477" s="2">
        <v>3</v>
      </c>
      <c r="E477" s="2">
        <v>7507233767</v>
      </c>
      <c r="F477" s="2" t="s">
        <v>13</v>
      </c>
      <c r="G477" s="2" t="s">
        <v>14</v>
      </c>
      <c r="H477" s="2" t="s">
        <v>15</v>
      </c>
      <c r="I477" s="2" t="s">
        <v>22</v>
      </c>
      <c r="J477" s="2" t="s">
        <v>17</v>
      </c>
    </row>
    <row r="478" spans="1:10" x14ac:dyDescent="0.3">
      <c r="A478" s="2" t="s">
        <v>488</v>
      </c>
      <c r="B478" s="2" t="s">
        <v>25</v>
      </c>
      <c r="C478" s="2" t="s">
        <v>36</v>
      </c>
      <c r="D478" s="2">
        <v>5</v>
      </c>
      <c r="E478" s="2">
        <v>8009312828</v>
      </c>
      <c r="F478" s="2" t="s">
        <v>13</v>
      </c>
      <c r="G478" s="2" t="s">
        <v>14</v>
      </c>
      <c r="H478" s="2" t="s">
        <v>21</v>
      </c>
      <c r="I478" s="2" t="s">
        <v>41</v>
      </c>
      <c r="J478" s="2" t="s">
        <v>23</v>
      </c>
    </row>
    <row r="479" spans="1:10" x14ac:dyDescent="0.3">
      <c r="A479" s="2" t="s">
        <v>387</v>
      </c>
      <c r="B479" s="2" t="s">
        <v>35</v>
      </c>
      <c r="C479" s="2" t="s">
        <v>26</v>
      </c>
      <c r="D479" s="2">
        <v>1</v>
      </c>
      <c r="E479" s="2">
        <v>7381251355</v>
      </c>
      <c r="F479" s="2" t="s">
        <v>19</v>
      </c>
      <c r="G479" s="2" t="s">
        <v>20</v>
      </c>
      <c r="H479" s="2" t="s">
        <v>21</v>
      </c>
      <c r="I479" s="2" t="s">
        <v>22</v>
      </c>
      <c r="J479" s="2" t="s">
        <v>22</v>
      </c>
    </row>
    <row r="480" spans="1:10" x14ac:dyDescent="0.3">
      <c r="A480" s="2" t="s">
        <v>489</v>
      </c>
      <c r="B480" s="2" t="s">
        <v>35</v>
      </c>
      <c r="C480" s="2" t="s">
        <v>12</v>
      </c>
      <c r="D480" s="2">
        <v>1</v>
      </c>
      <c r="E480" s="2">
        <v>8757874656</v>
      </c>
      <c r="F480" s="2" t="s">
        <v>19</v>
      </c>
      <c r="G480" s="2" t="s">
        <v>14</v>
      </c>
      <c r="H480" s="2" t="s">
        <v>15</v>
      </c>
      <c r="I480" s="2" t="s">
        <v>29</v>
      </c>
      <c r="J480" s="2" t="s">
        <v>22</v>
      </c>
    </row>
    <row r="481" spans="1:10" x14ac:dyDescent="0.3">
      <c r="A481" s="2" t="s">
        <v>490</v>
      </c>
      <c r="B481" s="2" t="s">
        <v>35</v>
      </c>
      <c r="C481" s="2" t="s">
        <v>36</v>
      </c>
      <c r="D481" s="2">
        <v>1</v>
      </c>
      <c r="E481" s="2">
        <v>7244604939</v>
      </c>
      <c r="F481" s="2" t="s">
        <v>13</v>
      </c>
      <c r="G481" s="2" t="s">
        <v>20</v>
      </c>
      <c r="H481" s="2" t="s">
        <v>15</v>
      </c>
      <c r="I481" s="2" t="s">
        <v>16</v>
      </c>
      <c r="J481" s="2" t="s">
        <v>17</v>
      </c>
    </row>
    <row r="482" spans="1:10" x14ac:dyDescent="0.3">
      <c r="A482" s="2" t="s">
        <v>491</v>
      </c>
      <c r="B482" s="2" t="s">
        <v>35</v>
      </c>
      <c r="C482" s="2" t="s">
        <v>33</v>
      </c>
      <c r="D482" s="2">
        <v>1</v>
      </c>
      <c r="E482" s="2">
        <v>8991465847</v>
      </c>
      <c r="F482" s="2" t="s">
        <v>19</v>
      </c>
      <c r="G482" s="2" t="s">
        <v>20</v>
      </c>
      <c r="H482" s="2" t="s">
        <v>21</v>
      </c>
      <c r="I482" s="2" t="s">
        <v>41</v>
      </c>
      <c r="J482" s="2" t="s">
        <v>23</v>
      </c>
    </row>
    <row r="483" spans="1:10" x14ac:dyDescent="0.3">
      <c r="A483" s="2" t="s">
        <v>492</v>
      </c>
      <c r="B483" s="2" t="s">
        <v>35</v>
      </c>
      <c r="C483" s="2" t="s">
        <v>26</v>
      </c>
      <c r="D483" s="2">
        <v>1</v>
      </c>
      <c r="E483" s="2">
        <v>7712627893</v>
      </c>
      <c r="F483" s="2" t="s">
        <v>19</v>
      </c>
      <c r="G483" s="2" t="s">
        <v>14</v>
      </c>
      <c r="H483" s="2" t="s">
        <v>15</v>
      </c>
      <c r="I483" s="2" t="s">
        <v>37</v>
      </c>
      <c r="J483" s="2" t="s">
        <v>23</v>
      </c>
    </row>
    <row r="484" spans="1:10" x14ac:dyDescent="0.3">
      <c r="A484" s="2" t="s">
        <v>493</v>
      </c>
      <c r="B484" s="2" t="s">
        <v>35</v>
      </c>
      <c r="C484" s="2" t="s">
        <v>36</v>
      </c>
      <c r="D484" s="2">
        <v>1</v>
      </c>
      <c r="E484" s="2">
        <v>9134284930</v>
      </c>
      <c r="F484" s="2" t="s">
        <v>19</v>
      </c>
      <c r="G484" s="2" t="s">
        <v>14</v>
      </c>
      <c r="H484" s="2" t="s">
        <v>15</v>
      </c>
      <c r="I484" s="2" t="s">
        <v>37</v>
      </c>
      <c r="J484" s="2" t="s">
        <v>17</v>
      </c>
    </row>
    <row r="485" spans="1:10" x14ac:dyDescent="0.3">
      <c r="A485" s="2" t="s">
        <v>494</v>
      </c>
      <c r="B485" s="2" t="s">
        <v>32</v>
      </c>
      <c r="C485" s="2" t="s">
        <v>43</v>
      </c>
      <c r="D485" s="2">
        <v>7</v>
      </c>
      <c r="E485" s="2">
        <v>8592739796</v>
      </c>
      <c r="F485" s="2" t="s">
        <v>19</v>
      </c>
      <c r="G485" s="2" t="s">
        <v>14</v>
      </c>
      <c r="H485" s="2" t="s">
        <v>15</v>
      </c>
      <c r="I485" s="2" t="s">
        <v>22</v>
      </c>
      <c r="J485" s="2" t="s">
        <v>22</v>
      </c>
    </row>
    <row r="486" spans="1:10" x14ac:dyDescent="0.3">
      <c r="A486" s="2" t="s">
        <v>495</v>
      </c>
      <c r="B486" s="2" t="s">
        <v>25</v>
      </c>
      <c r="C486" s="2" t="s">
        <v>26</v>
      </c>
      <c r="D486" s="2">
        <v>5</v>
      </c>
      <c r="E486" s="2">
        <v>7263962071</v>
      </c>
      <c r="F486" s="2" t="s">
        <v>13</v>
      </c>
      <c r="G486" s="2" t="s">
        <v>14</v>
      </c>
      <c r="H486" s="2" t="s">
        <v>21</v>
      </c>
      <c r="I486" s="2" t="s">
        <v>41</v>
      </c>
      <c r="J486" s="2" t="s">
        <v>22</v>
      </c>
    </row>
    <row r="487" spans="1:10" x14ac:dyDescent="0.3">
      <c r="A487" s="2" t="s">
        <v>496</v>
      </c>
      <c r="B487" s="2" t="s">
        <v>25</v>
      </c>
      <c r="C487" s="2" t="s">
        <v>33</v>
      </c>
      <c r="D487" s="2">
        <v>5</v>
      </c>
      <c r="E487" s="2">
        <v>6802777637</v>
      </c>
      <c r="F487" s="2" t="s">
        <v>19</v>
      </c>
      <c r="G487" s="2" t="s">
        <v>14</v>
      </c>
      <c r="H487" s="2" t="s">
        <v>15</v>
      </c>
      <c r="I487" s="2" t="s">
        <v>22</v>
      </c>
      <c r="J487" s="2" t="s">
        <v>23</v>
      </c>
    </row>
    <row r="488" spans="1:10" x14ac:dyDescent="0.3">
      <c r="A488" s="2" t="s">
        <v>184</v>
      </c>
      <c r="B488" s="2" t="s">
        <v>35</v>
      </c>
      <c r="C488" s="2" t="s">
        <v>36</v>
      </c>
      <c r="D488" s="2">
        <v>1</v>
      </c>
      <c r="E488" s="2">
        <v>8380003977</v>
      </c>
      <c r="F488" s="2" t="s">
        <v>13</v>
      </c>
      <c r="G488" s="2" t="s">
        <v>14</v>
      </c>
      <c r="H488" s="2" t="s">
        <v>15</v>
      </c>
      <c r="I488" s="2" t="s">
        <v>22</v>
      </c>
      <c r="J488" s="2" t="s">
        <v>22</v>
      </c>
    </row>
    <row r="489" spans="1:10" x14ac:dyDescent="0.3">
      <c r="A489" s="2" t="s">
        <v>497</v>
      </c>
      <c r="B489" s="2" t="s">
        <v>32</v>
      </c>
      <c r="C489" s="2" t="s">
        <v>26</v>
      </c>
      <c r="D489" s="2">
        <v>7</v>
      </c>
      <c r="E489" s="2">
        <v>7452989514</v>
      </c>
      <c r="F489" s="2" t="s">
        <v>19</v>
      </c>
      <c r="G489" s="2" t="s">
        <v>20</v>
      </c>
      <c r="H489" s="2" t="s">
        <v>21</v>
      </c>
      <c r="I489" s="2" t="s">
        <v>22</v>
      </c>
      <c r="J489" s="2" t="s">
        <v>22</v>
      </c>
    </row>
    <row r="490" spans="1:10" x14ac:dyDescent="0.3">
      <c r="A490" s="2" t="s">
        <v>498</v>
      </c>
      <c r="B490" s="2" t="s">
        <v>11</v>
      </c>
      <c r="C490" s="2" t="s">
        <v>43</v>
      </c>
      <c r="D490" s="2">
        <v>3</v>
      </c>
      <c r="E490" s="2">
        <v>9958928140</v>
      </c>
      <c r="F490" s="2" t="s">
        <v>13</v>
      </c>
      <c r="G490" s="2" t="s">
        <v>20</v>
      </c>
      <c r="H490" s="2" t="s">
        <v>15</v>
      </c>
      <c r="I490" s="2" t="s">
        <v>41</v>
      </c>
      <c r="J490" s="2" t="s">
        <v>17</v>
      </c>
    </row>
    <row r="491" spans="1:10" x14ac:dyDescent="0.3">
      <c r="A491" s="2" t="s">
        <v>499</v>
      </c>
      <c r="B491" s="2" t="s">
        <v>25</v>
      </c>
      <c r="C491" s="2" t="s">
        <v>36</v>
      </c>
      <c r="D491" s="2">
        <v>5</v>
      </c>
      <c r="E491" s="2">
        <v>9358394387</v>
      </c>
      <c r="F491" s="2" t="s">
        <v>13</v>
      </c>
      <c r="G491" s="2" t="s">
        <v>14</v>
      </c>
      <c r="H491" s="2" t="s">
        <v>21</v>
      </c>
      <c r="I491" s="2" t="s">
        <v>22</v>
      </c>
      <c r="J491" s="2" t="s">
        <v>17</v>
      </c>
    </row>
    <row r="492" spans="1:10" x14ac:dyDescent="0.3">
      <c r="A492" s="2" t="s">
        <v>448</v>
      </c>
      <c r="B492" s="2" t="s">
        <v>25</v>
      </c>
      <c r="C492" s="2" t="s">
        <v>26</v>
      </c>
      <c r="D492" s="2">
        <v>5</v>
      </c>
      <c r="E492" s="2">
        <v>8050211683</v>
      </c>
      <c r="F492" s="2" t="s">
        <v>19</v>
      </c>
      <c r="G492" s="2" t="s">
        <v>20</v>
      </c>
      <c r="H492" s="2" t="s">
        <v>21</v>
      </c>
      <c r="I492" s="2" t="s">
        <v>22</v>
      </c>
      <c r="J492" s="2" t="s">
        <v>17</v>
      </c>
    </row>
    <row r="493" spans="1:10" x14ac:dyDescent="0.3">
      <c r="A493" s="2" t="s">
        <v>500</v>
      </c>
      <c r="B493" s="2" t="s">
        <v>32</v>
      </c>
      <c r="C493" s="2" t="s">
        <v>26</v>
      </c>
      <c r="D493" s="2">
        <v>7</v>
      </c>
      <c r="E493" s="2">
        <v>8799177556</v>
      </c>
      <c r="F493" s="2" t="s">
        <v>19</v>
      </c>
      <c r="G493" s="2" t="s">
        <v>14</v>
      </c>
      <c r="H493" s="2" t="s">
        <v>21</v>
      </c>
      <c r="I493" s="2" t="s">
        <v>41</v>
      </c>
      <c r="J493" s="2" t="s">
        <v>23</v>
      </c>
    </row>
    <row r="494" spans="1:10" x14ac:dyDescent="0.3">
      <c r="A494" s="2" t="s">
        <v>501</v>
      </c>
      <c r="B494" s="2" t="s">
        <v>35</v>
      </c>
      <c r="C494" s="2" t="s">
        <v>43</v>
      </c>
      <c r="D494" s="2">
        <v>1</v>
      </c>
      <c r="E494" s="2">
        <v>8829335955</v>
      </c>
      <c r="F494" s="2" t="s">
        <v>13</v>
      </c>
      <c r="G494" s="2" t="s">
        <v>20</v>
      </c>
      <c r="H494" s="2" t="s">
        <v>21</v>
      </c>
      <c r="I494" s="2" t="s">
        <v>22</v>
      </c>
      <c r="J494" s="2" t="s">
        <v>23</v>
      </c>
    </row>
    <row r="495" spans="1:10" x14ac:dyDescent="0.3">
      <c r="A495" s="2" t="s">
        <v>459</v>
      </c>
      <c r="B495" s="2" t="s">
        <v>35</v>
      </c>
      <c r="C495" s="2" t="s">
        <v>43</v>
      </c>
      <c r="D495" s="2">
        <v>1</v>
      </c>
      <c r="E495" s="2">
        <v>7106236932</v>
      </c>
      <c r="F495" s="2" t="s">
        <v>13</v>
      </c>
      <c r="G495" s="2" t="s">
        <v>20</v>
      </c>
      <c r="H495" s="2" t="s">
        <v>21</v>
      </c>
      <c r="I495" s="2" t="s">
        <v>37</v>
      </c>
      <c r="J495" s="2" t="s">
        <v>22</v>
      </c>
    </row>
    <row r="496" spans="1:10" x14ac:dyDescent="0.3">
      <c r="A496" s="2" t="s">
        <v>502</v>
      </c>
      <c r="B496" s="2" t="s">
        <v>32</v>
      </c>
      <c r="C496" s="2" t="s">
        <v>33</v>
      </c>
      <c r="D496" s="2">
        <v>7</v>
      </c>
      <c r="E496" s="2">
        <v>6778183212</v>
      </c>
      <c r="F496" s="2" t="s">
        <v>19</v>
      </c>
      <c r="G496" s="2" t="s">
        <v>14</v>
      </c>
      <c r="H496" s="2" t="s">
        <v>15</v>
      </c>
      <c r="I496" s="2" t="s">
        <v>37</v>
      </c>
      <c r="J496" s="2" t="s">
        <v>22</v>
      </c>
    </row>
    <row r="497" spans="1:10" x14ac:dyDescent="0.3">
      <c r="A497" s="2" t="s">
        <v>503</v>
      </c>
      <c r="B497" s="2" t="s">
        <v>11</v>
      </c>
      <c r="C497" s="2" t="s">
        <v>12</v>
      </c>
      <c r="D497" s="2">
        <v>3</v>
      </c>
      <c r="E497" s="2">
        <v>7305820563</v>
      </c>
      <c r="F497" s="2" t="s">
        <v>13</v>
      </c>
      <c r="G497" s="2" t="s">
        <v>20</v>
      </c>
      <c r="H497" s="2" t="s">
        <v>21</v>
      </c>
      <c r="I497" s="2" t="s">
        <v>41</v>
      </c>
      <c r="J497" s="2" t="s">
        <v>17</v>
      </c>
    </row>
    <row r="498" spans="1:10" x14ac:dyDescent="0.3">
      <c r="A498" s="2" t="s">
        <v>504</v>
      </c>
      <c r="B498" s="2" t="s">
        <v>32</v>
      </c>
      <c r="C498" s="2" t="s">
        <v>33</v>
      </c>
      <c r="D498" s="2">
        <v>7</v>
      </c>
      <c r="E498" s="2">
        <v>6085750383</v>
      </c>
      <c r="F498" s="2" t="s">
        <v>19</v>
      </c>
      <c r="G498" s="2" t="s">
        <v>20</v>
      </c>
      <c r="H498" s="2" t="s">
        <v>15</v>
      </c>
      <c r="I498" s="2" t="s">
        <v>22</v>
      </c>
      <c r="J498" s="2" t="s">
        <v>23</v>
      </c>
    </row>
    <row r="499" spans="1:10" x14ac:dyDescent="0.3">
      <c r="A499" s="2" t="s">
        <v>46</v>
      </c>
      <c r="B499" s="2" t="s">
        <v>35</v>
      </c>
      <c r="C499" s="2" t="s">
        <v>12</v>
      </c>
      <c r="D499" s="2">
        <v>1</v>
      </c>
      <c r="E499" s="2">
        <v>6937024662</v>
      </c>
      <c r="F499" s="2" t="s">
        <v>19</v>
      </c>
      <c r="G499" s="2" t="s">
        <v>20</v>
      </c>
      <c r="H499" s="2" t="s">
        <v>15</v>
      </c>
      <c r="I499" s="2" t="s">
        <v>29</v>
      </c>
      <c r="J499" s="2" t="s">
        <v>22</v>
      </c>
    </row>
    <row r="500" spans="1:10" x14ac:dyDescent="0.3">
      <c r="A500" s="2" t="s">
        <v>505</v>
      </c>
      <c r="B500" s="2" t="s">
        <v>35</v>
      </c>
      <c r="C500" s="2" t="s">
        <v>12</v>
      </c>
      <c r="D500" s="2">
        <v>1</v>
      </c>
      <c r="E500" s="2">
        <v>9764627124</v>
      </c>
      <c r="F500" s="2" t="s">
        <v>19</v>
      </c>
      <c r="G500" s="2" t="s">
        <v>20</v>
      </c>
      <c r="H500" s="2" t="s">
        <v>21</v>
      </c>
      <c r="I500" s="2" t="s">
        <v>22</v>
      </c>
      <c r="J500" s="2" t="s">
        <v>23</v>
      </c>
    </row>
    <row r="501" spans="1:10" x14ac:dyDescent="0.3">
      <c r="A501" s="2" t="s">
        <v>506</v>
      </c>
      <c r="B501" s="2" t="s">
        <v>32</v>
      </c>
      <c r="C501" s="2" t="s">
        <v>26</v>
      </c>
      <c r="D501" s="2">
        <v>7</v>
      </c>
      <c r="E501" s="2">
        <v>6894705621</v>
      </c>
      <c r="F501" s="2" t="s">
        <v>19</v>
      </c>
      <c r="G501" s="2" t="s">
        <v>20</v>
      </c>
      <c r="H501" s="2" t="s">
        <v>21</v>
      </c>
      <c r="I501" s="2" t="s">
        <v>27</v>
      </c>
      <c r="J501" s="2" t="s">
        <v>22</v>
      </c>
    </row>
    <row r="502" spans="1:10" x14ac:dyDescent="0.3">
      <c r="A502" s="2" t="s">
        <v>507</v>
      </c>
      <c r="B502" s="2" t="s">
        <v>35</v>
      </c>
      <c r="C502" s="2" t="s">
        <v>43</v>
      </c>
      <c r="D502" s="2">
        <v>1</v>
      </c>
      <c r="E502" s="2">
        <v>7478040919</v>
      </c>
      <c r="F502" s="2" t="s">
        <v>19</v>
      </c>
      <c r="G502" s="2" t="s">
        <v>20</v>
      </c>
      <c r="H502" s="2" t="s">
        <v>15</v>
      </c>
      <c r="I502" s="2" t="s">
        <v>41</v>
      </c>
      <c r="J502" s="2" t="s">
        <v>22</v>
      </c>
    </row>
    <row r="503" spans="1:10" x14ac:dyDescent="0.3">
      <c r="A503" s="2" t="s">
        <v>508</v>
      </c>
      <c r="B503" s="2" t="s">
        <v>11</v>
      </c>
      <c r="C503" s="2" t="s">
        <v>33</v>
      </c>
      <c r="D503" s="2">
        <v>3</v>
      </c>
      <c r="E503" s="2">
        <v>8413669015</v>
      </c>
      <c r="F503" s="2" t="s">
        <v>13</v>
      </c>
      <c r="G503" s="2" t="s">
        <v>20</v>
      </c>
      <c r="H503" s="2" t="s">
        <v>21</v>
      </c>
      <c r="I503" s="2" t="s">
        <v>22</v>
      </c>
      <c r="J503" s="2" t="s">
        <v>22</v>
      </c>
    </row>
    <row r="504" spans="1:10" x14ac:dyDescent="0.3">
      <c r="A504" s="2" t="s">
        <v>509</v>
      </c>
      <c r="B504" s="2" t="s">
        <v>35</v>
      </c>
      <c r="C504" s="2" t="s">
        <v>12</v>
      </c>
      <c r="D504" s="2">
        <v>1</v>
      </c>
      <c r="E504" s="2">
        <v>7509845517</v>
      </c>
      <c r="F504" s="2" t="s">
        <v>13</v>
      </c>
      <c r="G504" s="2" t="s">
        <v>14</v>
      </c>
      <c r="H504" s="2" t="s">
        <v>15</v>
      </c>
      <c r="I504" s="2" t="s">
        <v>27</v>
      </c>
      <c r="J504" s="2" t="s">
        <v>22</v>
      </c>
    </row>
    <row r="505" spans="1:10" x14ac:dyDescent="0.3">
      <c r="A505" s="2" t="s">
        <v>510</v>
      </c>
      <c r="B505" s="2" t="s">
        <v>35</v>
      </c>
      <c r="C505" s="2" t="s">
        <v>43</v>
      </c>
      <c r="D505" s="2">
        <v>1</v>
      </c>
      <c r="E505" s="2">
        <v>7320490624</v>
      </c>
      <c r="F505" s="2" t="s">
        <v>13</v>
      </c>
      <c r="G505" s="2" t="s">
        <v>20</v>
      </c>
      <c r="H505" s="2" t="s">
        <v>21</v>
      </c>
      <c r="I505" s="2" t="s">
        <v>22</v>
      </c>
      <c r="J505" s="2" t="s">
        <v>23</v>
      </c>
    </row>
    <row r="506" spans="1:10" x14ac:dyDescent="0.3">
      <c r="A506" s="2" t="s">
        <v>511</v>
      </c>
      <c r="B506" s="2" t="s">
        <v>25</v>
      </c>
      <c r="C506" s="2" t="s">
        <v>12</v>
      </c>
      <c r="D506" s="2">
        <v>5</v>
      </c>
      <c r="E506" s="2">
        <v>8670642324</v>
      </c>
      <c r="F506" s="2" t="s">
        <v>19</v>
      </c>
      <c r="G506" s="2" t="s">
        <v>20</v>
      </c>
      <c r="H506" s="2" t="s">
        <v>15</v>
      </c>
      <c r="I506" s="2" t="s">
        <v>16</v>
      </c>
      <c r="J506" s="2" t="s">
        <v>17</v>
      </c>
    </row>
    <row r="507" spans="1:10" x14ac:dyDescent="0.3">
      <c r="A507" s="2" t="s">
        <v>512</v>
      </c>
      <c r="B507" s="2" t="s">
        <v>35</v>
      </c>
      <c r="C507" s="2" t="s">
        <v>26</v>
      </c>
      <c r="D507" s="2">
        <v>1</v>
      </c>
      <c r="E507" s="2">
        <v>8608868511</v>
      </c>
      <c r="F507" s="2" t="s">
        <v>19</v>
      </c>
      <c r="G507" s="2" t="s">
        <v>14</v>
      </c>
      <c r="H507" s="2" t="s">
        <v>15</v>
      </c>
      <c r="I507" s="2" t="s">
        <v>29</v>
      </c>
      <c r="J507" s="2" t="s">
        <v>22</v>
      </c>
    </row>
    <row r="508" spans="1:10" x14ac:dyDescent="0.3">
      <c r="A508" s="2" t="s">
        <v>513</v>
      </c>
      <c r="B508" s="2" t="s">
        <v>32</v>
      </c>
      <c r="C508" s="2" t="s">
        <v>36</v>
      </c>
      <c r="D508" s="2">
        <v>7</v>
      </c>
      <c r="E508" s="2">
        <v>9398634264</v>
      </c>
      <c r="F508" s="2" t="s">
        <v>13</v>
      </c>
      <c r="G508" s="2" t="s">
        <v>14</v>
      </c>
      <c r="H508" s="2" t="s">
        <v>15</v>
      </c>
      <c r="I508" s="2" t="s">
        <v>22</v>
      </c>
      <c r="J508" s="2" t="s">
        <v>23</v>
      </c>
    </row>
    <row r="509" spans="1:10" x14ac:dyDescent="0.3">
      <c r="A509" s="2" t="s">
        <v>514</v>
      </c>
      <c r="B509" s="2" t="s">
        <v>32</v>
      </c>
      <c r="C509" s="2" t="s">
        <v>26</v>
      </c>
      <c r="D509" s="2">
        <v>7</v>
      </c>
      <c r="E509" s="2">
        <v>6575664723</v>
      </c>
      <c r="F509" s="2" t="s">
        <v>19</v>
      </c>
      <c r="G509" s="2" t="s">
        <v>14</v>
      </c>
      <c r="H509" s="2" t="s">
        <v>21</v>
      </c>
      <c r="I509" s="2" t="s">
        <v>22</v>
      </c>
      <c r="J509" s="2" t="s">
        <v>23</v>
      </c>
    </row>
    <row r="510" spans="1:10" x14ac:dyDescent="0.3">
      <c r="A510" s="2" t="s">
        <v>432</v>
      </c>
      <c r="B510" s="2" t="s">
        <v>11</v>
      </c>
      <c r="C510" s="2" t="s">
        <v>26</v>
      </c>
      <c r="D510" s="2">
        <v>3</v>
      </c>
      <c r="E510" s="2">
        <v>9708243859</v>
      </c>
      <c r="F510" s="2" t="s">
        <v>19</v>
      </c>
      <c r="G510" s="2" t="s">
        <v>14</v>
      </c>
      <c r="H510" s="2" t="s">
        <v>21</v>
      </c>
      <c r="I510" s="2" t="s">
        <v>22</v>
      </c>
      <c r="J510" s="2" t="s">
        <v>23</v>
      </c>
    </row>
    <row r="511" spans="1:10" x14ac:dyDescent="0.3">
      <c r="A511" s="2" t="s">
        <v>515</v>
      </c>
      <c r="B511" s="2" t="s">
        <v>25</v>
      </c>
      <c r="C511" s="2" t="s">
        <v>33</v>
      </c>
      <c r="D511" s="2">
        <v>5</v>
      </c>
      <c r="E511" s="2">
        <v>6501963377</v>
      </c>
      <c r="F511" s="2" t="s">
        <v>19</v>
      </c>
      <c r="G511" s="2" t="s">
        <v>20</v>
      </c>
      <c r="H511" s="2" t="s">
        <v>15</v>
      </c>
      <c r="I511" s="2" t="s">
        <v>22</v>
      </c>
      <c r="J511" s="2" t="s">
        <v>17</v>
      </c>
    </row>
    <row r="512" spans="1:10" x14ac:dyDescent="0.3">
      <c r="A512" s="2" t="s">
        <v>516</v>
      </c>
      <c r="B512" s="2" t="s">
        <v>11</v>
      </c>
      <c r="C512" s="2" t="s">
        <v>26</v>
      </c>
      <c r="D512" s="2">
        <v>3</v>
      </c>
      <c r="E512" s="2">
        <v>8679500866</v>
      </c>
      <c r="F512" s="2" t="s">
        <v>19</v>
      </c>
      <c r="G512" s="2" t="s">
        <v>20</v>
      </c>
      <c r="H512" s="2" t="s">
        <v>15</v>
      </c>
      <c r="I512" s="2" t="s">
        <v>22</v>
      </c>
      <c r="J512" s="2" t="s">
        <v>22</v>
      </c>
    </row>
    <row r="513" spans="1:10" x14ac:dyDescent="0.3">
      <c r="A513" s="2" t="s">
        <v>517</v>
      </c>
      <c r="B513" s="2" t="s">
        <v>11</v>
      </c>
      <c r="C513" s="2" t="s">
        <v>33</v>
      </c>
      <c r="D513" s="2">
        <v>3</v>
      </c>
      <c r="E513" s="2">
        <v>7304676721</v>
      </c>
      <c r="F513" s="2" t="s">
        <v>19</v>
      </c>
      <c r="G513" s="2" t="s">
        <v>20</v>
      </c>
      <c r="H513" s="2" t="s">
        <v>21</v>
      </c>
      <c r="I513" s="2" t="s">
        <v>16</v>
      </c>
      <c r="J513" s="2" t="s">
        <v>22</v>
      </c>
    </row>
    <row r="514" spans="1:10" x14ac:dyDescent="0.3">
      <c r="A514" s="2" t="s">
        <v>518</v>
      </c>
      <c r="B514" s="2" t="s">
        <v>25</v>
      </c>
      <c r="C514" s="2" t="s">
        <v>26</v>
      </c>
      <c r="D514" s="2">
        <v>5</v>
      </c>
      <c r="E514" s="2">
        <v>8566880913</v>
      </c>
      <c r="F514" s="2" t="s">
        <v>13</v>
      </c>
      <c r="G514" s="2" t="s">
        <v>14</v>
      </c>
      <c r="H514" s="2" t="s">
        <v>21</v>
      </c>
      <c r="I514" s="2" t="s">
        <v>27</v>
      </c>
      <c r="J514" s="2" t="s">
        <v>17</v>
      </c>
    </row>
    <row r="515" spans="1:10" x14ac:dyDescent="0.3">
      <c r="A515" s="2" t="s">
        <v>519</v>
      </c>
      <c r="B515" s="2" t="s">
        <v>11</v>
      </c>
      <c r="C515" s="2" t="s">
        <v>36</v>
      </c>
      <c r="D515" s="2">
        <v>3</v>
      </c>
      <c r="E515" s="2">
        <v>6241830847</v>
      </c>
      <c r="F515" s="2" t="s">
        <v>19</v>
      </c>
      <c r="G515" s="2" t="s">
        <v>20</v>
      </c>
      <c r="H515" s="2" t="s">
        <v>21</v>
      </c>
      <c r="I515" s="2" t="s">
        <v>37</v>
      </c>
      <c r="J515" s="2" t="s">
        <v>22</v>
      </c>
    </row>
    <row r="516" spans="1:10" x14ac:dyDescent="0.3">
      <c r="A516" s="2" t="s">
        <v>520</v>
      </c>
      <c r="B516" s="2" t="s">
        <v>11</v>
      </c>
      <c r="C516" s="2" t="s">
        <v>33</v>
      </c>
      <c r="D516" s="2">
        <v>3</v>
      </c>
      <c r="E516" s="2">
        <v>6868890909</v>
      </c>
      <c r="F516" s="2" t="s">
        <v>13</v>
      </c>
      <c r="G516" s="2" t="s">
        <v>14</v>
      </c>
      <c r="H516" s="2" t="s">
        <v>15</v>
      </c>
      <c r="I516" s="2" t="s">
        <v>22</v>
      </c>
      <c r="J516" s="2" t="s">
        <v>23</v>
      </c>
    </row>
    <row r="517" spans="1:10" x14ac:dyDescent="0.3">
      <c r="A517" s="2" t="s">
        <v>521</v>
      </c>
      <c r="B517" s="2" t="s">
        <v>32</v>
      </c>
      <c r="C517" s="2" t="s">
        <v>33</v>
      </c>
      <c r="D517" s="2">
        <v>7</v>
      </c>
      <c r="E517" s="2">
        <v>9254975927</v>
      </c>
      <c r="F517" s="2" t="s">
        <v>19</v>
      </c>
      <c r="G517" s="2" t="s">
        <v>14</v>
      </c>
      <c r="H517" s="2" t="s">
        <v>21</v>
      </c>
      <c r="I517" s="2" t="s">
        <v>22</v>
      </c>
      <c r="J517" s="2" t="s">
        <v>22</v>
      </c>
    </row>
    <row r="518" spans="1:10" x14ac:dyDescent="0.3">
      <c r="A518" s="2" t="s">
        <v>522</v>
      </c>
      <c r="B518" s="2" t="s">
        <v>25</v>
      </c>
      <c r="C518" s="2" t="s">
        <v>36</v>
      </c>
      <c r="D518" s="2">
        <v>5</v>
      </c>
      <c r="E518" s="2">
        <v>8219286416</v>
      </c>
      <c r="F518" s="2" t="s">
        <v>19</v>
      </c>
      <c r="G518" s="2" t="s">
        <v>14</v>
      </c>
      <c r="H518" s="2" t="s">
        <v>15</v>
      </c>
      <c r="I518" s="2" t="s">
        <v>27</v>
      </c>
      <c r="J518" s="2" t="s">
        <v>17</v>
      </c>
    </row>
    <row r="519" spans="1:10" x14ac:dyDescent="0.3">
      <c r="A519" s="2" t="s">
        <v>523</v>
      </c>
      <c r="B519" s="2" t="s">
        <v>11</v>
      </c>
      <c r="C519" s="2" t="s">
        <v>26</v>
      </c>
      <c r="D519" s="2">
        <v>3</v>
      </c>
      <c r="E519" s="2">
        <v>7366898250</v>
      </c>
      <c r="F519" s="2" t="s">
        <v>19</v>
      </c>
      <c r="G519" s="2" t="s">
        <v>14</v>
      </c>
      <c r="H519" s="2" t="s">
        <v>15</v>
      </c>
      <c r="I519" s="2" t="s">
        <v>22</v>
      </c>
      <c r="J519" s="2" t="s">
        <v>23</v>
      </c>
    </row>
    <row r="520" spans="1:10" x14ac:dyDescent="0.3">
      <c r="A520" s="2" t="s">
        <v>524</v>
      </c>
      <c r="B520" s="2" t="s">
        <v>32</v>
      </c>
      <c r="C520" s="2" t="s">
        <v>26</v>
      </c>
      <c r="D520" s="2">
        <v>7</v>
      </c>
      <c r="E520" s="2">
        <v>6021890263</v>
      </c>
      <c r="F520" s="2" t="s">
        <v>19</v>
      </c>
      <c r="G520" s="2" t="s">
        <v>20</v>
      </c>
      <c r="H520" s="2" t="s">
        <v>15</v>
      </c>
      <c r="I520" s="2" t="s">
        <v>22</v>
      </c>
      <c r="J520" s="2" t="s">
        <v>22</v>
      </c>
    </row>
    <row r="521" spans="1:10" x14ac:dyDescent="0.3">
      <c r="A521" s="2" t="s">
        <v>525</v>
      </c>
      <c r="B521" s="2" t="s">
        <v>32</v>
      </c>
      <c r="C521" s="2" t="s">
        <v>26</v>
      </c>
      <c r="D521" s="2">
        <v>7</v>
      </c>
      <c r="E521" s="2">
        <v>7918713135</v>
      </c>
      <c r="F521" s="2" t="s">
        <v>19</v>
      </c>
      <c r="G521" s="2" t="s">
        <v>14</v>
      </c>
      <c r="H521" s="2" t="s">
        <v>15</v>
      </c>
      <c r="I521" s="2" t="s">
        <v>29</v>
      </c>
      <c r="J521" s="2" t="s">
        <v>22</v>
      </c>
    </row>
    <row r="522" spans="1:10" x14ac:dyDescent="0.3">
      <c r="A522" s="2" t="s">
        <v>526</v>
      </c>
      <c r="B522" s="2" t="s">
        <v>11</v>
      </c>
      <c r="C522" s="2" t="s">
        <v>43</v>
      </c>
      <c r="D522" s="2">
        <v>3</v>
      </c>
      <c r="E522" s="2">
        <v>9178261686</v>
      </c>
      <c r="F522" s="2" t="s">
        <v>19</v>
      </c>
      <c r="G522" s="2" t="s">
        <v>14</v>
      </c>
      <c r="H522" s="2" t="s">
        <v>21</v>
      </c>
      <c r="I522" s="2" t="s">
        <v>37</v>
      </c>
      <c r="J522" s="2" t="s">
        <v>23</v>
      </c>
    </row>
    <row r="523" spans="1:10" x14ac:dyDescent="0.3">
      <c r="A523" s="2" t="s">
        <v>527</v>
      </c>
      <c r="B523" s="2" t="s">
        <v>11</v>
      </c>
      <c r="C523" s="2" t="s">
        <v>12</v>
      </c>
      <c r="D523" s="2">
        <v>3</v>
      </c>
      <c r="E523" s="2">
        <v>9633833628</v>
      </c>
      <c r="F523" s="2" t="s">
        <v>13</v>
      </c>
      <c r="G523" s="2" t="s">
        <v>14</v>
      </c>
      <c r="H523" s="2" t="s">
        <v>21</v>
      </c>
      <c r="I523" s="2" t="s">
        <v>22</v>
      </c>
      <c r="J523" s="2" t="s">
        <v>17</v>
      </c>
    </row>
    <row r="524" spans="1:10" x14ac:dyDescent="0.3">
      <c r="A524" s="2" t="s">
        <v>528</v>
      </c>
      <c r="B524" s="2" t="s">
        <v>11</v>
      </c>
      <c r="C524" s="2" t="s">
        <v>26</v>
      </c>
      <c r="D524" s="2">
        <v>3</v>
      </c>
      <c r="E524" s="2">
        <v>9570615344</v>
      </c>
      <c r="F524" s="2" t="s">
        <v>13</v>
      </c>
      <c r="G524" s="2" t="s">
        <v>20</v>
      </c>
      <c r="H524" s="2" t="s">
        <v>15</v>
      </c>
      <c r="I524" s="2" t="s">
        <v>37</v>
      </c>
      <c r="J524" s="2" t="s">
        <v>22</v>
      </c>
    </row>
    <row r="525" spans="1:10" x14ac:dyDescent="0.3">
      <c r="A525" s="2" t="s">
        <v>268</v>
      </c>
      <c r="B525" s="2" t="s">
        <v>32</v>
      </c>
      <c r="C525" s="2" t="s">
        <v>43</v>
      </c>
      <c r="D525" s="2">
        <v>7</v>
      </c>
      <c r="E525" s="2">
        <v>6193139365</v>
      </c>
      <c r="F525" s="2" t="s">
        <v>13</v>
      </c>
      <c r="G525" s="2" t="s">
        <v>20</v>
      </c>
      <c r="H525" s="2" t="s">
        <v>15</v>
      </c>
      <c r="I525" s="2" t="s">
        <v>22</v>
      </c>
      <c r="J525" s="2" t="s">
        <v>17</v>
      </c>
    </row>
    <row r="526" spans="1:10" x14ac:dyDescent="0.3">
      <c r="A526" s="2" t="s">
        <v>529</v>
      </c>
      <c r="B526" s="2" t="s">
        <v>25</v>
      </c>
      <c r="C526" s="2" t="s">
        <v>26</v>
      </c>
      <c r="D526" s="2">
        <v>5</v>
      </c>
      <c r="E526" s="2">
        <v>8328043599</v>
      </c>
      <c r="F526" s="2" t="s">
        <v>13</v>
      </c>
      <c r="G526" s="2" t="s">
        <v>14</v>
      </c>
      <c r="H526" s="2" t="s">
        <v>15</v>
      </c>
      <c r="I526" s="2" t="s">
        <v>29</v>
      </c>
      <c r="J526" s="2" t="s">
        <v>23</v>
      </c>
    </row>
    <row r="527" spans="1:10" x14ac:dyDescent="0.3">
      <c r="A527" s="2" t="s">
        <v>530</v>
      </c>
      <c r="B527" s="2" t="s">
        <v>25</v>
      </c>
      <c r="C527" s="2" t="s">
        <v>26</v>
      </c>
      <c r="D527" s="2">
        <v>5</v>
      </c>
      <c r="E527" s="2">
        <v>6785071094</v>
      </c>
      <c r="F527" s="2" t="s">
        <v>19</v>
      </c>
      <c r="G527" s="2" t="s">
        <v>20</v>
      </c>
      <c r="H527" s="2" t="s">
        <v>15</v>
      </c>
      <c r="I527" s="2" t="s">
        <v>41</v>
      </c>
      <c r="J527" s="2" t="s">
        <v>23</v>
      </c>
    </row>
    <row r="528" spans="1:10" x14ac:dyDescent="0.3">
      <c r="A528" s="2" t="s">
        <v>531</v>
      </c>
      <c r="B528" s="2" t="s">
        <v>35</v>
      </c>
      <c r="C528" s="2" t="s">
        <v>12</v>
      </c>
      <c r="D528" s="2">
        <v>1</v>
      </c>
      <c r="E528" s="2">
        <v>8231655871</v>
      </c>
      <c r="F528" s="2" t="s">
        <v>19</v>
      </c>
      <c r="G528" s="2" t="s">
        <v>20</v>
      </c>
      <c r="H528" s="2" t="s">
        <v>21</v>
      </c>
      <c r="I528" s="2" t="s">
        <v>16</v>
      </c>
      <c r="J528" s="2" t="s">
        <v>17</v>
      </c>
    </row>
    <row r="529" spans="1:10" x14ac:dyDescent="0.3">
      <c r="A529" s="2" t="s">
        <v>532</v>
      </c>
      <c r="B529" s="2" t="s">
        <v>11</v>
      </c>
      <c r="C529" s="2" t="s">
        <v>36</v>
      </c>
      <c r="D529" s="2">
        <v>3</v>
      </c>
      <c r="E529" s="2">
        <v>9835142753</v>
      </c>
      <c r="F529" s="2" t="s">
        <v>13</v>
      </c>
      <c r="G529" s="2" t="s">
        <v>20</v>
      </c>
      <c r="H529" s="2" t="s">
        <v>15</v>
      </c>
      <c r="I529" s="2" t="s">
        <v>41</v>
      </c>
      <c r="J529" s="2" t="s">
        <v>17</v>
      </c>
    </row>
    <row r="530" spans="1:10" x14ac:dyDescent="0.3">
      <c r="A530" s="2" t="s">
        <v>156</v>
      </c>
      <c r="B530" s="2" t="s">
        <v>11</v>
      </c>
      <c r="C530" s="2" t="s">
        <v>36</v>
      </c>
      <c r="D530" s="2">
        <v>3</v>
      </c>
      <c r="E530" s="2">
        <v>6655421202</v>
      </c>
      <c r="F530" s="2" t="s">
        <v>19</v>
      </c>
      <c r="G530" s="2" t="s">
        <v>14</v>
      </c>
      <c r="H530" s="2" t="s">
        <v>15</v>
      </c>
      <c r="I530" s="2" t="s">
        <v>22</v>
      </c>
      <c r="J530" s="2" t="s">
        <v>22</v>
      </c>
    </row>
    <row r="531" spans="1:10" x14ac:dyDescent="0.3">
      <c r="A531" s="2" t="s">
        <v>533</v>
      </c>
      <c r="B531" s="2" t="s">
        <v>32</v>
      </c>
      <c r="C531" s="2" t="s">
        <v>43</v>
      </c>
      <c r="D531" s="2">
        <v>7</v>
      </c>
      <c r="E531" s="2">
        <v>6195026846</v>
      </c>
      <c r="F531" s="2" t="s">
        <v>19</v>
      </c>
      <c r="G531" s="2" t="s">
        <v>20</v>
      </c>
      <c r="H531" s="2" t="s">
        <v>15</v>
      </c>
      <c r="I531" s="2" t="s">
        <v>16</v>
      </c>
      <c r="J531" s="2" t="s">
        <v>23</v>
      </c>
    </row>
    <row r="532" spans="1:10" x14ac:dyDescent="0.3">
      <c r="A532" s="2" t="s">
        <v>534</v>
      </c>
      <c r="B532" s="2" t="s">
        <v>11</v>
      </c>
      <c r="C532" s="2" t="s">
        <v>36</v>
      </c>
      <c r="D532" s="2">
        <v>3</v>
      </c>
      <c r="E532" s="2">
        <v>9805179615</v>
      </c>
      <c r="F532" s="2" t="s">
        <v>13</v>
      </c>
      <c r="G532" s="2" t="s">
        <v>14</v>
      </c>
      <c r="H532" s="2" t="s">
        <v>15</v>
      </c>
      <c r="I532" s="2" t="s">
        <v>41</v>
      </c>
      <c r="J532" s="2" t="s">
        <v>22</v>
      </c>
    </row>
    <row r="533" spans="1:10" x14ac:dyDescent="0.3">
      <c r="A533" s="2" t="s">
        <v>535</v>
      </c>
      <c r="B533" s="2" t="s">
        <v>35</v>
      </c>
      <c r="C533" s="2" t="s">
        <v>36</v>
      </c>
      <c r="D533" s="2">
        <v>1</v>
      </c>
      <c r="E533" s="2">
        <v>6509196471</v>
      </c>
      <c r="F533" s="2" t="s">
        <v>19</v>
      </c>
      <c r="G533" s="2" t="s">
        <v>20</v>
      </c>
      <c r="H533" s="2" t="s">
        <v>15</v>
      </c>
      <c r="I533" s="2" t="s">
        <v>41</v>
      </c>
      <c r="J533" s="2" t="s">
        <v>22</v>
      </c>
    </row>
    <row r="534" spans="1:10" x14ac:dyDescent="0.3">
      <c r="A534" s="2" t="s">
        <v>536</v>
      </c>
      <c r="B534" s="2" t="s">
        <v>11</v>
      </c>
      <c r="C534" s="2" t="s">
        <v>43</v>
      </c>
      <c r="D534" s="2">
        <v>3</v>
      </c>
      <c r="E534" s="2">
        <v>7857047171</v>
      </c>
      <c r="F534" s="2" t="s">
        <v>13</v>
      </c>
      <c r="G534" s="2" t="s">
        <v>14</v>
      </c>
      <c r="H534" s="2" t="s">
        <v>21</v>
      </c>
      <c r="I534" s="2" t="s">
        <v>27</v>
      </c>
      <c r="J534" s="2" t="s">
        <v>22</v>
      </c>
    </row>
    <row r="535" spans="1:10" x14ac:dyDescent="0.3">
      <c r="A535" s="2" t="s">
        <v>537</v>
      </c>
      <c r="B535" s="2" t="s">
        <v>35</v>
      </c>
      <c r="C535" s="2" t="s">
        <v>36</v>
      </c>
      <c r="D535" s="2">
        <v>1</v>
      </c>
      <c r="E535" s="2">
        <v>9308105932</v>
      </c>
      <c r="F535" s="2" t="s">
        <v>19</v>
      </c>
      <c r="G535" s="2" t="s">
        <v>14</v>
      </c>
      <c r="H535" s="2" t="s">
        <v>15</v>
      </c>
      <c r="I535" s="2" t="s">
        <v>41</v>
      </c>
      <c r="J535" s="2" t="s">
        <v>23</v>
      </c>
    </row>
    <row r="536" spans="1:10" x14ac:dyDescent="0.3">
      <c r="A536" s="2" t="s">
        <v>538</v>
      </c>
      <c r="B536" s="2" t="s">
        <v>32</v>
      </c>
      <c r="C536" s="2" t="s">
        <v>12</v>
      </c>
      <c r="D536" s="2">
        <v>7</v>
      </c>
      <c r="E536" s="2">
        <v>8085452036</v>
      </c>
      <c r="F536" s="2" t="s">
        <v>13</v>
      </c>
      <c r="G536" s="2" t="s">
        <v>20</v>
      </c>
      <c r="H536" s="2" t="s">
        <v>21</v>
      </c>
      <c r="I536" s="2" t="s">
        <v>22</v>
      </c>
      <c r="J536" s="2" t="s">
        <v>22</v>
      </c>
    </row>
    <row r="537" spans="1:10" x14ac:dyDescent="0.3">
      <c r="A537" s="2" t="s">
        <v>539</v>
      </c>
      <c r="B537" s="2" t="s">
        <v>35</v>
      </c>
      <c r="C537" s="2" t="s">
        <v>12</v>
      </c>
      <c r="D537" s="2">
        <v>1</v>
      </c>
      <c r="E537" s="2">
        <v>8758498860</v>
      </c>
      <c r="F537" s="2" t="s">
        <v>19</v>
      </c>
      <c r="G537" s="2" t="s">
        <v>20</v>
      </c>
      <c r="H537" s="2" t="s">
        <v>21</v>
      </c>
      <c r="I537" s="2" t="s">
        <v>22</v>
      </c>
      <c r="J537" s="2" t="s">
        <v>17</v>
      </c>
    </row>
    <row r="538" spans="1:10" x14ac:dyDescent="0.3">
      <c r="A538" s="2" t="s">
        <v>540</v>
      </c>
      <c r="B538" s="2" t="s">
        <v>35</v>
      </c>
      <c r="C538" s="2" t="s">
        <v>26</v>
      </c>
      <c r="D538" s="2">
        <v>1</v>
      </c>
      <c r="E538" s="2">
        <v>9398881248</v>
      </c>
      <c r="F538" s="2" t="s">
        <v>19</v>
      </c>
      <c r="G538" s="2" t="s">
        <v>14</v>
      </c>
      <c r="H538" s="2" t="s">
        <v>15</v>
      </c>
      <c r="I538" s="2" t="s">
        <v>27</v>
      </c>
      <c r="J538" s="2" t="s">
        <v>22</v>
      </c>
    </row>
    <row r="539" spans="1:10" x14ac:dyDescent="0.3">
      <c r="A539" s="2" t="s">
        <v>541</v>
      </c>
      <c r="B539" s="2" t="s">
        <v>35</v>
      </c>
      <c r="C539" s="2" t="s">
        <v>26</v>
      </c>
      <c r="D539" s="2">
        <v>1</v>
      </c>
      <c r="E539" s="2">
        <v>8615835306</v>
      </c>
      <c r="F539" s="2" t="s">
        <v>19</v>
      </c>
      <c r="G539" s="2" t="s">
        <v>14</v>
      </c>
      <c r="H539" s="2" t="s">
        <v>21</v>
      </c>
      <c r="I539" s="2" t="s">
        <v>41</v>
      </c>
      <c r="J539" s="2" t="s">
        <v>22</v>
      </c>
    </row>
    <row r="540" spans="1:10" x14ac:dyDescent="0.3">
      <c r="A540" s="2" t="s">
        <v>542</v>
      </c>
      <c r="B540" s="2" t="s">
        <v>25</v>
      </c>
      <c r="C540" s="2" t="s">
        <v>33</v>
      </c>
      <c r="D540" s="2">
        <v>5</v>
      </c>
      <c r="E540" s="2">
        <v>9425841780</v>
      </c>
      <c r="F540" s="2" t="s">
        <v>13</v>
      </c>
      <c r="G540" s="2" t="s">
        <v>20</v>
      </c>
      <c r="H540" s="2" t="s">
        <v>15</v>
      </c>
      <c r="I540" s="2" t="s">
        <v>37</v>
      </c>
      <c r="J540" s="2" t="s">
        <v>23</v>
      </c>
    </row>
    <row r="541" spans="1:10" x14ac:dyDescent="0.3">
      <c r="A541" s="2" t="s">
        <v>543</v>
      </c>
      <c r="B541" s="2" t="s">
        <v>11</v>
      </c>
      <c r="C541" s="2" t="s">
        <v>43</v>
      </c>
      <c r="D541" s="2">
        <v>3</v>
      </c>
      <c r="E541" s="2">
        <v>8943284099</v>
      </c>
      <c r="F541" s="2" t="s">
        <v>13</v>
      </c>
      <c r="G541" s="2" t="s">
        <v>14</v>
      </c>
      <c r="H541" s="2" t="s">
        <v>15</v>
      </c>
      <c r="I541" s="2" t="s">
        <v>22</v>
      </c>
      <c r="J541" s="2" t="s">
        <v>22</v>
      </c>
    </row>
    <row r="542" spans="1:10" x14ac:dyDescent="0.3">
      <c r="A542" s="2" t="s">
        <v>544</v>
      </c>
      <c r="B542" s="2" t="s">
        <v>11</v>
      </c>
      <c r="C542" s="2" t="s">
        <v>33</v>
      </c>
      <c r="D542" s="2">
        <v>3</v>
      </c>
      <c r="E542" s="2">
        <v>6650420596</v>
      </c>
      <c r="F542" s="2" t="s">
        <v>19</v>
      </c>
      <c r="G542" s="2" t="s">
        <v>14</v>
      </c>
      <c r="H542" s="2" t="s">
        <v>15</v>
      </c>
      <c r="I542" s="2" t="s">
        <v>29</v>
      </c>
      <c r="J542" s="2" t="s">
        <v>22</v>
      </c>
    </row>
    <row r="543" spans="1:10" x14ac:dyDescent="0.3">
      <c r="A543" s="2" t="s">
        <v>545</v>
      </c>
      <c r="B543" s="2" t="s">
        <v>35</v>
      </c>
      <c r="C543" s="2" t="s">
        <v>12</v>
      </c>
      <c r="D543" s="2">
        <v>1</v>
      </c>
      <c r="E543" s="2">
        <v>7242389060</v>
      </c>
      <c r="F543" s="2" t="s">
        <v>13</v>
      </c>
      <c r="G543" s="2" t="s">
        <v>14</v>
      </c>
      <c r="H543" s="2" t="s">
        <v>15</v>
      </c>
      <c r="I543" s="2" t="s">
        <v>22</v>
      </c>
      <c r="J543" s="2" t="s">
        <v>22</v>
      </c>
    </row>
    <row r="544" spans="1:10" x14ac:dyDescent="0.3">
      <c r="A544" s="2" t="s">
        <v>546</v>
      </c>
      <c r="B544" s="2" t="s">
        <v>11</v>
      </c>
      <c r="C544" s="2" t="s">
        <v>26</v>
      </c>
      <c r="D544" s="2">
        <v>3</v>
      </c>
      <c r="E544" s="2">
        <v>7691732993</v>
      </c>
      <c r="F544" s="2" t="s">
        <v>13</v>
      </c>
      <c r="G544" s="2" t="s">
        <v>14</v>
      </c>
      <c r="H544" s="2" t="s">
        <v>21</v>
      </c>
      <c r="I544" s="2" t="s">
        <v>16</v>
      </c>
      <c r="J544" s="2" t="s">
        <v>23</v>
      </c>
    </row>
    <row r="545" spans="1:10" x14ac:dyDescent="0.3">
      <c r="A545" s="2" t="s">
        <v>547</v>
      </c>
      <c r="B545" s="2" t="s">
        <v>25</v>
      </c>
      <c r="C545" s="2" t="s">
        <v>33</v>
      </c>
      <c r="D545" s="2">
        <v>5</v>
      </c>
      <c r="E545" s="2">
        <v>8293622460</v>
      </c>
      <c r="F545" s="2" t="s">
        <v>13</v>
      </c>
      <c r="G545" s="2" t="s">
        <v>14</v>
      </c>
      <c r="H545" s="2" t="s">
        <v>15</v>
      </c>
      <c r="I545" s="2" t="s">
        <v>37</v>
      </c>
      <c r="J545" s="2" t="s">
        <v>17</v>
      </c>
    </row>
    <row r="546" spans="1:10" x14ac:dyDescent="0.3">
      <c r="A546" s="2" t="s">
        <v>548</v>
      </c>
      <c r="B546" s="2" t="s">
        <v>11</v>
      </c>
      <c r="C546" s="2" t="s">
        <v>36</v>
      </c>
      <c r="D546" s="2">
        <v>3</v>
      </c>
      <c r="E546" s="2">
        <v>6413890731</v>
      </c>
      <c r="F546" s="2" t="s">
        <v>13</v>
      </c>
      <c r="G546" s="2" t="s">
        <v>20</v>
      </c>
      <c r="H546" s="2" t="s">
        <v>21</v>
      </c>
      <c r="I546" s="2" t="s">
        <v>16</v>
      </c>
      <c r="J546" s="2" t="s">
        <v>22</v>
      </c>
    </row>
    <row r="547" spans="1:10" x14ac:dyDescent="0.3">
      <c r="A547" s="2" t="s">
        <v>549</v>
      </c>
      <c r="B547" s="2" t="s">
        <v>35</v>
      </c>
      <c r="C547" s="2" t="s">
        <v>12</v>
      </c>
      <c r="D547" s="2">
        <v>1</v>
      </c>
      <c r="E547" s="2">
        <v>6482716114</v>
      </c>
      <c r="F547" s="2" t="s">
        <v>19</v>
      </c>
      <c r="G547" s="2" t="s">
        <v>14</v>
      </c>
      <c r="H547" s="2" t="s">
        <v>15</v>
      </c>
      <c r="I547" s="2" t="s">
        <v>22</v>
      </c>
      <c r="J547" s="2" t="s">
        <v>22</v>
      </c>
    </row>
    <row r="548" spans="1:10" x14ac:dyDescent="0.3">
      <c r="A548" s="2" t="s">
        <v>550</v>
      </c>
      <c r="B548" s="2" t="s">
        <v>35</v>
      </c>
      <c r="C548" s="2" t="s">
        <v>26</v>
      </c>
      <c r="D548" s="2">
        <v>1</v>
      </c>
      <c r="E548" s="2">
        <v>7820565827</v>
      </c>
      <c r="F548" s="2" t="s">
        <v>13</v>
      </c>
      <c r="G548" s="2" t="s">
        <v>14</v>
      </c>
      <c r="H548" s="2" t="s">
        <v>21</v>
      </c>
      <c r="I548" s="2" t="s">
        <v>22</v>
      </c>
      <c r="J548" s="2" t="s">
        <v>23</v>
      </c>
    </row>
    <row r="549" spans="1:10" x14ac:dyDescent="0.3">
      <c r="A549" s="2" t="s">
        <v>551</v>
      </c>
      <c r="B549" s="2" t="s">
        <v>35</v>
      </c>
      <c r="C549" s="2" t="s">
        <v>12</v>
      </c>
      <c r="D549" s="2">
        <v>1</v>
      </c>
      <c r="E549" s="2">
        <v>8901463651</v>
      </c>
      <c r="F549" s="2" t="s">
        <v>13</v>
      </c>
      <c r="G549" s="2" t="s">
        <v>14</v>
      </c>
      <c r="H549" s="2" t="s">
        <v>21</v>
      </c>
      <c r="I549" s="2" t="s">
        <v>22</v>
      </c>
      <c r="J549" s="2" t="s">
        <v>23</v>
      </c>
    </row>
    <row r="550" spans="1:10" x14ac:dyDescent="0.3">
      <c r="A550" s="2" t="s">
        <v>552</v>
      </c>
      <c r="B550" s="2" t="s">
        <v>35</v>
      </c>
      <c r="C550" s="2" t="s">
        <v>36</v>
      </c>
      <c r="D550" s="2">
        <v>1</v>
      </c>
      <c r="E550" s="2">
        <v>9800791989</v>
      </c>
      <c r="F550" s="2" t="s">
        <v>13</v>
      </c>
      <c r="G550" s="2" t="s">
        <v>20</v>
      </c>
      <c r="H550" s="2" t="s">
        <v>21</v>
      </c>
      <c r="I550" s="2" t="s">
        <v>37</v>
      </c>
      <c r="J550" s="2" t="s">
        <v>22</v>
      </c>
    </row>
    <row r="551" spans="1:10" x14ac:dyDescent="0.3">
      <c r="A551" s="2" t="s">
        <v>553</v>
      </c>
      <c r="B551" s="2" t="s">
        <v>32</v>
      </c>
      <c r="C551" s="2" t="s">
        <v>33</v>
      </c>
      <c r="D551" s="2">
        <v>7</v>
      </c>
      <c r="E551" s="2">
        <v>9400327196</v>
      </c>
      <c r="F551" s="2" t="s">
        <v>19</v>
      </c>
      <c r="G551" s="2" t="s">
        <v>20</v>
      </c>
      <c r="H551" s="2" t="s">
        <v>15</v>
      </c>
      <c r="I551" s="2" t="s">
        <v>29</v>
      </c>
      <c r="J551" s="2" t="s">
        <v>17</v>
      </c>
    </row>
    <row r="552" spans="1:10" x14ac:dyDescent="0.3">
      <c r="A552" s="2" t="s">
        <v>554</v>
      </c>
      <c r="B552" s="2" t="s">
        <v>35</v>
      </c>
      <c r="C552" s="2" t="s">
        <v>36</v>
      </c>
      <c r="D552" s="2">
        <v>1</v>
      </c>
      <c r="E552" s="2">
        <v>6391016261</v>
      </c>
      <c r="F552" s="2" t="s">
        <v>13</v>
      </c>
      <c r="G552" s="2" t="s">
        <v>14</v>
      </c>
      <c r="H552" s="2" t="s">
        <v>15</v>
      </c>
      <c r="I552" s="2" t="s">
        <v>37</v>
      </c>
      <c r="J552" s="2" t="s">
        <v>23</v>
      </c>
    </row>
    <row r="553" spans="1:10" x14ac:dyDescent="0.3">
      <c r="A553" s="2" t="s">
        <v>555</v>
      </c>
      <c r="B553" s="2" t="s">
        <v>35</v>
      </c>
      <c r="C553" s="2" t="s">
        <v>36</v>
      </c>
      <c r="D553" s="2">
        <v>1</v>
      </c>
      <c r="E553" s="2">
        <v>7335568316</v>
      </c>
      <c r="F553" s="2" t="s">
        <v>19</v>
      </c>
      <c r="G553" s="2" t="s">
        <v>20</v>
      </c>
      <c r="H553" s="2" t="s">
        <v>21</v>
      </c>
      <c r="I553" s="2" t="s">
        <v>37</v>
      </c>
      <c r="J553" s="2" t="s">
        <v>22</v>
      </c>
    </row>
    <row r="554" spans="1:10" x14ac:dyDescent="0.3">
      <c r="A554" s="2" t="s">
        <v>556</v>
      </c>
      <c r="B554" s="2" t="s">
        <v>25</v>
      </c>
      <c r="C554" s="2" t="s">
        <v>12</v>
      </c>
      <c r="D554" s="2">
        <v>5</v>
      </c>
      <c r="E554" s="2">
        <v>9537103484</v>
      </c>
      <c r="F554" s="2" t="s">
        <v>13</v>
      </c>
      <c r="G554" s="2" t="s">
        <v>20</v>
      </c>
      <c r="H554" s="2" t="s">
        <v>21</v>
      </c>
      <c r="I554" s="2" t="s">
        <v>22</v>
      </c>
      <c r="J554" s="2" t="s">
        <v>22</v>
      </c>
    </row>
    <row r="555" spans="1:10" x14ac:dyDescent="0.3">
      <c r="A555" s="2" t="s">
        <v>557</v>
      </c>
      <c r="B555" s="2" t="s">
        <v>32</v>
      </c>
      <c r="C555" s="2" t="s">
        <v>33</v>
      </c>
      <c r="D555" s="2">
        <v>7</v>
      </c>
      <c r="E555" s="2">
        <v>7557752541</v>
      </c>
      <c r="F555" s="2" t="s">
        <v>13</v>
      </c>
      <c r="G555" s="2" t="s">
        <v>14</v>
      </c>
      <c r="H555" s="2" t="s">
        <v>21</v>
      </c>
      <c r="I555" s="2" t="s">
        <v>29</v>
      </c>
      <c r="J555" s="2" t="s">
        <v>22</v>
      </c>
    </row>
    <row r="556" spans="1:10" x14ac:dyDescent="0.3">
      <c r="A556" s="2" t="s">
        <v>558</v>
      </c>
      <c r="B556" s="2" t="s">
        <v>32</v>
      </c>
      <c r="C556" s="2" t="s">
        <v>26</v>
      </c>
      <c r="D556" s="2">
        <v>7</v>
      </c>
      <c r="E556" s="2">
        <v>7263338417</v>
      </c>
      <c r="F556" s="2" t="s">
        <v>13</v>
      </c>
      <c r="G556" s="2" t="s">
        <v>14</v>
      </c>
      <c r="H556" s="2" t="s">
        <v>15</v>
      </c>
      <c r="I556" s="2" t="s">
        <v>16</v>
      </c>
      <c r="J556" s="2" t="s">
        <v>22</v>
      </c>
    </row>
    <row r="557" spans="1:10" x14ac:dyDescent="0.3">
      <c r="A557" s="2" t="s">
        <v>559</v>
      </c>
      <c r="B557" s="2" t="s">
        <v>32</v>
      </c>
      <c r="C557" s="2" t="s">
        <v>33</v>
      </c>
      <c r="D557" s="2">
        <v>7</v>
      </c>
      <c r="E557" s="2">
        <v>8898878405</v>
      </c>
      <c r="F557" s="2" t="s">
        <v>19</v>
      </c>
      <c r="G557" s="2" t="s">
        <v>20</v>
      </c>
      <c r="H557" s="2" t="s">
        <v>15</v>
      </c>
      <c r="I557" s="2" t="s">
        <v>29</v>
      </c>
      <c r="J557" s="2" t="s">
        <v>22</v>
      </c>
    </row>
    <row r="558" spans="1:10" x14ac:dyDescent="0.3">
      <c r="A558" s="2" t="s">
        <v>560</v>
      </c>
      <c r="B558" s="2" t="s">
        <v>25</v>
      </c>
      <c r="C558" s="2" t="s">
        <v>12</v>
      </c>
      <c r="D558" s="2">
        <v>5</v>
      </c>
      <c r="E558" s="2">
        <v>6370750663</v>
      </c>
      <c r="F558" s="2" t="s">
        <v>13</v>
      </c>
      <c r="G558" s="2" t="s">
        <v>14</v>
      </c>
      <c r="H558" s="2" t="s">
        <v>15</v>
      </c>
      <c r="I558" s="2" t="s">
        <v>22</v>
      </c>
      <c r="J558" s="2" t="s">
        <v>22</v>
      </c>
    </row>
    <row r="559" spans="1:10" x14ac:dyDescent="0.3">
      <c r="A559" s="2" t="s">
        <v>561</v>
      </c>
      <c r="B559" s="2" t="s">
        <v>11</v>
      </c>
      <c r="C559" s="2" t="s">
        <v>26</v>
      </c>
      <c r="D559" s="2">
        <v>3</v>
      </c>
      <c r="E559" s="2">
        <v>9470306834</v>
      </c>
      <c r="F559" s="2" t="s">
        <v>13</v>
      </c>
      <c r="G559" s="2" t="s">
        <v>20</v>
      </c>
      <c r="H559" s="2" t="s">
        <v>21</v>
      </c>
      <c r="I559" s="2" t="s">
        <v>22</v>
      </c>
      <c r="J559" s="2" t="s">
        <v>23</v>
      </c>
    </row>
    <row r="560" spans="1:10" x14ac:dyDescent="0.3">
      <c r="A560" s="2" t="s">
        <v>562</v>
      </c>
      <c r="B560" s="2" t="s">
        <v>32</v>
      </c>
      <c r="C560" s="2" t="s">
        <v>43</v>
      </c>
      <c r="D560" s="2">
        <v>7</v>
      </c>
      <c r="E560" s="2">
        <v>7140407908</v>
      </c>
      <c r="F560" s="2" t="s">
        <v>19</v>
      </c>
      <c r="G560" s="2" t="s">
        <v>20</v>
      </c>
      <c r="H560" s="2" t="s">
        <v>21</v>
      </c>
      <c r="I560" s="2" t="s">
        <v>37</v>
      </c>
      <c r="J560" s="2" t="s">
        <v>22</v>
      </c>
    </row>
    <row r="561" spans="1:10" x14ac:dyDescent="0.3">
      <c r="A561" s="2" t="s">
        <v>563</v>
      </c>
      <c r="B561" s="2" t="s">
        <v>32</v>
      </c>
      <c r="C561" s="2" t="s">
        <v>12</v>
      </c>
      <c r="D561" s="2">
        <v>7</v>
      </c>
      <c r="E561" s="2">
        <v>7219227246</v>
      </c>
      <c r="F561" s="2" t="s">
        <v>19</v>
      </c>
      <c r="G561" s="2" t="s">
        <v>20</v>
      </c>
      <c r="H561" s="2" t="s">
        <v>21</v>
      </c>
      <c r="I561" s="2" t="s">
        <v>16</v>
      </c>
      <c r="J561" s="2" t="s">
        <v>17</v>
      </c>
    </row>
    <row r="562" spans="1:10" x14ac:dyDescent="0.3">
      <c r="A562" s="2" t="s">
        <v>564</v>
      </c>
      <c r="B562" s="2" t="s">
        <v>25</v>
      </c>
      <c r="C562" s="2" t="s">
        <v>33</v>
      </c>
      <c r="D562" s="2">
        <v>5</v>
      </c>
      <c r="E562" s="2">
        <v>6924752263</v>
      </c>
      <c r="F562" s="2" t="s">
        <v>19</v>
      </c>
      <c r="G562" s="2" t="s">
        <v>14</v>
      </c>
      <c r="H562" s="2" t="s">
        <v>21</v>
      </c>
      <c r="I562" s="2" t="s">
        <v>41</v>
      </c>
      <c r="J562" s="2" t="s">
        <v>17</v>
      </c>
    </row>
    <row r="563" spans="1:10" x14ac:dyDescent="0.3">
      <c r="A563" s="2" t="s">
        <v>565</v>
      </c>
      <c r="B563" s="2" t="s">
        <v>25</v>
      </c>
      <c r="C563" s="2" t="s">
        <v>26</v>
      </c>
      <c r="D563" s="2">
        <v>5</v>
      </c>
      <c r="E563" s="2">
        <v>8571037427</v>
      </c>
      <c r="F563" s="2" t="s">
        <v>13</v>
      </c>
      <c r="G563" s="2" t="s">
        <v>20</v>
      </c>
      <c r="H563" s="2" t="s">
        <v>21</v>
      </c>
      <c r="I563" s="2" t="s">
        <v>22</v>
      </c>
      <c r="J563" s="2" t="s">
        <v>17</v>
      </c>
    </row>
    <row r="564" spans="1:10" x14ac:dyDescent="0.3">
      <c r="A564" s="2" t="s">
        <v>566</v>
      </c>
      <c r="B564" s="2" t="s">
        <v>11</v>
      </c>
      <c r="C564" s="2" t="s">
        <v>12</v>
      </c>
      <c r="D564" s="2">
        <v>3</v>
      </c>
      <c r="E564" s="2">
        <v>8906470231</v>
      </c>
      <c r="F564" s="2" t="s">
        <v>13</v>
      </c>
      <c r="G564" s="2" t="s">
        <v>14</v>
      </c>
      <c r="H564" s="2" t="s">
        <v>15</v>
      </c>
      <c r="I564" s="2" t="s">
        <v>16</v>
      </c>
      <c r="J564" s="2" t="s">
        <v>22</v>
      </c>
    </row>
    <row r="565" spans="1:10" x14ac:dyDescent="0.3">
      <c r="A565" s="2" t="s">
        <v>567</v>
      </c>
      <c r="B565" s="2" t="s">
        <v>25</v>
      </c>
      <c r="C565" s="2" t="s">
        <v>12</v>
      </c>
      <c r="D565" s="2">
        <v>5</v>
      </c>
      <c r="E565" s="2">
        <v>6855104557</v>
      </c>
      <c r="F565" s="2" t="s">
        <v>19</v>
      </c>
      <c r="G565" s="2" t="s">
        <v>20</v>
      </c>
      <c r="H565" s="2" t="s">
        <v>21</v>
      </c>
      <c r="I565" s="2" t="s">
        <v>41</v>
      </c>
      <c r="J565" s="2" t="s">
        <v>17</v>
      </c>
    </row>
    <row r="566" spans="1:10" x14ac:dyDescent="0.3">
      <c r="A566" s="2" t="s">
        <v>568</v>
      </c>
      <c r="B566" s="2" t="s">
        <v>32</v>
      </c>
      <c r="C566" s="2" t="s">
        <v>43</v>
      </c>
      <c r="D566" s="2">
        <v>7</v>
      </c>
      <c r="E566" s="2">
        <v>8510184689</v>
      </c>
      <c r="F566" s="2" t="s">
        <v>13</v>
      </c>
      <c r="G566" s="2" t="s">
        <v>20</v>
      </c>
      <c r="H566" s="2" t="s">
        <v>15</v>
      </c>
      <c r="I566" s="2" t="s">
        <v>27</v>
      </c>
      <c r="J566" s="2" t="s">
        <v>22</v>
      </c>
    </row>
    <row r="567" spans="1:10" x14ac:dyDescent="0.3">
      <c r="A567" s="2" t="s">
        <v>569</v>
      </c>
      <c r="B567" s="2" t="s">
        <v>32</v>
      </c>
      <c r="C567" s="2" t="s">
        <v>43</v>
      </c>
      <c r="D567" s="2">
        <v>7</v>
      </c>
      <c r="E567" s="2">
        <v>7941047717</v>
      </c>
      <c r="F567" s="2" t="s">
        <v>13</v>
      </c>
      <c r="G567" s="2" t="s">
        <v>20</v>
      </c>
      <c r="H567" s="2" t="s">
        <v>21</v>
      </c>
      <c r="I567" s="2" t="s">
        <v>41</v>
      </c>
      <c r="J567" s="2" t="s">
        <v>22</v>
      </c>
    </row>
    <row r="568" spans="1:10" x14ac:dyDescent="0.3">
      <c r="A568" s="2" t="s">
        <v>570</v>
      </c>
      <c r="B568" s="2" t="s">
        <v>32</v>
      </c>
      <c r="C568" s="2" t="s">
        <v>36</v>
      </c>
      <c r="D568" s="2">
        <v>7</v>
      </c>
      <c r="E568" s="2">
        <v>8133614467</v>
      </c>
      <c r="F568" s="2" t="s">
        <v>19</v>
      </c>
      <c r="G568" s="2" t="s">
        <v>14</v>
      </c>
      <c r="H568" s="2" t="s">
        <v>15</v>
      </c>
      <c r="I568" s="2" t="s">
        <v>41</v>
      </c>
      <c r="J568" s="2" t="s">
        <v>17</v>
      </c>
    </row>
    <row r="569" spans="1:10" x14ac:dyDescent="0.3">
      <c r="A569" s="2" t="s">
        <v>571</v>
      </c>
      <c r="B569" s="2" t="s">
        <v>11</v>
      </c>
      <c r="C569" s="2" t="s">
        <v>36</v>
      </c>
      <c r="D569" s="2">
        <v>3</v>
      </c>
      <c r="E569" s="2">
        <v>6891077641</v>
      </c>
      <c r="F569" s="2" t="s">
        <v>13</v>
      </c>
      <c r="G569" s="2" t="s">
        <v>20</v>
      </c>
      <c r="H569" s="2" t="s">
        <v>15</v>
      </c>
      <c r="I569" s="2" t="s">
        <v>22</v>
      </c>
      <c r="J569" s="2" t="s">
        <v>22</v>
      </c>
    </row>
    <row r="570" spans="1:10" x14ac:dyDescent="0.3">
      <c r="A570" s="2" t="s">
        <v>572</v>
      </c>
      <c r="B570" s="2" t="s">
        <v>25</v>
      </c>
      <c r="C570" s="2" t="s">
        <v>26</v>
      </c>
      <c r="D570" s="2">
        <v>5</v>
      </c>
      <c r="E570" s="2">
        <v>7076837972</v>
      </c>
      <c r="F570" s="2" t="s">
        <v>19</v>
      </c>
      <c r="G570" s="2" t="s">
        <v>14</v>
      </c>
      <c r="H570" s="2" t="s">
        <v>15</v>
      </c>
      <c r="I570" s="2" t="s">
        <v>16</v>
      </c>
      <c r="J570" s="2" t="s">
        <v>17</v>
      </c>
    </row>
    <row r="571" spans="1:10" x14ac:dyDescent="0.3">
      <c r="A571" s="2" t="s">
        <v>65</v>
      </c>
      <c r="B571" s="2" t="s">
        <v>25</v>
      </c>
      <c r="C571" s="2" t="s">
        <v>36</v>
      </c>
      <c r="D571" s="2">
        <v>5</v>
      </c>
      <c r="E571" s="2">
        <v>6659008742</v>
      </c>
      <c r="F571" s="2" t="s">
        <v>19</v>
      </c>
      <c r="G571" s="2" t="s">
        <v>20</v>
      </c>
      <c r="H571" s="2" t="s">
        <v>21</v>
      </c>
      <c r="I571" s="2" t="s">
        <v>27</v>
      </c>
      <c r="J571" s="2" t="s">
        <v>22</v>
      </c>
    </row>
    <row r="572" spans="1:10" x14ac:dyDescent="0.3">
      <c r="A572" s="2" t="s">
        <v>573</v>
      </c>
      <c r="B572" s="2" t="s">
        <v>35</v>
      </c>
      <c r="C572" s="2" t="s">
        <v>12</v>
      </c>
      <c r="D572" s="2">
        <v>1</v>
      </c>
      <c r="E572" s="2">
        <v>6581669564</v>
      </c>
      <c r="F572" s="2" t="s">
        <v>19</v>
      </c>
      <c r="G572" s="2" t="s">
        <v>14</v>
      </c>
      <c r="H572" s="2" t="s">
        <v>15</v>
      </c>
      <c r="I572" s="2" t="s">
        <v>22</v>
      </c>
      <c r="J572" s="2" t="s">
        <v>23</v>
      </c>
    </row>
    <row r="573" spans="1:10" x14ac:dyDescent="0.3">
      <c r="A573" s="2" t="s">
        <v>574</v>
      </c>
      <c r="B573" s="2" t="s">
        <v>11</v>
      </c>
      <c r="C573" s="2" t="s">
        <v>33</v>
      </c>
      <c r="D573" s="2">
        <v>3</v>
      </c>
      <c r="E573" s="2">
        <v>7576405064</v>
      </c>
      <c r="F573" s="2" t="s">
        <v>19</v>
      </c>
      <c r="G573" s="2" t="s">
        <v>20</v>
      </c>
      <c r="H573" s="2" t="s">
        <v>15</v>
      </c>
      <c r="I573" s="2" t="s">
        <v>22</v>
      </c>
      <c r="J573" s="2" t="s">
        <v>17</v>
      </c>
    </row>
    <row r="574" spans="1:10" x14ac:dyDescent="0.3">
      <c r="A574" s="2" t="s">
        <v>575</v>
      </c>
      <c r="B574" s="2" t="s">
        <v>35</v>
      </c>
      <c r="C574" s="2" t="s">
        <v>26</v>
      </c>
      <c r="D574" s="2">
        <v>1</v>
      </c>
      <c r="E574" s="2">
        <v>8640490987</v>
      </c>
      <c r="F574" s="2" t="s">
        <v>19</v>
      </c>
      <c r="G574" s="2" t="s">
        <v>20</v>
      </c>
      <c r="H574" s="2" t="s">
        <v>21</v>
      </c>
      <c r="I574" s="2" t="s">
        <v>22</v>
      </c>
      <c r="J574" s="2" t="s">
        <v>22</v>
      </c>
    </row>
    <row r="575" spans="1:10" x14ac:dyDescent="0.3">
      <c r="A575" s="2" t="s">
        <v>576</v>
      </c>
      <c r="B575" s="2" t="s">
        <v>25</v>
      </c>
      <c r="C575" s="2" t="s">
        <v>36</v>
      </c>
      <c r="D575" s="2">
        <v>5</v>
      </c>
      <c r="E575" s="2">
        <v>7857290666</v>
      </c>
      <c r="F575" s="2" t="s">
        <v>19</v>
      </c>
      <c r="G575" s="2" t="s">
        <v>20</v>
      </c>
      <c r="H575" s="2" t="s">
        <v>21</v>
      </c>
      <c r="I575" s="2" t="s">
        <v>29</v>
      </c>
      <c r="J575" s="2" t="s">
        <v>23</v>
      </c>
    </row>
    <row r="576" spans="1:10" x14ac:dyDescent="0.3">
      <c r="A576" s="2" t="s">
        <v>577</v>
      </c>
      <c r="B576" s="2" t="s">
        <v>11</v>
      </c>
      <c r="C576" s="2" t="s">
        <v>36</v>
      </c>
      <c r="D576" s="2">
        <v>3</v>
      </c>
      <c r="E576" s="2">
        <v>9677037792</v>
      </c>
      <c r="F576" s="2" t="s">
        <v>19</v>
      </c>
      <c r="G576" s="2" t="s">
        <v>14</v>
      </c>
      <c r="H576" s="2" t="s">
        <v>21</v>
      </c>
      <c r="I576" s="2" t="s">
        <v>22</v>
      </c>
      <c r="J576" s="2" t="s">
        <v>22</v>
      </c>
    </row>
    <row r="577" spans="1:10" x14ac:dyDescent="0.3">
      <c r="A577" s="2" t="s">
        <v>92</v>
      </c>
      <c r="B577" s="2" t="s">
        <v>25</v>
      </c>
      <c r="C577" s="2" t="s">
        <v>26</v>
      </c>
      <c r="D577" s="2">
        <v>5</v>
      </c>
      <c r="E577" s="2">
        <v>8033326799</v>
      </c>
      <c r="F577" s="2" t="s">
        <v>13</v>
      </c>
      <c r="G577" s="2" t="s">
        <v>14</v>
      </c>
      <c r="H577" s="2" t="s">
        <v>21</v>
      </c>
      <c r="I577" s="2" t="s">
        <v>22</v>
      </c>
      <c r="J577" s="2" t="s">
        <v>17</v>
      </c>
    </row>
    <row r="578" spans="1:10" x14ac:dyDescent="0.3">
      <c r="A578" s="2" t="s">
        <v>578</v>
      </c>
      <c r="B578" s="2" t="s">
        <v>32</v>
      </c>
      <c r="C578" s="2" t="s">
        <v>36</v>
      </c>
      <c r="D578" s="2">
        <v>7</v>
      </c>
      <c r="E578" s="2">
        <v>8758669981</v>
      </c>
      <c r="F578" s="2" t="s">
        <v>13</v>
      </c>
      <c r="G578" s="2" t="s">
        <v>20</v>
      </c>
      <c r="H578" s="2" t="s">
        <v>15</v>
      </c>
      <c r="I578" s="2" t="s">
        <v>37</v>
      </c>
      <c r="J578" s="2" t="s">
        <v>22</v>
      </c>
    </row>
    <row r="579" spans="1:10" x14ac:dyDescent="0.3">
      <c r="A579" s="2" t="s">
        <v>579</v>
      </c>
      <c r="B579" s="2" t="s">
        <v>25</v>
      </c>
      <c r="C579" s="2" t="s">
        <v>12</v>
      </c>
      <c r="D579" s="2">
        <v>5</v>
      </c>
      <c r="E579" s="2">
        <v>9121064857</v>
      </c>
      <c r="F579" s="2" t="s">
        <v>13</v>
      </c>
      <c r="G579" s="2" t="s">
        <v>20</v>
      </c>
      <c r="H579" s="2" t="s">
        <v>15</v>
      </c>
      <c r="I579" s="2" t="s">
        <v>41</v>
      </c>
      <c r="J579" s="2" t="s">
        <v>23</v>
      </c>
    </row>
    <row r="580" spans="1:10" x14ac:dyDescent="0.3">
      <c r="A580" s="2" t="s">
        <v>580</v>
      </c>
      <c r="B580" s="2" t="s">
        <v>32</v>
      </c>
      <c r="C580" s="2" t="s">
        <v>43</v>
      </c>
      <c r="D580" s="2">
        <v>7</v>
      </c>
      <c r="E580" s="2">
        <v>7774928235</v>
      </c>
      <c r="F580" s="2" t="s">
        <v>13</v>
      </c>
      <c r="G580" s="2" t="s">
        <v>20</v>
      </c>
      <c r="H580" s="2" t="s">
        <v>21</v>
      </c>
      <c r="I580" s="2" t="s">
        <v>22</v>
      </c>
      <c r="J580" s="2" t="s">
        <v>23</v>
      </c>
    </row>
    <row r="581" spans="1:10" x14ac:dyDescent="0.3">
      <c r="A581" s="2" t="s">
        <v>581</v>
      </c>
      <c r="B581" s="2" t="s">
        <v>32</v>
      </c>
      <c r="C581" s="2" t="s">
        <v>26</v>
      </c>
      <c r="D581" s="2">
        <v>7</v>
      </c>
      <c r="E581" s="2">
        <v>6318602399</v>
      </c>
      <c r="F581" s="2" t="s">
        <v>13</v>
      </c>
      <c r="G581" s="2" t="s">
        <v>20</v>
      </c>
      <c r="H581" s="2" t="s">
        <v>21</v>
      </c>
      <c r="I581" s="2" t="s">
        <v>29</v>
      </c>
      <c r="J581" s="2" t="s">
        <v>17</v>
      </c>
    </row>
    <row r="582" spans="1:10" x14ac:dyDescent="0.3">
      <c r="A582" s="2" t="s">
        <v>582</v>
      </c>
      <c r="B582" s="2" t="s">
        <v>32</v>
      </c>
      <c r="C582" s="2" t="s">
        <v>26</v>
      </c>
      <c r="D582" s="2">
        <v>7</v>
      </c>
      <c r="E582" s="2">
        <v>9474566659</v>
      </c>
      <c r="F582" s="2" t="s">
        <v>19</v>
      </c>
      <c r="G582" s="2" t="s">
        <v>20</v>
      </c>
      <c r="H582" s="2" t="s">
        <v>15</v>
      </c>
      <c r="I582" s="2" t="s">
        <v>29</v>
      </c>
      <c r="J582" s="2" t="s">
        <v>23</v>
      </c>
    </row>
    <row r="583" spans="1:10" x14ac:dyDescent="0.3">
      <c r="A583" s="2" t="s">
        <v>583</v>
      </c>
      <c r="B583" s="2" t="s">
        <v>35</v>
      </c>
      <c r="C583" s="2" t="s">
        <v>26</v>
      </c>
      <c r="D583" s="2">
        <v>1</v>
      </c>
      <c r="E583" s="2">
        <v>7530342597</v>
      </c>
      <c r="F583" s="2" t="s">
        <v>19</v>
      </c>
      <c r="G583" s="2" t="s">
        <v>14</v>
      </c>
      <c r="H583" s="2" t="s">
        <v>15</v>
      </c>
      <c r="I583" s="2" t="s">
        <v>29</v>
      </c>
      <c r="J583" s="2" t="s">
        <v>17</v>
      </c>
    </row>
    <row r="584" spans="1:10" x14ac:dyDescent="0.3">
      <c r="A584" s="2" t="s">
        <v>584</v>
      </c>
      <c r="B584" s="2" t="s">
        <v>11</v>
      </c>
      <c r="C584" s="2" t="s">
        <v>26</v>
      </c>
      <c r="D584" s="2">
        <v>3</v>
      </c>
      <c r="E584" s="2">
        <v>7507724242</v>
      </c>
      <c r="F584" s="2" t="s">
        <v>19</v>
      </c>
      <c r="G584" s="2" t="s">
        <v>20</v>
      </c>
      <c r="H584" s="2" t="s">
        <v>15</v>
      </c>
      <c r="I584" s="2" t="s">
        <v>37</v>
      </c>
      <c r="J584" s="2" t="s">
        <v>17</v>
      </c>
    </row>
    <row r="585" spans="1:10" x14ac:dyDescent="0.3">
      <c r="A585" s="2" t="s">
        <v>585</v>
      </c>
      <c r="B585" s="2" t="s">
        <v>35</v>
      </c>
      <c r="C585" s="2" t="s">
        <v>36</v>
      </c>
      <c r="D585" s="2">
        <v>1</v>
      </c>
      <c r="E585" s="2">
        <v>9415389868</v>
      </c>
      <c r="F585" s="2" t="s">
        <v>13</v>
      </c>
      <c r="G585" s="2" t="s">
        <v>20</v>
      </c>
      <c r="H585" s="2" t="s">
        <v>15</v>
      </c>
      <c r="I585" s="2" t="s">
        <v>22</v>
      </c>
      <c r="J585" s="2" t="s">
        <v>22</v>
      </c>
    </row>
    <row r="586" spans="1:10" x14ac:dyDescent="0.3">
      <c r="A586" s="2" t="s">
        <v>60</v>
      </c>
      <c r="B586" s="2" t="s">
        <v>25</v>
      </c>
      <c r="C586" s="2" t="s">
        <v>33</v>
      </c>
      <c r="D586" s="2">
        <v>5</v>
      </c>
      <c r="E586" s="2">
        <v>8472602880</v>
      </c>
      <c r="F586" s="2" t="s">
        <v>19</v>
      </c>
      <c r="G586" s="2" t="s">
        <v>20</v>
      </c>
      <c r="H586" s="2" t="s">
        <v>21</v>
      </c>
      <c r="I586" s="2" t="s">
        <v>16</v>
      </c>
      <c r="J586" s="2" t="s">
        <v>22</v>
      </c>
    </row>
    <row r="587" spans="1:10" x14ac:dyDescent="0.3">
      <c r="A587" s="2" t="s">
        <v>586</v>
      </c>
      <c r="B587" s="2" t="s">
        <v>25</v>
      </c>
      <c r="C587" s="2" t="s">
        <v>12</v>
      </c>
      <c r="D587" s="2">
        <v>5</v>
      </c>
      <c r="E587" s="2">
        <v>6362530497</v>
      </c>
      <c r="F587" s="2" t="s">
        <v>13</v>
      </c>
      <c r="G587" s="2" t="s">
        <v>20</v>
      </c>
      <c r="H587" s="2" t="s">
        <v>15</v>
      </c>
      <c r="I587" s="2" t="s">
        <v>29</v>
      </c>
      <c r="J587" s="2" t="s">
        <v>22</v>
      </c>
    </row>
    <row r="588" spans="1:10" x14ac:dyDescent="0.3">
      <c r="A588" s="2" t="s">
        <v>587</v>
      </c>
      <c r="B588" s="2" t="s">
        <v>32</v>
      </c>
      <c r="C588" s="2" t="s">
        <v>43</v>
      </c>
      <c r="D588" s="2">
        <v>7</v>
      </c>
      <c r="E588" s="2">
        <v>8222411847</v>
      </c>
      <c r="F588" s="2" t="s">
        <v>19</v>
      </c>
      <c r="G588" s="2" t="s">
        <v>14</v>
      </c>
      <c r="H588" s="2" t="s">
        <v>15</v>
      </c>
      <c r="I588" s="2" t="s">
        <v>29</v>
      </c>
      <c r="J588" s="2" t="s">
        <v>17</v>
      </c>
    </row>
    <row r="589" spans="1:10" x14ac:dyDescent="0.3">
      <c r="A589" s="2" t="s">
        <v>588</v>
      </c>
      <c r="B589" s="2" t="s">
        <v>25</v>
      </c>
      <c r="C589" s="2" t="s">
        <v>36</v>
      </c>
      <c r="D589" s="2">
        <v>5</v>
      </c>
      <c r="E589" s="2">
        <v>6121596566</v>
      </c>
      <c r="F589" s="2" t="s">
        <v>19</v>
      </c>
      <c r="G589" s="2" t="s">
        <v>20</v>
      </c>
      <c r="H589" s="2" t="s">
        <v>21</v>
      </c>
      <c r="I589" s="2" t="s">
        <v>27</v>
      </c>
      <c r="J589" s="2" t="s">
        <v>22</v>
      </c>
    </row>
    <row r="590" spans="1:10" x14ac:dyDescent="0.3">
      <c r="A590" s="2" t="s">
        <v>589</v>
      </c>
      <c r="B590" s="2" t="s">
        <v>25</v>
      </c>
      <c r="C590" s="2" t="s">
        <v>33</v>
      </c>
      <c r="D590" s="2">
        <v>5</v>
      </c>
      <c r="E590" s="2">
        <v>8856174190</v>
      </c>
      <c r="F590" s="2" t="s">
        <v>13</v>
      </c>
      <c r="G590" s="2" t="s">
        <v>14</v>
      </c>
      <c r="H590" s="2" t="s">
        <v>15</v>
      </c>
      <c r="I590" s="2" t="s">
        <v>22</v>
      </c>
      <c r="J590" s="2" t="s">
        <v>22</v>
      </c>
    </row>
    <row r="591" spans="1:10" x14ac:dyDescent="0.3">
      <c r="A591" s="2" t="s">
        <v>590</v>
      </c>
      <c r="B591" s="2" t="s">
        <v>35</v>
      </c>
      <c r="C591" s="2" t="s">
        <v>36</v>
      </c>
      <c r="D591" s="2">
        <v>1</v>
      </c>
      <c r="E591" s="2">
        <v>7814362402</v>
      </c>
      <c r="F591" s="2" t="s">
        <v>19</v>
      </c>
      <c r="G591" s="2" t="s">
        <v>20</v>
      </c>
      <c r="H591" s="2" t="s">
        <v>15</v>
      </c>
      <c r="I591" s="2" t="s">
        <v>37</v>
      </c>
      <c r="J591" s="2" t="s">
        <v>17</v>
      </c>
    </row>
    <row r="592" spans="1:10" x14ac:dyDescent="0.3">
      <c r="A592" s="2" t="s">
        <v>591</v>
      </c>
      <c r="B592" s="2" t="s">
        <v>11</v>
      </c>
      <c r="C592" s="2" t="s">
        <v>36</v>
      </c>
      <c r="D592" s="2">
        <v>3</v>
      </c>
      <c r="E592" s="2">
        <v>8508206749</v>
      </c>
      <c r="F592" s="2" t="s">
        <v>13</v>
      </c>
      <c r="G592" s="2" t="s">
        <v>20</v>
      </c>
      <c r="H592" s="2" t="s">
        <v>15</v>
      </c>
      <c r="I592" s="2" t="s">
        <v>27</v>
      </c>
      <c r="J592" s="2" t="s">
        <v>22</v>
      </c>
    </row>
    <row r="593" spans="1:10" x14ac:dyDescent="0.3">
      <c r="A593" s="2" t="s">
        <v>592</v>
      </c>
      <c r="B593" s="2" t="s">
        <v>11</v>
      </c>
      <c r="C593" s="2" t="s">
        <v>26</v>
      </c>
      <c r="D593" s="2">
        <v>3</v>
      </c>
      <c r="E593" s="2">
        <v>9184741974</v>
      </c>
      <c r="F593" s="2" t="s">
        <v>13</v>
      </c>
      <c r="G593" s="2" t="s">
        <v>14</v>
      </c>
      <c r="H593" s="2" t="s">
        <v>21</v>
      </c>
      <c r="I593" s="2" t="s">
        <v>16</v>
      </c>
      <c r="J593" s="2" t="s">
        <v>17</v>
      </c>
    </row>
    <row r="594" spans="1:10" x14ac:dyDescent="0.3">
      <c r="A594" s="2" t="s">
        <v>593</v>
      </c>
      <c r="B594" s="2" t="s">
        <v>32</v>
      </c>
      <c r="C594" s="2" t="s">
        <v>33</v>
      </c>
      <c r="D594" s="2">
        <v>7</v>
      </c>
      <c r="E594" s="2">
        <v>8306373241</v>
      </c>
      <c r="F594" s="2" t="s">
        <v>13</v>
      </c>
      <c r="G594" s="2" t="s">
        <v>14</v>
      </c>
      <c r="H594" s="2" t="s">
        <v>21</v>
      </c>
      <c r="I594" s="2" t="s">
        <v>27</v>
      </c>
      <c r="J594" s="2" t="s">
        <v>23</v>
      </c>
    </row>
    <row r="595" spans="1:10" x14ac:dyDescent="0.3">
      <c r="A595" s="2" t="s">
        <v>594</v>
      </c>
      <c r="B595" s="2" t="s">
        <v>32</v>
      </c>
      <c r="C595" s="2" t="s">
        <v>33</v>
      </c>
      <c r="D595" s="2">
        <v>7</v>
      </c>
      <c r="E595" s="2">
        <v>6583374756</v>
      </c>
      <c r="F595" s="2" t="s">
        <v>19</v>
      </c>
      <c r="G595" s="2" t="s">
        <v>14</v>
      </c>
      <c r="H595" s="2" t="s">
        <v>15</v>
      </c>
      <c r="I595" s="2" t="s">
        <v>22</v>
      </c>
      <c r="J595" s="2" t="s">
        <v>17</v>
      </c>
    </row>
    <row r="596" spans="1:10" x14ac:dyDescent="0.3">
      <c r="A596" s="2" t="s">
        <v>595</v>
      </c>
      <c r="B596" s="2" t="s">
        <v>11</v>
      </c>
      <c r="C596" s="2" t="s">
        <v>36</v>
      </c>
      <c r="D596" s="2">
        <v>3</v>
      </c>
      <c r="E596" s="2">
        <v>6326243264</v>
      </c>
      <c r="F596" s="2" t="s">
        <v>13</v>
      </c>
      <c r="G596" s="2" t="s">
        <v>20</v>
      </c>
      <c r="H596" s="2" t="s">
        <v>15</v>
      </c>
      <c r="I596" s="2" t="s">
        <v>16</v>
      </c>
      <c r="J596" s="2" t="s">
        <v>17</v>
      </c>
    </row>
    <row r="597" spans="1:10" x14ac:dyDescent="0.3">
      <c r="A597" s="2" t="s">
        <v>596</v>
      </c>
      <c r="B597" s="2" t="s">
        <v>35</v>
      </c>
      <c r="C597" s="2" t="s">
        <v>43</v>
      </c>
      <c r="D597" s="2">
        <v>1</v>
      </c>
      <c r="E597" s="2">
        <v>6858107343</v>
      </c>
      <c r="F597" s="2" t="s">
        <v>13</v>
      </c>
      <c r="G597" s="2" t="s">
        <v>14</v>
      </c>
      <c r="H597" s="2" t="s">
        <v>21</v>
      </c>
      <c r="I597" s="2" t="s">
        <v>41</v>
      </c>
      <c r="J597" s="2" t="s">
        <v>22</v>
      </c>
    </row>
    <row r="598" spans="1:10" x14ac:dyDescent="0.3">
      <c r="A598" s="2" t="s">
        <v>597</v>
      </c>
      <c r="B598" s="2" t="s">
        <v>11</v>
      </c>
      <c r="C598" s="2" t="s">
        <v>33</v>
      </c>
      <c r="D598" s="2">
        <v>3</v>
      </c>
      <c r="E598" s="2">
        <v>6711963659</v>
      </c>
      <c r="F598" s="2" t="s">
        <v>19</v>
      </c>
      <c r="G598" s="2" t="s">
        <v>14</v>
      </c>
      <c r="H598" s="2" t="s">
        <v>15</v>
      </c>
      <c r="I598" s="2" t="s">
        <v>37</v>
      </c>
      <c r="J598" s="2" t="s">
        <v>17</v>
      </c>
    </row>
    <row r="599" spans="1:10" x14ac:dyDescent="0.3">
      <c r="A599" s="2" t="s">
        <v>165</v>
      </c>
      <c r="B599" s="2" t="s">
        <v>25</v>
      </c>
      <c r="C599" s="2" t="s">
        <v>36</v>
      </c>
      <c r="D599" s="2">
        <v>5</v>
      </c>
      <c r="E599" s="2">
        <v>6259634603</v>
      </c>
      <c r="F599" s="2" t="s">
        <v>13</v>
      </c>
      <c r="G599" s="2" t="s">
        <v>20</v>
      </c>
      <c r="H599" s="2" t="s">
        <v>15</v>
      </c>
      <c r="I599" s="2" t="s">
        <v>22</v>
      </c>
      <c r="J599" s="2" t="s">
        <v>22</v>
      </c>
    </row>
    <row r="600" spans="1:10" x14ac:dyDescent="0.3">
      <c r="A600" s="2" t="s">
        <v>598</v>
      </c>
      <c r="B600" s="2" t="s">
        <v>25</v>
      </c>
      <c r="C600" s="2" t="s">
        <v>36</v>
      </c>
      <c r="D600" s="2">
        <v>5</v>
      </c>
      <c r="E600" s="2">
        <v>8400810214</v>
      </c>
      <c r="F600" s="2" t="s">
        <v>19</v>
      </c>
      <c r="G600" s="2" t="s">
        <v>20</v>
      </c>
      <c r="H600" s="2" t="s">
        <v>15</v>
      </c>
      <c r="I600" s="2" t="s">
        <v>22</v>
      </c>
      <c r="J600" s="2" t="s">
        <v>22</v>
      </c>
    </row>
    <row r="601" spans="1:10" x14ac:dyDescent="0.3">
      <c r="A601" s="2" t="s">
        <v>599</v>
      </c>
      <c r="B601" s="2" t="s">
        <v>25</v>
      </c>
      <c r="C601" s="2" t="s">
        <v>33</v>
      </c>
      <c r="D601" s="2">
        <v>5</v>
      </c>
      <c r="E601" s="2">
        <v>8782214667</v>
      </c>
      <c r="F601" s="2" t="s">
        <v>13</v>
      </c>
      <c r="G601" s="2" t="s">
        <v>14</v>
      </c>
      <c r="H601" s="2" t="s">
        <v>21</v>
      </c>
      <c r="I601" s="2" t="s">
        <v>16</v>
      </c>
      <c r="J601" s="2" t="s">
        <v>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608C-7044-450B-8F60-8EC9F532A8CC}">
  <dimension ref="A1:AB601"/>
  <sheetViews>
    <sheetView tabSelected="1" topLeftCell="J1" zoomScale="94" zoomScaleNormal="94" workbookViewId="0">
      <selection activeCell="M32" sqref="M32"/>
    </sheetView>
  </sheetViews>
  <sheetFormatPr defaultRowHeight="14.4" x14ac:dyDescent="0.3"/>
  <cols>
    <col min="1" max="1" width="17.77734375" bestFit="1" customWidth="1"/>
    <col min="2" max="2" width="4.6640625" bestFit="1" customWidth="1"/>
    <col min="3" max="3" width="11.109375" bestFit="1" customWidth="1"/>
    <col min="4" max="4" width="8.77734375" bestFit="1" customWidth="1"/>
    <col min="5" max="5" width="13.88671875" bestFit="1" customWidth="1"/>
    <col min="6" max="6" width="17.5546875" bestFit="1" customWidth="1"/>
    <col min="7" max="7" width="16" bestFit="1" customWidth="1"/>
    <col min="8" max="8" width="14.88671875" bestFit="1" customWidth="1"/>
    <col min="9" max="9" width="20.109375" bestFit="1" customWidth="1"/>
    <col min="10" max="10" width="22.77734375" bestFit="1" customWidth="1"/>
    <col min="11" max="11" width="9.6640625" customWidth="1"/>
    <col min="12" max="12" width="15.5546875" customWidth="1"/>
    <col min="13" max="13" width="16.21875" bestFit="1" customWidth="1"/>
    <col min="14" max="14" width="13.33203125" bestFit="1" customWidth="1"/>
    <col min="15" max="15" width="19.6640625" customWidth="1"/>
    <col min="16" max="16" width="26.44140625" customWidth="1"/>
    <col min="17" max="17" width="21.21875" customWidth="1"/>
    <col min="18" max="18" width="20.21875" customWidth="1"/>
    <col min="19" max="19" width="22.77734375" bestFit="1" customWidth="1"/>
    <col min="20" max="20" width="22.77734375" customWidth="1"/>
    <col min="21" max="21" width="27" customWidth="1"/>
  </cols>
  <sheetData>
    <row r="1" spans="1:28" x14ac:dyDescent="0.3">
      <c r="A1" s="3" t="s">
        <v>0</v>
      </c>
      <c r="B1" s="3" t="s">
        <v>1</v>
      </c>
      <c r="C1" s="3" t="s">
        <v>2</v>
      </c>
      <c r="D1" s="3" t="s">
        <v>3</v>
      </c>
      <c r="E1" s="3" t="s">
        <v>4</v>
      </c>
      <c r="F1" s="3" t="s">
        <v>5</v>
      </c>
      <c r="G1" s="3" t="s">
        <v>6</v>
      </c>
      <c r="H1" s="3" t="s">
        <v>7</v>
      </c>
      <c r="I1" s="3" t="s">
        <v>8</v>
      </c>
      <c r="J1" s="3" t="s">
        <v>9</v>
      </c>
    </row>
    <row r="2" spans="1:28" x14ac:dyDescent="0.3">
      <c r="A2" s="2" t="s">
        <v>10</v>
      </c>
      <c r="B2" s="2" t="s">
        <v>11</v>
      </c>
      <c r="C2" s="2" t="s">
        <v>12</v>
      </c>
      <c r="D2" s="2">
        <v>3</v>
      </c>
      <c r="E2" s="2">
        <v>9706233821</v>
      </c>
      <c r="F2" s="2" t="s">
        <v>13</v>
      </c>
      <c r="G2" s="2" t="s">
        <v>14</v>
      </c>
      <c r="H2" s="2" t="s">
        <v>15</v>
      </c>
      <c r="I2" s="2" t="s">
        <v>16</v>
      </c>
      <c r="J2" s="2" t="s">
        <v>17</v>
      </c>
      <c r="M2" s="33" t="s">
        <v>649</v>
      </c>
    </row>
    <row r="3" spans="1:28" x14ac:dyDescent="0.3">
      <c r="A3" s="2" t="s">
        <v>18</v>
      </c>
      <c r="B3" s="2" t="s">
        <v>11</v>
      </c>
      <c r="C3" s="2" t="s">
        <v>12</v>
      </c>
      <c r="D3" s="2">
        <v>3</v>
      </c>
      <c r="E3" s="2">
        <v>6669525518</v>
      </c>
      <c r="F3" s="2" t="s">
        <v>19</v>
      </c>
      <c r="G3" s="2" t="s">
        <v>20</v>
      </c>
      <c r="H3" s="2" t="s">
        <v>21</v>
      </c>
      <c r="I3" s="2" t="s">
        <v>22</v>
      </c>
      <c r="J3" s="2" t="s">
        <v>23</v>
      </c>
    </row>
    <row r="4" spans="1:28" x14ac:dyDescent="0.3">
      <c r="A4" s="2" t="s">
        <v>24</v>
      </c>
      <c r="B4" s="2" t="s">
        <v>25</v>
      </c>
      <c r="C4" s="2" t="s">
        <v>26</v>
      </c>
      <c r="D4" s="2">
        <v>5</v>
      </c>
      <c r="E4" s="2">
        <v>6105851450</v>
      </c>
      <c r="F4" s="2" t="s">
        <v>13</v>
      </c>
      <c r="G4" s="2" t="s">
        <v>14</v>
      </c>
      <c r="H4" s="2" t="s">
        <v>15</v>
      </c>
      <c r="I4" s="2" t="s">
        <v>27</v>
      </c>
      <c r="J4" s="2" t="s">
        <v>22</v>
      </c>
      <c r="L4" s="25" t="s">
        <v>668</v>
      </c>
      <c r="M4" s="25"/>
      <c r="N4" s="25"/>
      <c r="O4" s="25"/>
      <c r="P4" s="25"/>
      <c r="Q4" s="25"/>
      <c r="R4" s="25"/>
      <c r="S4" s="25"/>
      <c r="T4" s="25"/>
      <c r="U4" s="25"/>
      <c r="V4" s="25"/>
      <c r="W4" s="25"/>
      <c r="X4" s="25"/>
      <c r="Y4" s="25"/>
      <c r="Z4" s="25"/>
      <c r="AA4" s="25"/>
      <c r="AB4" s="25"/>
    </row>
    <row r="5" spans="1:28" x14ac:dyDescent="0.3">
      <c r="A5" s="2" t="s">
        <v>28</v>
      </c>
      <c r="B5" s="2" t="s">
        <v>11</v>
      </c>
      <c r="C5" s="2" t="s">
        <v>26</v>
      </c>
      <c r="D5" s="2">
        <v>3</v>
      </c>
      <c r="E5" s="2">
        <v>6421418421</v>
      </c>
      <c r="F5" s="2" t="s">
        <v>19</v>
      </c>
      <c r="G5" s="2" t="s">
        <v>20</v>
      </c>
      <c r="H5" s="2" t="s">
        <v>21</v>
      </c>
      <c r="I5" s="2" t="s">
        <v>29</v>
      </c>
      <c r="J5" s="2" t="s">
        <v>17</v>
      </c>
    </row>
    <row r="6" spans="1:28" x14ac:dyDescent="0.3">
      <c r="A6" s="2" t="s">
        <v>30</v>
      </c>
      <c r="B6" s="2" t="s">
        <v>25</v>
      </c>
      <c r="C6" s="2" t="s">
        <v>12</v>
      </c>
      <c r="D6" s="2">
        <v>5</v>
      </c>
      <c r="E6" s="2">
        <v>6345416297</v>
      </c>
      <c r="F6" s="2" t="s">
        <v>19</v>
      </c>
      <c r="G6" s="2" t="s">
        <v>14</v>
      </c>
      <c r="H6" s="2" t="s">
        <v>21</v>
      </c>
      <c r="I6" s="2" t="s">
        <v>22</v>
      </c>
      <c r="J6" s="2" t="s">
        <v>22</v>
      </c>
      <c r="L6" s="31" t="s">
        <v>650</v>
      </c>
      <c r="M6" s="32" t="s">
        <v>2</v>
      </c>
      <c r="N6" s="32" t="s">
        <v>3</v>
      </c>
      <c r="O6" s="32" t="s">
        <v>8</v>
      </c>
      <c r="P6" s="32" t="s">
        <v>9</v>
      </c>
    </row>
    <row r="7" spans="1:28" x14ac:dyDescent="0.3">
      <c r="A7" s="2" t="s">
        <v>31</v>
      </c>
      <c r="B7" s="2" t="s">
        <v>32</v>
      </c>
      <c r="C7" s="2" t="s">
        <v>33</v>
      </c>
      <c r="D7" s="2">
        <v>7</v>
      </c>
      <c r="E7" s="2">
        <v>9825291736</v>
      </c>
      <c r="F7" s="2" t="s">
        <v>19</v>
      </c>
      <c r="G7" s="2" t="s">
        <v>20</v>
      </c>
      <c r="H7" s="2" t="s">
        <v>15</v>
      </c>
      <c r="I7" s="2" t="s">
        <v>22</v>
      </c>
      <c r="J7" s="2" t="s">
        <v>23</v>
      </c>
      <c r="L7" s="5" t="s">
        <v>34</v>
      </c>
      <c r="M7" s="5" t="str">
        <f>VLOOKUP($L$7,$A$1:$J$601,3,FALSE)</f>
        <v>CSE</v>
      </c>
      <c r="N7" s="5">
        <f>VLOOKUP($L$7,$A$1:$J$601,4,FALSE)</f>
        <v>1</v>
      </c>
      <c r="O7" s="5" t="str">
        <f>VLOOKUP($L$7,$A$1:$J$601,9,FALSE)</f>
        <v>Quiz</v>
      </c>
      <c r="P7" s="5" t="str">
        <f>VLOOKUP($L$7,$A$1:$J$601,10,FALSE)</f>
        <v>Dance</v>
      </c>
    </row>
    <row r="8" spans="1:28" x14ac:dyDescent="0.3">
      <c r="A8" s="2" t="s">
        <v>34</v>
      </c>
      <c r="B8" s="2" t="s">
        <v>35</v>
      </c>
      <c r="C8" s="2" t="s">
        <v>36</v>
      </c>
      <c r="D8" s="2">
        <v>1</v>
      </c>
      <c r="E8" s="2">
        <v>6196589644</v>
      </c>
      <c r="F8" s="2" t="s">
        <v>19</v>
      </c>
      <c r="G8" s="2" t="s">
        <v>14</v>
      </c>
      <c r="H8" s="2" t="s">
        <v>21</v>
      </c>
      <c r="I8" s="2" t="s">
        <v>37</v>
      </c>
      <c r="J8" s="2" t="s">
        <v>23</v>
      </c>
    </row>
    <row r="9" spans="1:28" x14ac:dyDescent="0.3">
      <c r="A9" s="2" t="s">
        <v>38</v>
      </c>
      <c r="B9" s="2" t="s">
        <v>35</v>
      </c>
      <c r="C9" s="2" t="s">
        <v>12</v>
      </c>
      <c r="D9" s="2">
        <v>1</v>
      </c>
      <c r="E9" s="2">
        <v>8951489573</v>
      </c>
      <c r="F9" s="2" t="s">
        <v>13</v>
      </c>
      <c r="G9" s="2" t="s">
        <v>14</v>
      </c>
      <c r="H9" s="2" t="s">
        <v>15</v>
      </c>
      <c r="I9" s="2" t="s">
        <v>29</v>
      </c>
      <c r="J9" s="2" t="s">
        <v>17</v>
      </c>
      <c r="L9" s="25" t="s">
        <v>616</v>
      </c>
      <c r="M9" s="25"/>
      <c r="N9" s="25"/>
      <c r="O9" s="25"/>
      <c r="P9" s="25"/>
      <c r="Q9" s="25"/>
      <c r="R9" s="25"/>
      <c r="S9" s="25"/>
      <c r="T9" s="25"/>
      <c r="U9" s="25"/>
      <c r="V9" s="25"/>
      <c r="W9" s="25"/>
    </row>
    <row r="10" spans="1:28" x14ac:dyDescent="0.3">
      <c r="A10" s="2" t="s">
        <v>39</v>
      </c>
      <c r="B10" s="2" t="s">
        <v>35</v>
      </c>
      <c r="C10" s="2" t="s">
        <v>36</v>
      </c>
      <c r="D10" s="2">
        <v>1</v>
      </c>
      <c r="E10" s="2">
        <v>6429670666</v>
      </c>
      <c r="F10" s="2" t="s">
        <v>13</v>
      </c>
      <c r="G10" s="2" t="s">
        <v>20</v>
      </c>
      <c r="H10" s="2" t="s">
        <v>15</v>
      </c>
      <c r="I10" s="2" t="s">
        <v>27</v>
      </c>
      <c r="J10" s="2" t="s">
        <v>17</v>
      </c>
    </row>
    <row r="11" spans="1:28" x14ac:dyDescent="0.3">
      <c r="A11" s="2" t="s">
        <v>40</v>
      </c>
      <c r="B11" s="2" t="s">
        <v>11</v>
      </c>
      <c r="C11" s="2" t="s">
        <v>33</v>
      </c>
      <c r="D11" s="2">
        <v>3</v>
      </c>
      <c r="E11" s="2">
        <v>8887349101</v>
      </c>
      <c r="F11" s="2" t="s">
        <v>19</v>
      </c>
      <c r="G11" s="2" t="s">
        <v>14</v>
      </c>
      <c r="H11" s="2" t="s">
        <v>15</v>
      </c>
      <c r="I11" s="2" t="s">
        <v>41</v>
      </c>
      <c r="J11" s="2" t="s">
        <v>22</v>
      </c>
      <c r="L11" s="27" t="s">
        <v>651</v>
      </c>
      <c r="M11" t="str" cm="1">
        <f t="array" ref="M11">INDEX(A2:A601, MATCH(1,(C2:C601="ME")*(F2:F601="Due")*(G2:G601="No"),0))</f>
        <v>Akanksha Iyer</v>
      </c>
    </row>
    <row r="12" spans="1:28" x14ac:dyDescent="0.3">
      <c r="A12" s="2" t="s">
        <v>42</v>
      </c>
      <c r="B12" s="2" t="s">
        <v>32</v>
      </c>
      <c r="C12" s="2" t="s">
        <v>43</v>
      </c>
      <c r="D12" s="2">
        <v>7</v>
      </c>
      <c r="E12" s="2">
        <v>6298823994</v>
      </c>
      <c r="F12" s="2" t="s">
        <v>19</v>
      </c>
      <c r="G12" s="2" t="s">
        <v>20</v>
      </c>
      <c r="H12" s="2" t="s">
        <v>15</v>
      </c>
      <c r="I12" s="2" t="s">
        <v>37</v>
      </c>
      <c r="J12" s="2" t="s">
        <v>22</v>
      </c>
    </row>
    <row r="13" spans="1:28" x14ac:dyDescent="0.3">
      <c r="A13" s="2" t="s">
        <v>44</v>
      </c>
      <c r="B13" s="2" t="s">
        <v>25</v>
      </c>
      <c r="C13" s="2" t="s">
        <v>43</v>
      </c>
      <c r="D13" s="2">
        <v>5</v>
      </c>
      <c r="E13" s="2">
        <v>8691092011</v>
      </c>
      <c r="F13" s="2" t="s">
        <v>19</v>
      </c>
      <c r="G13" s="2" t="s">
        <v>14</v>
      </c>
      <c r="H13" s="2" t="s">
        <v>21</v>
      </c>
      <c r="I13" s="2" t="s">
        <v>16</v>
      </c>
      <c r="J13" s="2" t="s">
        <v>17</v>
      </c>
      <c r="L13" s="25" t="s">
        <v>619</v>
      </c>
      <c r="M13" s="25"/>
      <c r="N13" s="25"/>
      <c r="O13" s="25"/>
      <c r="P13" s="25"/>
      <c r="Q13" s="25"/>
      <c r="R13" s="25"/>
      <c r="S13" s="25"/>
      <c r="T13" s="25"/>
      <c r="U13" s="25"/>
      <c r="V13" s="25"/>
      <c r="W13" s="25"/>
      <c r="X13" s="25"/>
      <c r="Y13" s="25"/>
      <c r="Z13" s="25"/>
      <c r="AA13" s="25"/>
    </row>
    <row r="14" spans="1:28" x14ac:dyDescent="0.3">
      <c r="A14" s="2" t="s">
        <v>45</v>
      </c>
      <c r="B14" s="2" t="s">
        <v>32</v>
      </c>
      <c r="C14" s="2" t="s">
        <v>12</v>
      </c>
      <c r="D14" s="2">
        <v>7</v>
      </c>
      <c r="E14" s="2">
        <v>9663364571</v>
      </c>
      <c r="F14" s="2" t="s">
        <v>13</v>
      </c>
      <c r="G14" s="2" t="s">
        <v>14</v>
      </c>
      <c r="H14" s="2" t="s">
        <v>21</v>
      </c>
      <c r="I14" s="2" t="s">
        <v>27</v>
      </c>
      <c r="J14" s="2" t="s">
        <v>22</v>
      </c>
    </row>
    <row r="15" spans="1:28" x14ac:dyDescent="0.3">
      <c r="A15" s="2" t="s">
        <v>46</v>
      </c>
      <c r="B15" s="2" t="s">
        <v>11</v>
      </c>
      <c r="C15" s="2" t="s">
        <v>36</v>
      </c>
      <c r="D15" s="2">
        <v>3</v>
      </c>
      <c r="E15" s="2">
        <v>9798746487</v>
      </c>
      <c r="F15" s="2" t="s">
        <v>19</v>
      </c>
      <c r="G15" s="2" t="s">
        <v>20</v>
      </c>
      <c r="H15" s="2" t="s">
        <v>21</v>
      </c>
      <c r="I15" s="2" t="s">
        <v>37</v>
      </c>
      <c r="J15" s="2" t="s">
        <v>22</v>
      </c>
      <c r="L15" s="36" t="s">
        <v>663</v>
      </c>
      <c r="M15" s="36" t="s">
        <v>664</v>
      </c>
      <c r="N15" t="s">
        <v>665</v>
      </c>
    </row>
    <row r="16" spans="1:28" x14ac:dyDescent="0.3">
      <c r="A16" s="2" t="s">
        <v>47</v>
      </c>
      <c r="B16" s="2" t="s">
        <v>32</v>
      </c>
      <c r="C16" s="2" t="s">
        <v>36</v>
      </c>
      <c r="D16" s="2">
        <v>7</v>
      </c>
      <c r="E16" s="2">
        <v>6799619179</v>
      </c>
      <c r="F16" s="2" t="s">
        <v>13</v>
      </c>
      <c r="G16" s="2" t="s">
        <v>14</v>
      </c>
      <c r="H16" s="2" t="s">
        <v>21</v>
      </c>
      <c r="I16" s="2" t="s">
        <v>16</v>
      </c>
      <c r="J16" s="2" t="s">
        <v>23</v>
      </c>
      <c r="L16" s="36" t="s">
        <v>652</v>
      </c>
      <c r="M16" s="36"/>
    </row>
    <row r="17" spans="1:20" x14ac:dyDescent="0.3">
      <c r="A17" s="2" t="s">
        <v>48</v>
      </c>
      <c r="B17" s="2" t="s">
        <v>35</v>
      </c>
      <c r="C17" s="2" t="s">
        <v>12</v>
      </c>
      <c r="D17" s="2">
        <v>1</v>
      </c>
      <c r="E17" s="2">
        <v>7611578541</v>
      </c>
      <c r="F17" s="2" t="s">
        <v>19</v>
      </c>
      <c r="G17" s="2" t="s">
        <v>14</v>
      </c>
      <c r="H17" s="2" t="s">
        <v>15</v>
      </c>
      <c r="I17" s="2" t="s">
        <v>41</v>
      </c>
      <c r="J17" s="2" t="s">
        <v>22</v>
      </c>
      <c r="L17" t="s">
        <v>653</v>
      </c>
      <c r="N17" s="2">
        <v>6669525518</v>
      </c>
    </row>
    <row r="18" spans="1:20" x14ac:dyDescent="0.3">
      <c r="A18" s="2" t="s">
        <v>49</v>
      </c>
      <c r="B18" s="2" t="s">
        <v>32</v>
      </c>
      <c r="C18" s="2" t="s">
        <v>43</v>
      </c>
      <c r="D18" s="2">
        <v>7</v>
      </c>
      <c r="E18" s="2">
        <v>9406157743</v>
      </c>
      <c r="F18" s="2" t="s">
        <v>13</v>
      </c>
      <c r="G18" s="2" t="s">
        <v>14</v>
      </c>
      <c r="H18" s="2" t="s">
        <v>15</v>
      </c>
      <c r="I18" s="2" t="s">
        <v>22</v>
      </c>
      <c r="J18" s="2" t="s">
        <v>22</v>
      </c>
      <c r="L18" t="s">
        <v>654</v>
      </c>
      <c r="N18" t="str">
        <f>IF(N17="","",_xlfn.XLOOKUP(N17,E2:E601,A2:A601,"❌ Not Found"))</f>
        <v>Aparna Kumar</v>
      </c>
    </row>
    <row r="19" spans="1:20" x14ac:dyDescent="0.3">
      <c r="A19" s="2" t="s">
        <v>50</v>
      </c>
      <c r="B19" s="2" t="s">
        <v>32</v>
      </c>
      <c r="C19" s="2" t="s">
        <v>12</v>
      </c>
      <c r="D19" s="2">
        <v>7</v>
      </c>
      <c r="E19" s="2">
        <v>8427455838</v>
      </c>
      <c r="F19" s="2" t="s">
        <v>19</v>
      </c>
      <c r="G19" s="2" t="s">
        <v>20</v>
      </c>
      <c r="H19" s="2" t="s">
        <v>15</v>
      </c>
      <c r="I19" s="2" t="s">
        <v>41</v>
      </c>
      <c r="J19" s="2" t="s">
        <v>22</v>
      </c>
      <c r="L19" t="s">
        <v>655</v>
      </c>
      <c r="N19" t="str">
        <f>IF(N17="","",_xlfn.XLOOKUP(N17,E2:E601,B2:B601,"❌ Not Found"))</f>
        <v>2nd</v>
      </c>
    </row>
    <row r="20" spans="1:20" x14ac:dyDescent="0.3">
      <c r="A20" s="2" t="s">
        <v>51</v>
      </c>
      <c r="B20" s="2" t="s">
        <v>11</v>
      </c>
      <c r="C20" s="2" t="s">
        <v>36</v>
      </c>
      <c r="D20" s="2">
        <v>3</v>
      </c>
      <c r="E20" s="2">
        <v>7545515893</v>
      </c>
      <c r="F20" s="2" t="s">
        <v>19</v>
      </c>
      <c r="G20" s="2" t="s">
        <v>20</v>
      </c>
      <c r="H20" s="2" t="s">
        <v>21</v>
      </c>
      <c r="I20" s="2" t="s">
        <v>22</v>
      </c>
      <c r="J20" s="2" t="s">
        <v>23</v>
      </c>
      <c r="L20" t="s">
        <v>656</v>
      </c>
      <c r="N20" t="str">
        <f>IF(N17="","",_xlfn.XLOOKUP(N17,E2:E601,C2:C601,"❌ Not Found"))</f>
        <v>ME</v>
      </c>
    </row>
    <row r="21" spans="1:20" x14ac:dyDescent="0.3">
      <c r="A21" s="2" t="s">
        <v>52</v>
      </c>
      <c r="B21" s="2" t="s">
        <v>35</v>
      </c>
      <c r="C21" s="2" t="s">
        <v>43</v>
      </c>
      <c r="D21" s="2">
        <v>1</v>
      </c>
      <c r="E21" s="2">
        <v>8168011907</v>
      </c>
      <c r="F21" s="2" t="s">
        <v>13</v>
      </c>
      <c r="G21" s="2" t="s">
        <v>14</v>
      </c>
      <c r="H21" s="2" t="s">
        <v>21</v>
      </c>
      <c r="I21" s="2" t="s">
        <v>29</v>
      </c>
      <c r="J21" s="2" t="s">
        <v>17</v>
      </c>
      <c r="L21" t="s">
        <v>657</v>
      </c>
      <c r="N21" s="37">
        <f>IF(N17="","",_xlfn.XLOOKUP(N17,E2:E601,D2:D601,"❌ Not Found"))</f>
        <v>3</v>
      </c>
    </row>
    <row r="22" spans="1:20" x14ac:dyDescent="0.3">
      <c r="A22" s="2" t="s">
        <v>53</v>
      </c>
      <c r="B22" s="2" t="s">
        <v>11</v>
      </c>
      <c r="C22" s="2" t="s">
        <v>12</v>
      </c>
      <c r="D22" s="2">
        <v>3</v>
      </c>
      <c r="E22" s="2">
        <v>7831255140</v>
      </c>
      <c r="F22" s="2" t="s">
        <v>19</v>
      </c>
      <c r="G22" s="2" t="s">
        <v>14</v>
      </c>
      <c r="H22" s="2" t="s">
        <v>15</v>
      </c>
      <c r="I22" s="2" t="s">
        <v>22</v>
      </c>
      <c r="J22" s="2" t="s">
        <v>22</v>
      </c>
      <c r="L22" t="s">
        <v>658</v>
      </c>
      <c r="N22" t="str">
        <f>IF(N17="","",_xlfn.XLOOKUP(N17,E2:E601,H2:H601,"❌ Not Found"))</f>
        <v>Non-Veg</v>
      </c>
    </row>
    <row r="23" spans="1:20" x14ac:dyDescent="0.3">
      <c r="A23" s="2" t="s">
        <v>54</v>
      </c>
      <c r="B23" s="2" t="s">
        <v>32</v>
      </c>
      <c r="C23" s="2" t="s">
        <v>36</v>
      </c>
      <c r="D23" s="2">
        <v>7</v>
      </c>
      <c r="E23" s="2">
        <v>8613857136</v>
      </c>
      <c r="F23" s="2" t="s">
        <v>13</v>
      </c>
      <c r="G23" s="2" t="s">
        <v>20</v>
      </c>
      <c r="H23" s="2" t="s">
        <v>15</v>
      </c>
      <c r="I23" s="2" t="s">
        <v>22</v>
      </c>
      <c r="J23" s="2" t="s">
        <v>23</v>
      </c>
      <c r="L23" t="s">
        <v>659</v>
      </c>
      <c r="N23" t="str">
        <f>IF(N17="","",IF(_xlfn.XLOOKUP(N17,E2:E601,F2:F601,"Not Found")="Paid","✅ Paid","❌ Due"))</f>
        <v>✅ Paid</v>
      </c>
    </row>
    <row r="24" spans="1:20" x14ac:dyDescent="0.3">
      <c r="A24" s="2" t="s">
        <v>55</v>
      </c>
      <c r="B24" s="2" t="s">
        <v>35</v>
      </c>
      <c r="C24" s="2" t="s">
        <v>12</v>
      </c>
      <c r="D24" s="2">
        <v>1</v>
      </c>
      <c r="E24" s="2">
        <v>6412964213</v>
      </c>
      <c r="F24" s="2" t="s">
        <v>13</v>
      </c>
      <c r="G24" s="2" t="s">
        <v>20</v>
      </c>
      <c r="H24" s="2" t="s">
        <v>15</v>
      </c>
      <c r="I24" s="2" t="s">
        <v>41</v>
      </c>
      <c r="J24" s="2" t="s">
        <v>22</v>
      </c>
      <c r="L24" t="s">
        <v>660</v>
      </c>
      <c r="N24" t="str">
        <f>IF(N17="","",_xlfn.XLOOKUP(N17,E2:E601,G2:G601,"❌ Not Found"))</f>
        <v>No</v>
      </c>
    </row>
    <row r="25" spans="1:20" x14ac:dyDescent="0.3">
      <c r="A25" s="2" t="s">
        <v>56</v>
      </c>
      <c r="B25" s="2" t="s">
        <v>32</v>
      </c>
      <c r="C25" s="2" t="s">
        <v>33</v>
      </c>
      <c r="D25" s="2">
        <v>7</v>
      </c>
      <c r="E25" s="2">
        <v>8066276413</v>
      </c>
      <c r="F25" s="2" t="s">
        <v>13</v>
      </c>
      <c r="G25" s="2" t="s">
        <v>20</v>
      </c>
      <c r="H25" s="2" t="s">
        <v>15</v>
      </c>
      <c r="I25" s="2" t="s">
        <v>37</v>
      </c>
      <c r="J25" s="2" t="s">
        <v>17</v>
      </c>
      <c r="L25" t="s">
        <v>661</v>
      </c>
      <c r="N25" t="str">
        <f>IF(N17="","",_xlfn.XLOOKUP(N17,E2:E601,I2:I601,"❌ Not Found"))</f>
        <v>None</v>
      </c>
    </row>
    <row r="26" spans="1:20" x14ac:dyDescent="0.3">
      <c r="A26" s="2" t="s">
        <v>57</v>
      </c>
      <c r="B26" s="2" t="s">
        <v>32</v>
      </c>
      <c r="C26" s="2" t="s">
        <v>33</v>
      </c>
      <c r="D26" s="2">
        <v>7</v>
      </c>
      <c r="E26" s="2">
        <v>6921494613</v>
      </c>
      <c r="F26" s="2" t="s">
        <v>13</v>
      </c>
      <c r="G26" s="2" t="s">
        <v>14</v>
      </c>
      <c r="H26" s="2" t="s">
        <v>15</v>
      </c>
      <c r="I26" s="2" t="s">
        <v>41</v>
      </c>
      <c r="J26" s="2" t="s">
        <v>23</v>
      </c>
      <c r="L26" t="s">
        <v>662</v>
      </c>
      <c r="N26" t="str">
        <f>IF(N17="","",_xlfn.XLOOKUP(N17,E2:E601,J2:J601,"❌ Not Found"))</f>
        <v>Dance</v>
      </c>
    </row>
    <row r="27" spans="1:20" x14ac:dyDescent="0.3">
      <c r="A27" s="2" t="s">
        <v>58</v>
      </c>
      <c r="B27" s="2" t="s">
        <v>25</v>
      </c>
      <c r="C27" s="2" t="s">
        <v>33</v>
      </c>
      <c r="D27" s="2">
        <v>5</v>
      </c>
      <c r="E27" s="2">
        <v>9046695504</v>
      </c>
      <c r="F27" s="2" t="s">
        <v>13</v>
      </c>
      <c r="G27" s="2" t="s">
        <v>20</v>
      </c>
      <c r="H27" s="2" t="s">
        <v>15</v>
      </c>
      <c r="I27" s="2" t="s">
        <v>22</v>
      </c>
      <c r="J27" s="2" t="s">
        <v>17</v>
      </c>
    </row>
    <row r="28" spans="1:20" x14ac:dyDescent="0.3">
      <c r="A28" s="2" t="s">
        <v>59</v>
      </c>
      <c r="B28" s="2" t="s">
        <v>25</v>
      </c>
      <c r="C28" s="2" t="s">
        <v>12</v>
      </c>
      <c r="D28" s="2">
        <v>5</v>
      </c>
      <c r="E28" s="2">
        <v>7695328163</v>
      </c>
      <c r="F28" s="2" t="s">
        <v>19</v>
      </c>
      <c r="G28" s="2" t="s">
        <v>20</v>
      </c>
      <c r="H28" s="2" t="s">
        <v>15</v>
      </c>
      <c r="I28" s="2" t="s">
        <v>37</v>
      </c>
      <c r="J28" s="2" t="s">
        <v>17</v>
      </c>
      <c r="L28" s="25" t="s">
        <v>617</v>
      </c>
      <c r="M28" s="25"/>
      <c r="N28" s="25"/>
      <c r="O28" s="25"/>
      <c r="P28" s="25"/>
      <c r="Q28" s="25"/>
      <c r="R28" s="25"/>
      <c r="S28" s="25"/>
      <c r="T28" s="25"/>
    </row>
    <row r="29" spans="1:20" x14ac:dyDescent="0.3">
      <c r="A29" s="2" t="s">
        <v>60</v>
      </c>
      <c r="B29" s="2" t="s">
        <v>32</v>
      </c>
      <c r="C29" s="2" t="s">
        <v>33</v>
      </c>
      <c r="D29" s="2">
        <v>7</v>
      </c>
      <c r="E29" s="2">
        <v>7895155500</v>
      </c>
      <c r="F29" s="2" t="s">
        <v>19</v>
      </c>
      <c r="G29" s="2" t="s">
        <v>14</v>
      </c>
      <c r="H29" s="2" t="s">
        <v>15</v>
      </c>
      <c r="I29" s="2" t="s">
        <v>29</v>
      </c>
      <c r="J29" s="2" t="s">
        <v>23</v>
      </c>
    </row>
    <row r="30" spans="1:20" x14ac:dyDescent="0.3">
      <c r="A30" s="2" t="s">
        <v>61</v>
      </c>
      <c r="B30" s="2" t="s">
        <v>35</v>
      </c>
      <c r="C30" s="2" t="s">
        <v>26</v>
      </c>
      <c r="D30" s="2">
        <v>1</v>
      </c>
      <c r="E30" s="2">
        <v>7271880462</v>
      </c>
      <c r="F30" s="2" t="s">
        <v>13</v>
      </c>
      <c r="G30" s="2" t="s">
        <v>14</v>
      </c>
      <c r="H30" s="2" t="s">
        <v>21</v>
      </c>
      <c r="I30" s="2" t="s">
        <v>16</v>
      </c>
      <c r="J30" s="2" t="s">
        <v>23</v>
      </c>
    </row>
    <row r="31" spans="1:20" x14ac:dyDescent="0.3">
      <c r="A31" s="2" t="s">
        <v>62</v>
      </c>
      <c r="B31" s="2" t="s">
        <v>32</v>
      </c>
      <c r="C31" s="2" t="s">
        <v>36</v>
      </c>
      <c r="D31" s="2">
        <v>7</v>
      </c>
      <c r="E31" s="2">
        <v>6680106355</v>
      </c>
      <c r="F31" s="2" t="s">
        <v>13</v>
      </c>
      <c r="G31" s="2" t="s">
        <v>14</v>
      </c>
      <c r="H31" s="2" t="s">
        <v>21</v>
      </c>
      <c r="I31" s="2" t="s">
        <v>16</v>
      </c>
      <c r="J31" s="2" t="s">
        <v>22</v>
      </c>
      <c r="M31" s="1" t="s">
        <v>666</v>
      </c>
    </row>
    <row r="32" spans="1:20" x14ac:dyDescent="0.3">
      <c r="A32" s="2" t="s">
        <v>63</v>
      </c>
      <c r="B32" s="2" t="s">
        <v>32</v>
      </c>
      <c r="C32" s="2" t="s">
        <v>36</v>
      </c>
      <c r="D32" s="2">
        <v>7</v>
      </c>
      <c r="E32" s="2">
        <v>7412875404</v>
      </c>
      <c r="F32" s="2" t="s">
        <v>19</v>
      </c>
      <c r="G32" s="2" t="s">
        <v>20</v>
      </c>
      <c r="H32" s="2" t="s">
        <v>21</v>
      </c>
      <c r="I32" s="2" t="s">
        <v>27</v>
      </c>
      <c r="J32" s="2" t="s">
        <v>22</v>
      </c>
      <c r="M32" s="35" t="s">
        <v>12</v>
      </c>
    </row>
    <row r="33" spans="1:21" x14ac:dyDescent="0.3">
      <c r="A33" s="2" t="s">
        <v>64</v>
      </c>
      <c r="B33" s="2" t="s">
        <v>11</v>
      </c>
      <c r="C33" s="2" t="s">
        <v>36</v>
      </c>
      <c r="D33" s="2">
        <v>3</v>
      </c>
      <c r="E33" s="2">
        <v>7169453702</v>
      </c>
      <c r="F33" s="2" t="s">
        <v>19</v>
      </c>
      <c r="G33" s="2" t="s">
        <v>20</v>
      </c>
      <c r="H33" s="2" t="s">
        <v>15</v>
      </c>
      <c r="I33" s="2" t="s">
        <v>22</v>
      </c>
      <c r="J33" s="2" t="s">
        <v>17</v>
      </c>
      <c r="L33" s="27" t="s">
        <v>667</v>
      </c>
      <c r="M33">
        <f>COUNTIF(C2:C601,M32)</f>
        <v>136</v>
      </c>
    </row>
    <row r="34" spans="1:21" x14ac:dyDescent="0.3">
      <c r="A34" s="2" t="s">
        <v>56</v>
      </c>
      <c r="B34" s="2" t="s">
        <v>35</v>
      </c>
      <c r="C34" s="2" t="s">
        <v>12</v>
      </c>
      <c r="D34" s="2">
        <v>1</v>
      </c>
      <c r="E34" s="2">
        <v>9089863696</v>
      </c>
      <c r="F34" s="2" t="s">
        <v>13</v>
      </c>
      <c r="G34" s="2" t="s">
        <v>20</v>
      </c>
      <c r="H34" s="2" t="s">
        <v>15</v>
      </c>
      <c r="I34" s="2" t="s">
        <v>29</v>
      </c>
      <c r="J34" s="2" t="s">
        <v>22</v>
      </c>
    </row>
    <row r="35" spans="1:21" x14ac:dyDescent="0.3">
      <c r="A35" s="2" t="s">
        <v>65</v>
      </c>
      <c r="B35" s="2" t="s">
        <v>35</v>
      </c>
      <c r="C35" s="2" t="s">
        <v>36</v>
      </c>
      <c r="D35" s="2">
        <v>1</v>
      </c>
      <c r="E35" s="2">
        <v>7961237762</v>
      </c>
      <c r="F35" s="2" t="s">
        <v>19</v>
      </c>
      <c r="G35" s="2" t="s">
        <v>20</v>
      </c>
      <c r="H35" s="2" t="s">
        <v>21</v>
      </c>
      <c r="I35" s="2" t="s">
        <v>22</v>
      </c>
      <c r="J35" s="2" t="s">
        <v>22</v>
      </c>
    </row>
    <row r="36" spans="1:21" x14ac:dyDescent="0.3">
      <c r="A36" s="2" t="s">
        <v>66</v>
      </c>
      <c r="B36" s="2" t="s">
        <v>11</v>
      </c>
      <c r="C36" s="2" t="s">
        <v>36</v>
      </c>
      <c r="D36" s="2">
        <v>3</v>
      </c>
      <c r="E36" s="2">
        <v>9248280618</v>
      </c>
      <c r="F36" s="2" t="s">
        <v>19</v>
      </c>
      <c r="G36" s="2" t="s">
        <v>14</v>
      </c>
      <c r="H36" s="2" t="s">
        <v>15</v>
      </c>
      <c r="I36" s="2" t="s">
        <v>22</v>
      </c>
      <c r="J36" s="2" t="s">
        <v>23</v>
      </c>
    </row>
    <row r="37" spans="1:21" x14ac:dyDescent="0.3">
      <c r="A37" s="2" t="s">
        <v>67</v>
      </c>
      <c r="B37" s="2" t="s">
        <v>35</v>
      </c>
      <c r="C37" s="2" t="s">
        <v>33</v>
      </c>
      <c r="D37" s="2">
        <v>1</v>
      </c>
      <c r="E37" s="2">
        <v>8834834922</v>
      </c>
      <c r="F37" s="2" t="s">
        <v>19</v>
      </c>
      <c r="G37" s="2" t="s">
        <v>20</v>
      </c>
      <c r="H37" s="2" t="s">
        <v>15</v>
      </c>
      <c r="I37" s="2" t="s">
        <v>22</v>
      </c>
      <c r="J37" s="2" t="s">
        <v>22</v>
      </c>
      <c r="L37" s="38" t="s">
        <v>0</v>
      </c>
      <c r="M37" s="38" t="s">
        <v>1</v>
      </c>
      <c r="N37" s="38" t="s">
        <v>2</v>
      </c>
      <c r="O37" s="38" t="s">
        <v>3</v>
      </c>
      <c r="P37" s="38" t="s">
        <v>4</v>
      </c>
      <c r="Q37" s="38" t="s">
        <v>5</v>
      </c>
      <c r="R37" s="38" t="s">
        <v>6</v>
      </c>
      <c r="S37" s="38" t="s">
        <v>7</v>
      </c>
      <c r="T37" s="38" t="s">
        <v>8</v>
      </c>
      <c r="U37" s="38" t="s">
        <v>9</v>
      </c>
    </row>
    <row r="38" spans="1:21" x14ac:dyDescent="0.3">
      <c r="A38" s="2" t="s">
        <v>68</v>
      </c>
      <c r="B38" s="2" t="s">
        <v>11</v>
      </c>
      <c r="C38" s="2" t="s">
        <v>33</v>
      </c>
      <c r="D38" s="2">
        <v>3</v>
      </c>
      <c r="E38" s="2">
        <v>7056970334</v>
      </c>
      <c r="F38" s="2" t="s">
        <v>13</v>
      </c>
      <c r="G38" s="2" t="s">
        <v>20</v>
      </c>
      <c r="H38" s="2" t="s">
        <v>21</v>
      </c>
      <c r="I38" s="2" t="s">
        <v>41</v>
      </c>
      <c r="J38" s="2" t="s">
        <v>23</v>
      </c>
      <c r="L38" t="str" cm="1">
        <f t="array" ref="L38:U173">_xlfn._xlws.FILTER(A2:J601, C2:C601=M32, "No Student Found")</f>
        <v>Jyoti Roy</v>
      </c>
      <c r="M38" t="str">
        <v>2nd</v>
      </c>
      <c r="N38" t="str">
        <v>ME</v>
      </c>
      <c r="O38">
        <v>3</v>
      </c>
      <c r="P38">
        <v>9706233821</v>
      </c>
      <c r="Q38" t="str">
        <v>Due</v>
      </c>
      <c r="R38" t="str">
        <v>Yes</v>
      </c>
      <c r="S38" t="str">
        <v>Veg</v>
      </c>
      <c r="T38" t="str">
        <v>Art</v>
      </c>
      <c r="U38" t="str">
        <v>Singing</v>
      </c>
    </row>
    <row r="39" spans="1:21" x14ac:dyDescent="0.3">
      <c r="A39" s="2" t="s">
        <v>69</v>
      </c>
      <c r="B39" s="2" t="s">
        <v>11</v>
      </c>
      <c r="C39" s="2" t="s">
        <v>26</v>
      </c>
      <c r="D39" s="2">
        <v>3</v>
      </c>
      <c r="E39" s="2">
        <v>9024007668</v>
      </c>
      <c r="F39" s="2" t="s">
        <v>19</v>
      </c>
      <c r="G39" s="2" t="s">
        <v>20</v>
      </c>
      <c r="H39" s="2" t="s">
        <v>15</v>
      </c>
      <c r="I39" s="2" t="s">
        <v>41</v>
      </c>
      <c r="J39" s="2" t="s">
        <v>17</v>
      </c>
      <c r="L39" t="str">
        <v>Aparna Kumar</v>
      </c>
      <c r="M39" t="str">
        <v>2nd</v>
      </c>
      <c r="N39" t="str">
        <v>ME</v>
      </c>
      <c r="O39">
        <v>3</v>
      </c>
      <c r="P39">
        <v>6669525518</v>
      </c>
      <c r="Q39" t="str">
        <v>Paid</v>
      </c>
      <c r="R39" t="str">
        <v>No</v>
      </c>
      <c r="S39" t="str">
        <v>Non-Veg</v>
      </c>
      <c r="T39" t="str">
        <v>None</v>
      </c>
      <c r="U39" t="str">
        <v>Dance</v>
      </c>
    </row>
    <row r="40" spans="1:21" x14ac:dyDescent="0.3">
      <c r="A40" s="2" t="s">
        <v>68</v>
      </c>
      <c r="B40" s="2" t="s">
        <v>35</v>
      </c>
      <c r="C40" s="2" t="s">
        <v>12</v>
      </c>
      <c r="D40" s="2">
        <v>1</v>
      </c>
      <c r="E40" s="2">
        <v>8716524803</v>
      </c>
      <c r="F40" s="2" t="s">
        <v>13</v>
      </c>
      <c r="G40" s="2" t="s">
        <v>14</v>
      </c>
      <c r="H40" s="2" t="s">
        <v>21</v>
      </c>
      <c r="I40" s="2" t="s">
        <v>22</v>
      </c>
      <c r="J40" s="2" t="s">
        <v>17</v>
      </c>
      <c r="L40" t="str">
        <v>Sandhya Dubey</v>
      </c>
      <c r="M40" t="str">
        <v>3rd</v>
      </c>
      <c r="N40" t="str">
        <v>ME</v>
      </c>
      <c r="O40">
        <v>5</v>
      </c>
      <c r="P40">
        <v>6345416297</v>
      </c>
      <c r="Q40" t="str">
        <v>Paid</v>
      </c>
      <c r="R40" t="str">
        <v>Yes</v>
      </c>
      <c r="S40" t="str">
        <v>Non-Veg</v>
      </c>
      <c r="T40" t="str">
        <v>None</v>
      </c>
      <c r="U40" t="str">
        <v>None</v>
      </c>
    </row>
    <row r="41" spans="1:21" x14ac:dyDescent="0.3">
      <c r="A41" s="2" t="s">
        <v>70</v>
      </c>
      <c r="B41" s="2" t="s">
        <v>32</v>
      </c>
      <c r="C41" s="2" t="s">
        <v>33</v>
      </c>
      <c r="D41" s="2">
        <v>7</v>
      </c>
      <c r="E41" s="2">
        <v>9152172923</v>
      </c>
      <c r="F41" s="2" t="s">
        <v>19</v>
      </c>
      <c r="G41" s="2" t="s">
        <v>14</v>
      </c>
      <c r="H41" s="2" t="s">
        <v>15</v>
      </c>
      <c r="I41" s="2" t="s">
        <v>22</v>
      </c>
      <c r="J41" s="2" t="s">
        <v>23</v>
      </c>
      <c r="L41" t="str">
        <v>Tarun Datta</v>
      </c>
      <c r="M41" t="str">
        <v>1st</v>
      </c>
      <c r="N41" t="str">
        <v>ME</v>
      </c>
      <c r="O41">
        <v>1</v>
      </c>
      <c r="P41">
        <v>8951489573</v>
      </c>
      <c r="Q41" t="str">
        <v>Due</v>
      </c>
      <c r="R41" t="str">
        <v>Yes</v>
      </c>
      <c r="S41" t="str">
        <v>Veg</v>
      </c>
      <c r="T41" t="str">
        <v>Gaming</v>
      </c>
      <c r="U41" t="str">
        <v>Singing</v>
      </c>
    </row>
    <row r="42" spans="1:21" x14ac:dyDescent="0.3">
      <c r="A42" s="2" t="s">
        <v>71</v>
      </c>
      <c r="B42" s="2" t="s">
        <v>32</v>
      </c>
      <c r="C42" s="2" t="s">
        <v>26</v>
      </c>
      <c r="D42" s="2">
        <v>7</v>
      </c>
      <c r="E42" s="2">
        <v>9629974880</v>
      </c>
      <c r="F42" s="2" t="s">
        <v>19</v>
      </c>
      <c r="G42" s="2" t="s">
        <v>20</v>
      </c>
      <c r="H42" s="2" t="s">
        <v>15</v>
      </c>
      <c r="I42" s="2" t="s">
        <v>37</v>
      </c>
      <c r="J42" s="2" t="s">
        <v>23</v>
      </c>
      <c r="L42" t="str">
        <v>Shikha Saxena</v>
      </c>
      <c r="M42" t="str">
        <v>4th</v>
      </c>
      <c r="N42" t="str">
        <v>ME</v>
      </c>
      <c r="O42">
        <v>7</v>
      </c>
      <c r="P42">
        <v>9663364571</v>
      </c>
      <c r="Q42" t="str">
        <v>Due</v>
      </c>
      <c r="R42" t="str">
        <v>Yes</v>
      </c>
      <c r="S42" t="str">
        <v>Non-Veg</v>
      </c>
      <c r="T42" t="str">
        <v>Science Exhibition</v>
      </c>
      <c r="U42" t="str">
        <v>None</v>
      </c>
    </row>
    <row r="43" spans="1:21" x14ac:dyDescent="0.3">
      <c r="A43" s="2" t="s">
        <v>72</v>
      </c>
      <c r="B43" s="2" t="s">
        <v>35</v>
      </c>
      <c r="C43" s="2" t="s">
        <v>26</v>
      </c>
      <c r="D43" s="2">
        <v>1</v>
      </c>
      <c r="E43" s="2">
        <v>6510874876</v>
      </c>
      <c r="F43" s="2" t="s">
        <v>13</v>
      </c>
      <c r="G43" s="2" t="s">
        <v>14</v>
      </c>
      <c r="H43" s="2" t="s">
        <v>15</v>
      </c>
      <c r="I43" s="2" t="s">
        <v>41</v>
      </c>
      <c r="J43" s="2" t="s">
        <v>22</v>
      </c>
      <c r="L43" t="str">
        <v>Aditi Rao</v>
      </c>
      <c r="M43" t="str">
        <v>1st</v>
      </c>
      <c r="N43" t="str">
        <v>ME</v>
      </c>
      <c r="O43">
        <v>1</v>
      </c>
      <c r="P43">
        <v>7611578541</v>
      </c>
      <c r="Q43" t="str">
        <v>Paid</v>
      </c>
      <c r="R43" t="str">
        <v>Yes</v>
      </c>
      <c r="S43" t="str">
        <v>Veg</v>
      </c>
      <c r="T43" t="str">
        <v>Coding</v>
      </c>
      <c r="U43" t="str">
        <v>None</v>
      </c>
    </row>
    <row r="44" spans="1:21" x14ac:dyDescent="0.3">
      <c r="A44" s="2" t="s">
        <v>73</v>
      </c>
      <c r="B44" s="2" t="s">
        <v>32</v>
      </c>
      <c r="C44" s="2" t="s">
        <v>36</v>
      </c>
      <c r="D44" s="2">
        <v>7</v>
      </c>
      <c r="E44" s="2">
        <v>7259224000</v>
      </c>
      <c r="F44" s="2" t="s">
        <v>13</v>
      </c>
      <c r="G44" s="2" t="s">
        <v>14</v>
      </c>
      <c r="H44" s="2" t="s">
        <v>15</v>
      </c>
      <c r="I44" s="2" t="s">
        <v>29</v>
      </c>
      <c r="J44" s="2" t="s">
        <v>22</v>
      </c>
      <c r="L44" t="str">
        <v>Priya Bhatia</v>
      </c>
      <c r="M44" t="str">
        <v>4th</v>
      </c>
      <c r="N44" t="str">
        <v>ME</v>
      </c>
      <c r="O44">
        <v>7</v>
      </c>
      <c r="P44">
        <v>8427455838</v>
      </c>
      <c r="Q44" t="str">
        <v>Paid</v>
      </c>
      <c r="R44" t="str">
        <v>No</v>
      </c>
      <c r="S44" t="str">
        <v>Veg</v>
      </c>
      <c r="T44" t="str">
        <v>Coding</v>
      </c>
      <c r="U44" t="str">
        <v>None</v>
      </c>
    </row>
    <row r="45" spans="1:21" x14ac:dyDescent="0.3">
      <c r="A45" s="2" t="s">
        <v>74</v>
      </c>
      <c r="B45" s="2" t="s">
        <v>11</v>
      </c>
      <c r="C45" s="2" t="s">
        <v>12</v>
      </c>
      <c r="D45" s="2">
        <v>3</v>
      </c>
      <c r="E45" s="2">
        <v>8048856634</v>
      </c>
      <c r="F45" s="2" t="s">
        <v>13</v>
      </c>
      <c r="G45" s="2" t="s">
        <v>14</v>
      </c>
      <c r="H45" s="2" t="s">
        <v>21</v>
      </c>
      <c r="I45" s="2" t="s">
        <v>41</v>
      </c>
      <c r="J45" s="2" t="s">
        <v>17</v>
      </c>
      <c r="L45" t="str">
        <v>Zara Khanna</v>
      </c>
      <c r="M45" t="str">
        <v>2nd</v>
      </c>
      <c r="N45" t="str">
        <v>ME</v>
      </c>
      <c r="O45">
        <v>3</v>
      </c>
      <c r="P45">
        <v>7831255140</v>
      </c>
      <c r="Q45" t="str">
        <v>Paid</v>
      </c>
      <c r="R45" t="str">
        <v>Yes</v>
      </c>
      <c r="S45" t="str">
        <v>Veg</v>
      </c>
      <c r="T45" t="str">
        <v>None</v>
      </c>
      <c r="U45" t="str">
        <v>None</v>
      </c>
    </row>
    <row r="46" spans="1:21" x14ac:dyDescent="0.3">
      <c r="A46" s="2" t="s">
        <v>75</v>
      </c>
      <c r="B46" s="2" t="s">
        <v>11</v>
      </c>
      <c r="C46" s="2" t="s">
        <v>12</v>
      </c>
      <c r="D46" s="2">
        <v>3</v>
      </c>
      <c r="E46" s="2">
        <v>9121272322</v>
      </c>
      <c r="F46" s="2" t="s">
        <v>19</v>
      </c>
      <c r="G46" s="2" t="s">
        <v>20</v>
      </c>
      <c r="H46" s="2" t="s">
        <v>21</v>
      </c>
      <c r="I46" s="2" t="s">
        <v>37</v>
      </c>
      <c r="J46" s="2" t="s">
        <v>22</v>
      </c>
      <c r="L46" t="str">
        <v>Akanksha Iyer</v>
      </c>
      <c r="M46" t="str">
        <v>1st</v>
      </c>
      <c r="N46" t="str">
        <v>ME</v>
      </c>
      <c r="O46">
        <v>1</v>
      </c>
      <c r="P46">
        <v>6412964213</v>
      </c>
      <c r="Q46" t="str">
        <v>Due</v>
      </c>
      <c r="R46" t="str">
        <v>No</v>
      </c>
      <c r="S46" t="str">
        <v>Veg</v>
      </c>
      <c r="T46" t="str">
        <v>Coding</v>
      </c>
      <c r="U46" t="str">
        <v>None</v>
      </c>
    </row>
    <row r="47" spans="1:21" x14ac:dyDescent="0.3">
      <c r="A47" s="2" t="s">
        <v>76</v>
      </c>
      <c r="B47" s="2" t="s">
        <v>35</v>
      </c>
      <c r="C47" s="2" t="s">
        <v>12</v>
      </c>
      <c r="D47" s="2">
        <v>1</v>
      </c>
      <c r="E47" s="2">
        <v>6705996210</v>
      </c>
      <c r="F47" s="2" t="s">
        <v>19</v>
      </c>
      <c r="G47" s="2" t="s">
        <v>20</v>
      </c>
      <c r="H47" s="2" t="s">
        <v>21</v>
      </c>
      <c r="I47" s="2" t="s">
        <v>37</v>
      </c>
      <c r="J47" s="2" t="s">
        <v>22</v>
      </c>
      <c r="L47" t="str">
        <v>Karan Pandey</v>
      </c>
      <c r="M47" t="str">
        <v>3rd</v>
      </c>
      <c r="N47" t="str">
        <v>ME</v>
      </c>
      <c r="O47">
        <v>5</v>
      </c>
      <c r="P47">
        <v>7695328163</v>
      </c>
      <c r="Q47" t="str">
        <v>Paid</v>
      </c>
      <c r="R47" t="str">
        <v>No</v>
      </c>
      <c r="S47" t="str">
        <v>Veg</v>
      </c>
      <c r="T47" t="str">
        <v>Quiz</v>
      </c>
      <c r="U47" t="str">
        <v>Singing</v>
      </c>
    </row>
    <row r="48" spans="1:21" x14ac:dyDescent="0.3">
      <c r="A48" s="2" t="s">
        <v>77</v>
      </c>
      <c r="B48" s="2" t="s">
        <v>32</v>
      </c>
      <c r="C48" s="2" t="s">
        <v>33</v>
      </c>
      <c r="D48" s="2">
        <v>7</v>
      </c>
      <c r="E48" s="2">
        <v>6193128782</v>
      </c>
      <c r="F48" s="2" t="s">
        <v>13</v>
      </c>
      <c r="G48" s="2" t="s">
        <v>20</v>
      </c>
      <c r="H48" s="2" t="s">
        <v>21</v>
      </c>
      <c r="I48" s="2" t="s">
        <v>22</v>
      </c>
      <c r="J48" s="2" t="s">
        <v>22</v>
      </c>
      <c r="L48" t="str">
        <v>Om Rajput</v>
      </c>
      <c r="M48" t="str">
        <v>1st</v>
      </c>
      <c r="N48" t="str">
        <v>ME</v>
      </c>
      <c r="O48">
        <v>1</v>
      </c>
      <c r="P48">
        <v>9089863696</v>
      </c>
      <c r="Q48" t="str">
        <v>Due</v>
      </c>
      <c r="R48" t="str">
        <v>No</v>
      </c>
      <c r="S48" t="str">
        <v>Veg</v>
      </c>
      <c r="T48" t="str">
        <v>Gaming</v>
      </c>
      <c r="U48" t="str">
        <v>None</v>
      </c>
    </row>
    <row r="49" spans="1:21" x14ac:dyDescent="0.3">
      <c r="A49" s="2" t="s">
        <v>78</v>
      </c>
      <c r="B49" s="2" t="s">
        <v>35</v>
      </c>
      <c r="C49" s="2" t="s">
        <v>12</v>
      </c>
      <c r="D49" s="2">
        <v>1</v>
      </c>
      <c r="E49" s="2">
        <v>7416527689</v>
      </c>
      <c r="F49" s="2" t="s">
        <v>13</v>
      </c>
      <c r="G49" s="2" t="s">
        <v>14</v>
      </c>
      <c r="H49" s="2" t="s">
        <v>15</v>
      </c>
      <c r="I49" s="2" t="s">
        <v>37</v>
      </c>
      <c r="J49" s="2" t="s">
        <v>23</v>
      </c>
      <c r="L49" t="str">
        <v>Manish Datta</v>
      </c>
      <c r="M49" t="str">
        <v>1st</v>
      </c>
      <c r="N49" t="str">
        <v>ME</v>
      </c>
      <c r="O49">
        <v>1</v>
      </c>
      <c r="P49">
        <v>8716524803</v>
      </c>
      <c r="Q49" t="str">
        <v>Due</v>
      </c>
      <c r="R49" t="str">
        <v>Yes</v>
      </c>
      <c r="S49" t="str">
        <v>Non-Veg</v>
      </c>
      <c r="T49" t="str">
        <v>None</v>
      </c>
      <c r="U49" t="str">
        <v>Singing</v>
      </c>
    </row>
    <row r="50" spans="1:21" x14ac:dyDescent="0.3">
      <c r="A50" s="2" t="s">
        <v>79</v>
      </c>
      <c r="B50" s="2" t="s">
        <v>35</v>
      </c>
      <c r="C50" s="2" t="s">
        <v>43</v>
      </c>
      <c r="D50" s="2">
        <v>1</v>
      </c>
      <c r="E50" s="2">
        <v>9465256008</v>
      </c>
      <c r="F50" s="2" t="s">
        <v>13</v>
      </c>
      <c r="G50" s="2" t="s">
        <v>20</v>
      </c>
      <c r="H50" s="2" t="s">
        <v>15</v>
      </c>
      <c r="I50" s="2" t="s">
        <v>16</v>
      </c>
      <c r="J50" s="2" t="s">
        <v>17</v>
      </c>
      <c r="L50" t="str">
        <v>Raj Chatterjee</v>
      </c>
      <c r="M50" t="str">
        <v>2nd</v>
      </c>
      <c r="N50" t="str">
        <v>ME</v>
      </c>
      <c r="O50">
        <v>3</v>
      </c>
      <c r="P50">
        <v>8048856634</v>
      </c>
      <c r="Q50" t="str">
        <v>Due</v>
      </c>
      <c r="R50" t="str">
        <v>Yes</v>
      </c>
      <c r="S50" t="str">
        <v>Non-Veg</v>
      </c>
      <c r="T50" t="str">
        <v>Coding</v>
      </c>
      <c r="U50" t="str">
        <v>Singing</v>
      </c>
    </row>
    <row r="51" spans="1:21" x14ac:dyDescent="0.3">
      <c r="A51" s="2" t="s">
        <v>80</v>
      </c>
      <c r="B51" s="2" t="s">
        <v>32</v>
      </c>
      <c r="C51" s="2" t="s">
        <v>43</v>
      </c>
      <c r="D51" s="2">
        <v>7</v>
      </c>
      <c r="E51" s="2">
        <v>9487563540</v>
      </c>
      <c r="F51" s="2" t="s">
        <v>19</v>
      </c>
      <c r="G51" s="2" t="s">
        <v>14</v>
      </c>
      <c r="H51" s="2" t="s">
        <v>21</v>
      </c>
      <c r="I51" s="2" t="s">
        <v>29</v>
      </c>
      <c r="J51" s="2" t="s">
        <v>17</v>
      </c>
      <c r="L51" t="str">
        <v>Ananya Mishra</v>
      </c>
      <c r="M51" t="str">
        <v>2nd</v>
      </c>
      <c r="N51" t="str">
        <v>ME</v>
      </c>
      <c r="O51">
        <v>3</v>
      </c>
      <c r="P51">
        <v>9121272322</v>
      </c>
      <c r="Q51" t="str">
        <v>Paid</v>
      </c>
      <c r="R51" t="str">
        <v>No</v>
      </c>
      <c r="S51" t="str">
        <v>Non-Veg</v>
      </c>
      <c r="T51" t="str">
        <v>Quiz</v>
      </c>
      <c r="U51" t="str">
        <v>None</v>
      </c>
    </row>
    <row r="52" spans="1:21" x14ac:dyDescent="0.3">
      <c r="A52" s="2" t="s">
        <v>24</v>
      </c>
      <c r="B52" s="2" t="s">
        <v>25</v>
      </c>
      <c r="C52" s="2" t="s">
        <v>33</v>
      </c>
      <c r="D52" s="2">
        <v>5</v>
      </c>
      <c r="E52" s="2">
        <v>6378998397</v>
      </c>
      <c r="F52" s="2" t="s">
        <v>13</v>
      </c>
      <c r="G52" s="2" t="s">
        <v>14</v>
      </c>
      <c r="H52" s="2" t="s">
        <v>15</v>
      </c>
      <c r="I52" s="2" t="s">
        <v>37</v>
      </c>
      <c r="J52" s="2" t="s">
        <v>17</v>
      </c>
      <c r="L52" t="str">
        <v>Vishal Jain</v>
      </c>
      <c r="M52" t="str">
        <v>1st</v>
      </c>
      <c r="N52" t="str">
        <v>ME</v>
      </c>
      <c r="O52">
        <v>1</v>
      </c>
      <c r="P52">
        <v>6705996210</v>
      </c>
      <c r="Q52" t="str">
        <v>Paid</v>
      </c>
      <c r="R52" t="str">
        <v>No</v>
      </c>
      <c r="S52" t="str">
        <v>Non-Veg</v>
      </c>
      <c r="T52" t="str">
        <v>Quiz</v>
      </c>
      <c r="U52" t="str">
        <v>None</v>
      </c>
    </row>
    <row r="53" spans="1:21" x14ac:dyDescent="0.3">
      <c r="A53" s="2" t="s">
        <v>81</v>
      </c>
      <c r="B53" s="2" t="s">
        <v>11</v>
      </c>
      <c r="C53" s="2" t="s">
        <v>12</v>
      </c>
      <c r="D53" s="2">
        <v>3</v>
      </c>
      <c r="E53" s="2">
        <v>8147056642</v>
      </c>
      <c r="F53" s="2" t="s">
        <v>13</v>
      </c>
      <c r="G53" s="2" t="s">
        <v>20</v>
      </c>
      <c r="H53" s="2" t="s">
        <v>15</v>
      </c>
      <c r="I53" s="2" t="s">
        <v>16</v>
      </c>
      <c r="J53" s="2" t="s">
        <v>23</v>
      </c>
      <c r="L53" t="str">
        <v>Garima Chauhan</v>
      </c>
      <c r="M53" t="str">
        <v>1st</v>
      </c>
      <c r="N53" t="str">
        <v>ME</v>
      </c>
      <c r="O53">
        <v>1</v>
      </c>
      <c r="P53">
        <v>7416527689</v>
      </c>
      <c r="Q53" t="str">
        <v>Due</v>
      </c>
      <c r="R53" t="str">
        <v>Yes</v>
      </c>
      <c r="S53" t="str">
        <v>Veg</v>
      </c>
      <c r="T53" t="str">
        <v>Quiz</v>
      </c>
      <c r="U53" t="str">
        <v>Dance</v>
      </c>
    </row>
    <row r="54" spans="1:21" x14ac:dyDescent="0.3">
      <c r="A54" s="2" t="s">
        <v>82</v>
      </c>
      <c r="B54" s="2" t="s">
        <v>32</v>
      </c>
      <c r="C54" s="2" t="s">
        <v>26</v>
      </c>
      <c r="D54" s="2">
        <v>7</v>
      </c>
      <c r="E54" s="2">
        <v>6729820575</v>
      </c>
      <c r="F54" s="2" t="s">
        <v>19</v>
      </c>
      <c r="G54" s="2" t="s">
        <v>14</v>
      </c>
      <c r="H54" s="2" t="s">
        <v>21</v>
      </c>
      <c r="I54" s="2" t="s">
        <v>37</v>
      </c>
      <c r="J54" s="2" t="s">
        <v>23</v>
      </c>
      <c r="L54" t="str">
        <v>Abhinav Datta</v>
      </c>
      <c r="M54" t="str">
        <v>2nd</v>
      </c>
      <c r="N54" t="str">
        <v>ME</v>
      </c>
      <c r="O54">
        <v>3</v>
      </c>
      <c r="P54">
        <v>8147056642</v>
      </c>
      <c r="Q54" t="str">
        <v>Due</v>
      </c>
      <c r="R54" t="str">
        <v>No</v>
      </c>
      <c r="S54" t="str">
        <v>Veg</v>
      </c>
      <c r="T54" t="str">
        <v>Art</v>
      </c>
      <c r="U54" t="str">
        <v>Dance</v>
      </c>
    </row>
    <row r="55" spans="1:21" x14ac:dyDescent="0.3">
      <c r="A55" s="2" t="s">
        <v>83</v>
      </c>
      <c r="B55" s="2" t="s">
        <v>35</v>
      </c>
      <c r="C55" s="2" t="s">
        <v>36</v>
      </c>
      <c r="D55" s="2">
        <v>1</v>
      </c>
      <c r="E55" s="2">
        <v>8114258594</v>
      </c>
      <c r="F55" s="2" t="s">
        <v>13</v>
      </c>
      <c r="G55" s="2" t="s">
        <v>20</v>
      </c>
      <c r="H55" s="2" t="s">
        <v>15</v>
      </c>
      <c r="I55" s="2" t="s">
        <v>37</v>
      </c>
      <c r="J55" s="2" t="s">
        <v>23</v>
      </c>
      <c r="L55" t="str">
        <v>Pallavi Chatterjee</v>
      </c>
      <c r="M55" t="str">
        <v>2nd</v>
      </c>
      <c r="N55" t="str">
        <v>ME</v>
      </c>
      <c r="O55">
        <v>3</v>
      </c>
      <c r="P55">
        <v>7784045242</v>
      </c>
      <c r="Q55" t="str">
        <v>Due</v>
      </c>
      <c r="R55" t="str">
        <v>No</v>
      </c>
      <c r="S55" t="str">
        <v>Veg</v>
      </c>
      <c r="T55" t="str">
        <v>Science Exhibition</v>
      </c>
      <c r="U55" t="str">
        <v>Singing</v>
      </c>
    </row>
    <row r="56" spans="1:21" x14ac:dyDescent="0.3">
      <c r="A56" s="2" t="s">
        <v>84</v>
      </c>
      <c r="B56" s="2" t="s">
        <v>32</v>
      </c>
      <c r="C56" s="2" t="s">
        <v>43</v>
      </c>
      <c r="D56" s="2">
        <v>7</v>
      </c>
      <c r="E56" s="2">
        <v>7473489931</v>
      </c>
      <c r="F56" s="2" t="s">
        <v>13</v>
      </c>
      <c r="G56" s="2" t="s">
        <v>14</v>
      </c>
      <c r="H56" s="2" t="s">
        <v>15</v>
      </c>
      <c r="I56" s="2" t="s">
        <v>22</v>
      </c>
      <c r="J56" s="2" t="s">
        <v>22</v>
      </c>
      <c r="L56" t="str">
        <v>Shikha Sharma</v>
      </c>
      <c r="M56" t="str">
        <v>2nd</v>
      </c>
      <c r="N56" t="str">
        <v>ME</v>
      </c>
      <c r="O56">
        <v>3</v>
      </c>
      <c r="P56">
        <v>6503352129</v>
      </c>
      <c r="Q56" t="str">
        <v>Due</v>
      </c>
      <c r="R56" t="str">
        <v>Yes</v>
      </c>
      <c r="S56" t="str">
        <v>Non-Veg</v>
      </c>
      <c r="T56" t="str">
        <v>Science Exhibition</v>
      </c>
      <c r="U56" t="str">
        <v>Singing</v>
      </c>
    </row>
    <row r="57" spans="1:21" x14ac:dyDescent="0.3">
      <c r="A57" s="2" t="s">
        <v>85</v>
      </c>
      <c r="B57" s="2" t="s">
        <v>11</v>
      </c>
      <c r="C57" s="2" t="s">
        <v>12</v>
      </c>
      <c r="D57" s="2">
        <v>3</v>
      </c>
      <c r="E57" s="2">
        <v>7784045242</v>
      </c>
      <c r="F57" s="2" t="s">
        <v>13</v>
      </c>
      <c r="G57" s="2" t="s">
        <v>20</v>
      </c>
      <c r="H57" s="2" t="s">
        <v>15</v>
      </c>
      <c r="I57" s="2" t="s">
        <v>27</v>
      </c>
      <c r="J57" s="2" t="s">
        <v>17</v>
      </c>
      <c r="L57" t="str">
        <v>Aarav Gupta</v>
      </c>
      <c r="M57" t="str">
        <v>2nd</v>
      </c>
      <c r="N57" t="str">
        <v>ME</v>
      </c>
      <c r="O57">
        <v>3</v>
      </c>
      <c r="P57">
        <v>8799457176</v>
      </c>
      <c r="Q57" t="str">
        <v>Due</v>
      </c>
      <c r="R57" t="str">
        <v>Yes</v>
      </c>
      <c r="S57" t="str">
        <v>Non-Veg</v>
      </c>
      <c r="T57" t="str">
        <v>None</v>
      </c>
      <c r="U57" t="str">
        <v>Singing</v>
      </c>
    </row>
    <row r="58" spans="1:21" x14ac:dyDescent="0.3">
      <c r="A58" s="2" t="s">
        <v>86</v>
      </c>
      <c r="B58" s="2" t="s">
        <v>25</v>
      </c>
      <c r="C58" s="2" t="s">
        <v>36</v>
      </c>
      <c r="D58" s="2">
        <v>5</v>
      </c>
      <c r="E58" s="2">
        <v>9896116034</v>
      </c>
      <c r="F58" s="2" t="s">
        <v>13</v>
      </c>
      <c r="G58" s="2" t="s">
        <v>20</v>
      </c>
      <c r="H58" s="2" t="s">
        <v>15</v>
      </c>
      <c r="I58" s="2" t="s">
        <v>27</v>
      </c>
      <c r="J58" s="2" t="s">
        <v>22</v>
      </c>
      <c r="L58" t="str">
        <v>Tarun Chopra</v>
      </c>
      <c r="M58" t="str">
        <v>3rd</v>
      </c>
      <c r="N58" t="str">
        <v>ME</v>
      </c>
      <c r="O58">
        <v>5</v>
      </c>
      <c r="P58">
        <v>8818744554</v>
      </c>
      <c r="Q58" t="str">
        <v>Paid</v>
      </c>
      <c r="R58" t="str">
        <v>Yes</v>
      </c>
      <c r="S58" t="str">
        <v>Non-Veg</v>
      </c>
      <c r="T58" t="str">
        <v>Coding</v>
      </c>
      <c r="U58" t="str">
        <v>Dance</v>
      </c>
    </row>
    <row r="59" spans="1:21" x14ac:dyDescent="0.3">
      <c r="A59" s="2" t="s">
        <v>87</v>
      </c>
      <c r="B59" s="2" t="s">
        <v>11</v>
      </c>
      <c r="C59" s="2" t="s">
        <v>33</v>
      </c>
      <c r="D59" s="2">
        <v>3</v>
      </c>
      <c r="E59" s="2">
        <v>8371487617</v>
      </c>
      <c r="F59" s="2" t="s">
        <v>19</v>
      </c>
      <c r="G59" s="2" t="s">
        <v>20</v>
      </c>
      <c r="H59" s="2" t="s">
        <v>21</v>
      </c>
      <c r="I59" s="2" t="s">
        <v>37</v>
      </c>
      <c r="J59" s="2" t="s">
        <v>22</v>
      </c>
      <c r="L59" t="str">
        <v>Manish Menon</v>
      </c>
      <c r="M59" t="str">
        <v>1st</v>
      </c>
      <c r="N59" t="str">
        <v>ME</v>
      </c>
      <c r="O59">
        <v>1</v>
      </c>
      <c r="P59">
        <v>9703547982</v>
      </c>
      <c r="Q59" t="str">
        <v>Paid</v>
      </c>
      <c r="R59" t="str">
        <v>No</v>
      </c>
      <c r="S59" t="str">
        <v>Non-Veg</v>
      </c>
      <c r="T59" t="str">
        <v>Gaming</v>
      </c>
      <c r="U59" t="str">
        <v>None</v>
      </c>
    </row>
    <row r="60" spans="1:21" x14ac:dyDescent="0.3">
      <c r="A60" s="2" t="s">
        <v>88</v>
      </c>
      <c r="B60" s="2" t="s">
        <v>35</v>
      </c>
      <c r="C60" s="2" t="s">
        <v>43</v>
      </c>
      <c r="D60" s="2">
        <v>1</v>
      </c>
      <c r="E60" s="2">
        <v>9944199582</v>
      </c>
      <c r="F60" s="2" t="s">
        <v>19</v>
      </c>
      <c r="G60" s="2" t="s">
        <v>20</v>
      </c>
      <c r="H60" s="2" t="s">
        <v>15</v>
      </c>
      <c r="I60" s="2" t="s">
        <v>37</v>
      </c>
      <c r="J60" s="2" t="s">
        <v>23</v>
      </c>
      <c r="L60" t="str">
        <v>Sourabh Malhotra</v>
      </c>
      <c r="M60" t="str">
        <v>3rd</v>
      </c>
      <c r="N60" t="str">
        <v>ME</v>
      </c>
      <c r="O60">
        <v>5</v>
      </c>
      <c r="P60">
        <v>6308037387</v>
      </c>
      <c r="Q60" t="str">
        <v>Due</v>
      </c>
      <c r="R60" t="str">
        <v>Yes</v>
      </c>
      <c r="S60" t="str">
        <v>Veg</v>
      </c>
      <c r="T60" t="str">
        <v>Coding</v>
      </c>
      <c r="U60" t="str">
        <v>Singing</v>
      </c>
    </row>
    <row r="61" spans="1:21" x14ac:dyDescent="0.3">
      <c r="A61" s="2" t="s">
        <v>89</v>
      </c>
      <c r="B61" s="2" t="s">
        <v>25</v>
      </c>
      <c r="C61" s="2" t="s">
        <v>43</v>
      </c>
      <c r="D61" s="2">
        <v>5</v>
      </c>
      <c r="E61" s="2">
        <v>7198699361</v>
      </c>
      <c r="F61" s="2" t="s">
        <v>13</v>
      </c>
      <c r="G61" s="2" t="s">
        <v>14</v>
      </c>
      <c r="H61" s="2" t="s">
        <v>15</v>
      </c>
      <c r="I61" s="2" t="s">
        <v>22</v>
      </c>
      <c r="J61" s="2" t="s">
        <v>17</v>
      </c>
      <c r="L61" t="str">
        <v>Kajal Chauhan</v>
      </c>
      <c r="M61" t="str">
        <v>2nd</v>
      </c>
      <c r="N61" t="str">
        <v>ME</v>
      </c>
      <c r="O61">
        <v>3</v>
      </c>
      <c r="P61">
        <v>9212516858</v>
      </c>
      <c r="Q61" t="str">
        <v>Paid</v>
      </c>
      <c r="R61" t="str">
        <v>No</v>
      </c>
      <c r="S61" t="str">
        <v>Veg</v>
      </c>
      <c r="T61" t="str">
        <v>Science Exhibition</v>
      </c>
      <c r="U61" t="str">
        <v>None</v>
      </c>
    </row>
    <row r="62" spans="1:21" x14ac:dyDescent="0.3">
      <c r="A62" s="2" t="s">
        <v>90</v>
      </c>
      <c r="B62" s="2" t="s">
        <v>35</v>
      </c>
      <c r="C62" s="2" t="s">
        <v>43</v>
      </c>
      <c r="D62" s="2">
        <v>1</v>
      </c>
      <c r="E62" s="2">
        <v>9510854464</v>
      </c>
      <c r="F62" s="2" t="s">
        <v>13</v>
      </c>
      <c r="G62" s="2" t="s">
        <v>14</v>
      </c>
      <c r="H62" s="2" t="s">
        <v>21</v>
      </c>
      <c r="I62" s="2" t="s">
        <v>27</v>
      </c>
      <c r="J62" s="2" t="s">
        <v>17</v>
      </c>
      <c r="L62" t="str">
        <v>Bhavesh Chauhan</v>
      </c>
      <c r="M62" t="str">
        <v>1st</v>
      </c>
      <c r="N62" t="str">
        <v>ME</v>
      </c>
      <c r="O62">
        <v>1</v>
      </c>
      <c r="P62">
        <v>6901412110</v>
      </c>
      <c r="Q62" t="str">
        <v>Due</v>
      </c>
      <c r="R62" t="str">
        <v>No</v>
      </c>
      <c r="S62" t="str">
        <v>Non-Veg</v>
      </c>
      <c r="T62" t="str">
        <v>Quiz</v>
      </c>
      <c r="U62" t="str">
        <v>None</v>
      </c>
    </row>
    <row r="63" spans="1:21" x14ac:dyDescent="0.3">
      <c r="A63" s="2" t="s">
        <v>91</v>
      </c>
      <c r="B63" s="2" t="s">
        <v>35</v>
      </c>
      <c r="C63" s="2" t="s">
        <v>36</v>
      </c>
      <c r="D63" s="2">
        <v>1</v>
      </c>
      <c r="E63" s="2">
        <v>8756328718</v>
      </c>
      <c r="F63" s="2" t="s">
        <v>13</v>
      </c>
      <c r="G63" s="2" t="s">
        <v>20</v>
      </c>
      <c r="H63" s="2" t="s">
        <v>15</v>
      </c>
      <c r="I63" s="2" t="s">
        <v>16</v>
      </c>
      <c r="J63" s="2" t="s">
        <v>17</v>
      </c>
      <c r="L63" t="str">
        <v>Arjun Sen</v>
      </c>
      <c r="M63" t="str">
        <v>1st</v>
      </c>
      <c r="N63" t="str">
        <v>ME</v>
      </c>
      <c r="O63">
        <v>1</v>
      </c>
      <c r="P63">
        <v>8498773128</v>
      </c>
      <c r="Q63" t="str">
        <v>Paid</v>
      </c>
      <c r="R63" t="str">
        <v>Yes</v>
      </c>
      <c r="S63" t="str">
        <v>Non-Veg</v>
      </c>
      <c r="T63" t="str">
        <v>None</v>
      </c>
      <c r="U63" t="str">
        <v>Singing</v>
      </c>
    </row>
    <row r="64" spans="1:21" x14ac:dyDescent="0.3">
      <c r="A64" s="2" t="s">
        <v>92</v>
      </c>
      <c r="B64" s="2" t="s">
        <v>11</v>
      </c>
      <c r="C64" s="2" t="s">
        <v>36</v>
      </c>
      <c r="D64" s="2">
        <v>3</v>
      </c>
      <c r="E64" s="2">
        <v>8111844125</v>
      </c>
      <c r="F64" s="2" t="s">
        <v>13</v>
      </c>
      <c r="G64" s="2" t="s">
        <v>14</v>
      </c>
      <c r="H64" s="2" t="s">
        <v>15</v>
      </c>
      <c r="I64" s="2" t="s">
        <v>41</v>
      </c>
      <c r="J64" s="2" t="s">
        <v>17</v>
      </c>
      <c r="L64" t="str">
        <v>Arjun Roy</v>
      </c>
      <c r="M64" t="str">
        <v>1st</v>
      </c>
      <c r="N64" t="str">
        <v>ME</v>
      </c>
      <c r="O64">
        <v>1</v>
      </c>
      <c r="P64">
        <v>9145866386</v>
      </c>
      <c r="Q64" t="str">
        <v>Paid</v>
      </c>
      <c r="R64" t="str">
        <v>Yes</v>
      </c>
      <c r="S64" t="str">
        <v>Non-Veg</v>
      </c>
      <c r="T64" t="str">
        <v>Gaming</v>
      </c>
      <c r="U64" t="str">
        <v>None</v>
      </c>
    </row>
    <row r="65" spans="1:21" x14ac:dyDescent="0.3">
      <c r="A65" s="2" t="s">
        <v>93</v>
      </c>
      <c r="B65" s="2" t="s">
        <v>11</v>
      </c>
      <c r="C65" s="2" t="s">
        <v>26</v>
      </c>
      <c r="D65" s="2">
        <v>3</v>
      </c>
      <c r="E65" s="2">
        <v>9383367846</v>
      </c>
      <c r="F65" s="2" t="s">
        <v>19</v>
      </c>
      <c r="G65" s="2" t="s">
        <v>14</v>
      </c>
      <c r="H65" s="2" t="s">
        <v>15</v>
      </c>
      <c r="I65" s="2" t="s">
        <v>22</v>
      </c>
      <c r="J65" s="2" t="s">
        <v>23</v>
      </c>
      <c r="L65" t="str">
        <v>Ishan Shah</v>
      </c>
      <c r="M65" t="str">
        <v>3rd</v>
      </c>
      <c r="N65" t="str">
        <v>ME</v>
      </c>
      <c r="O65">
        <v>5</v>
      </c>
      <c r="P65">
        <v>9353099314</v>
      </c>
      <c r="Q65" t="str">
        <v>Paid</v>
      </c>
      <c r="R65" t="str">
        <v>No</v>
      </c>
      <c r="S65" t="str">
        <v>Veg</v>
      </c>
      <c r="T65" t="str">
        <v>Science Exhibition</v>
      </c>
      <c r="U65" t="str">
        <v>Singing</v>
      </c>
    </row>
    <row r="66" spans="1:21" x14ac:dyDescent="0.3">
      <c r="A66" s="2" t="s">
        <v>94</v>
      </c>
      <c r="B66" s="2" t="s">
        <v>11</v>
      </c>
      <c r="C66" s="2" t="s">
        <v>33</v>
      </c>
      <c r="D66" s="2">
        <v>3</v>
      </c>
      <c r="E66" s="2">
        <v>6676790613</v>
      </c>
      <c r="F66" s="2" t="s">
        <v>19</v>
      </c>
      <c r="G66" s="2" t="s">
        <v>20</v>
      </c>
      <c r="H66" s="2" t="s">
        <v>15</v>
      </c>
      <c r="I66" s="2" t="s">
        <v>22</v>
      </c>
      <c r="J66" s="2" t="s">
        <v>22</v>
      </c>
      <c r="L66" t="str">
        <v>Rishabh Shah</v>
      </c>
      <c r="M66" t="str">
        <v>2nd</v>
      </c>
      <c r="N66" t="str">
        <v>ME</v>
      </c>
      <c r="O66">
        <v>3</v>
      </c>
      <c r="P66">
        <v>7025327456</v>
      </c>
      <c r="Q66" t="str">
        <v>Due</v>
      </c>
      <c r="R66" t="str">
        <v>No</v>
      </c>
      <c r="S66" t="str">
        <v>Veg</v>
      </c>
      <c r="T66" t="str">
        <v>Art</v>
      </c>
      <c r="U66" t="str">
        <v>None</v>
      </c>
    </row>
    <row r="67" spans="1:21" x14ac:dyDescent="0.3">
      <c r="A67" s="2" t="s">
        <v>95</v>
      </c>
      <c r="B67" s="2" t="s">
        <v>11</v>
      </c>
      <c r="C67" s="2" t="s">
        <v>12</v>
      </c>
      <c r="D67" s="2">
        <v>3</v>
      </c>
      <c r="E67" s="2">
        <v>6503352129</v>
      </c>
      <c r="F67" s="2" t="s">
        <v>13</v>
      </c>
      <c r="G67" s="2" t="s">
        <v>14</v>
      </c>
      <c r="H67" s="2" t="s">
        <v>21</v>
      </c>
      <c r="I67" s="2" t="s">
        <v>27</v>
      </c>
      <c r="J67" s="2" t="s">
        <v>17</v>
      </c>
      <c r="L67" t="str">
        <v>Pragya Malhotra</v>
      </c>
      <c r="M67" t="str">
        <v>2nd</v>
      </c>
      <c r="N67" t="str">
        <v>ME</v>
      </c>
      <c r="O67">
        <v>3</v>
      </c>
      <c r="P67">
        <v>9647080659</v>
      </c>
      <c r="Q67" t="str">
        <v>Paid</v>
      </c>
      <c r="R67" t="str">
        <v>Yes</v>
      </c>
      <c r="S67" t="str">
        <v>Non-Veg</v>
      </c>
      <c r="T67" t="str">
        <v>None</v>
      </c>
      <c r="U67" t="str">
        <v>Dance</v>
      </c>
    </row>
    <row r="68" spans="1:21" x14ac:dyDescent="0.3">
      <c r="A68" s="2" t="s">
        <v>96</v>
      </c>
      <c r="B68" s="2" t="s">
        <v>35</v>
      </c>
      <c r="C68" s="2" t="s">
        <v>26</v>
      </c>
      <c r="D68" s="2">
        <v>1</v>
      </c>
      <c r="E68" s="2">
        <v>6812154144</v>
      </c>
      <c r="F68" s="2" t="s">
        <v>19</v>
      </c>
      <c r="G68" s="2" t="s">
        <v>20</v>
      </c>
      <c r="H68" s="2" t="s">
        <v>15</v>
      </c>
      <c r="I68" s="2" t="s">
        <v>22</v>
      </c>
      <c r="J68" s="2" t="s">
        <v>17</v>
      </c>
      <c r="L68" t="str">
        <v>Sakshi Chauhan</v>
      </c>
      <c r="M68" t="str">
        <v>3rd</v>
      </c>
      <c r="N68" t="str">
        <v>ME</v>
      </c>
      <c r="O68">
        <v>5</v>
      </c>
      <c r="P68">
        <v>8451262589</v>
      </c>
      <c r="Q68" t="str">
        <v>Paid</v>
      </c>
      <c r="R68" t="str">
        <v>Yes</v>
      </c>
      <c r="S68" t="str">
        <v>Veg</v>
      </c>
      <c r="T68" t="str">
        <v>Coding</v>
      </c>
      <c r="U68" t="str">
        <v>Singing</v>
      </c>
    </row>
    <row r="69" spans="1:21" x14ac:dyDescent="0.3">
      <c r="A69" s="2" t="s">
        <v>97</v>
      </c>
      <c r="B69" s="2" t="s">
        <v>11</v>
      </c>
      <c r="C69" s="2" t="s">
        <v>33</v>
      </c>
      <c r="D69" s="2">
        <v>3</v>
      </c>
      <c r="E69" s="2">
        <v>8905105497</v>
      </c>
      <c r="F69" s="2" t="s">
        <v>19</v>
      </c>
      <c r="G69" s="2" t="s">
        <v>14</v>
      </c>
      <c r="H69" s="2" t="s">
        <v>21</v>
      </c>
      <c r="I69" s="2" t="s">
        <v>27</v>
      </c>
      <c r="J69" s="2" t="s">
        <v>17</v>
      </c>
      <c r="L69" t="str">
        <v>Amit Mondal</v>
      </c>
      <c r="M69" t="str">
        <v>3rd</v>
      </c>
      <c r="N69" t="str">
        <v>ME</v>
      </c>
      <c r="O69">
        <v>5</v>
      </c>
      <c r="P69">
        <v>7496307145</v>
      </c>
      <c r="Q69" t="str">
        <v>Due</v>
      </c>
      <c r="R69" t="str">
        <v>Yes</v>
      </c>
      <c r="S69" t="str">
        <v>Veg</v>
      </c>
      <c r="T69" t="str">
        <v>Quiz</v>
      </c>
      <c r="U69" t="str">
        <v>Dance</v>
      </c>
    </row>
    <row r="70" spans="1:21" x14ac:dyDescent="0.3">
      <c r="A70" s="2" t="s">
        <v>98</v>
      </c>
      <c r="B70" s="2" t="s">
        <v>11</v>
      </c>
      <c r="C70" s="2" t="s">
        <v>12</v>
      </c>
      <c r="D70" s="2">
        <v>3</v>
      </c>
      <c r="E70" s="2">
        <v>8799457176</v>
      </c>
      <c r="F70" s="2" t="s">
        <v>13</v>
      </c>
      <c r="G70" s="2" t="s">
        <v>14</v>
      </c>
      <c r="H70" s="2" t="s">
        <v>21</v>
      </c>
      <c r="I70" s="2" t="s">
        <v>22</v>
      </c>
      <c r="J70" s="2" t="s">
        <v>17</v>
      </c>
      <c r="L70" t="str">
        <v>Rohan Kumar</v>
      </c>
      <c r="M70" t="str">
        <v>1st</v>
      </c>
      <c r="N70" t="str">
        <v>ME</v>
      </c>
      <c r="O70">
        <v>1</v>
      </c>
      <c r="P70">
        <v>7600829031</v>
      </c>
      <c r="Q70" t="str">
        <v>Paid</v>
      </c>
      <c r="R70" t="str">
        <v>Yes</v>
      </c>
      <c r="S70" t="str">
        <v>Veg</v>
      </c>
      <c r="T70" t="str">
        <v>Quiz</v>
      </c>
      <c r="U70" t="str">
        <v>Dance</v>
      </c>
    </row>
    <row r="71" spans="1:21" x14ac:dyDescent="0.3">
      <c r="A71" s="2" t="s">
        <v>99</v>
      </c>
      <c r="B71" s="2" t="s">
        <v>11</v>
      </c>
      <c r="C71" s="2" t="s">
        <v>43</v>
      </c>
      <c r="D71" s="2">
        <v>3</v>
      </c>
      <c r="E71" s="2">
        <v>6353238458</v>
      </c>
      <c r="F71" s="2" t="s">
        <v>13</v>
      </c>
      <c r="G71" s="2" t="s">
        <v>20</v>
      </c>
      <c r="H71" s="2" t="s">
        <v>15</v>
      </c>
      <c r="I71" s="2" t="s">
        <v>22</v>
      </c>
      <c r="J71" s="2" t="s">
        <v>23</v>
      </c>
      <c r="L71" t="str">
        <v>Shubham Reddy</v>
      </c>
      <c r="M71" t="str">
        <v>3rd</v>
      </c>
      <c r="N71" t="str">
        <v>ME</v>
      </c>
      <c r="O71">
        <v>5</v>
      </c>
      <c r="P71">
        <v>7811790353</v>
      </c>
      <c r="Q71" t="str">
        <v>Paid</v>
      </c>
      <c r="R71" t="str">
        <v>No</v>
      </c>
      <c r="S71" t="str">
        <v>Non-Veg</v>
      </c>
      <c r="T71" t="str">
        <v>Science Exhibition</v>
      </c>
      <c r="U71" t="str">
        <v>None</v>
      </c>
    </row>
    <row r="72" spans="1:21" x14ac:dyDescent="0.3">
      <c r="A72" s="2" t="s">
        <v>100</v>
      </c>
      <c r="B72" s="2" t="s">
        <v>25</v>
      </c>
      <c r="C72" s="2" t="s">
        <v>12</v>
      </c>
      <c r="D72" s="2">
        <v>5</v>
      </c>
      <c r="E72" s="2">
        <v>8818744554</v>
      </c>
      <c r="F72" s="2" t="s">
        <v>19</v>
      </c>
      <c r="G72" s="2" t="s">
        <v>14</v>
      </c>
      <c r="H72" s="2" t="s">
        <v>21</v>
      </c>
      <c r="I72" s="2" t="s">
        <v>41</v>
      </c>
      <c r="J72" s="2" t="s">
        <v>23</v>
      </c>
      <c r="L72" t="str">
        <v>Komal Jain</v>
      </c>
      <c r="M72" t="str">
        <v>3rd</v>
      </c>
      <c r="N72" t="str">
        <v>ME</v>
      </c>
      <c r="O72">
        <v>5</v>
      </c>
      <c r="P72">
        <v>6374361460</v>
      </c>
      <c r="Q72" t="str">
        <v>Due</v>
      </c>
      <c r="R72" t="str">
        <v>No</v>
      </c>
      <c r="S72" t="str">
        <v>Non-Veg</v>
      </c>
      <c r="T72" t="str">
        <v>None</v>
      </c>
      <c r="U72" t="str">
        <v>None</v>
      </c>
    </row>
    <row r="73" spans="1:21" x14ac:dyDescent="0.3">
      <c r="A73" s="2" t="s">
        <v>101</v>
      </c>
      <c r="B73" s="2" t="s">
        <v>35</v>
      </c>
      <c r="C73" s="2" t="s">
        <v>43</v>
      </c>
      <c r="D73" s="2">
        <v>1</v>
      </c>
      <c r="E73" s="2">
        <v>9424927040</v>
      </c>
      <c r="F73" s="2" t="s">
        <v>19</v>
      </c>
      <c r="G73" s="2" t="s">
        <v>20</v>
      </c>
      <c r="H73" s="2" t="s">
        <v>15</v>
      </c>
      <c r="I73" s="2" t="s">
        <v>22</v>
      </c>
      <c r="J73" s="2" t="s">
        <v>22</v>
      </c>
      <c r="L73" t="str">
        <v>Nikita Dey</v>
      </c>
      <c r="M73" t="str">
        <v>3rd</v>
      </c>
      <c r="N73" t="str">
        <v>ME</v>
      </c>
      <c r="O73">
        <v>5</v>
      </c>
      <c r="P73">
        <v>6744565986</v>
      </c>
      <c r="Q73" t="str">
        <v>Due</v>
      </c>
      <c r="R73" t="str">
        <v>Yes</v>
      </c>
      <c r="S73" t="str">
        <v>Non-Veg</v>
      </c>
      <c r="T73" t="str">
        <v>Coding</v>
      </c>
      <c r="U73" t="str">
        <v>Singing</v>
      </c>
    </row>
    <row r="74" spans="1:21" x14ac:dyDescent="0.3">
      <c r="A74" s="2" t="s">
        <v>102</v>
      </c>
      <c r="B74" s="2" t="s">
        <v>32</v>
      </c>
      <c r="C74" s="2" t="s">
        <v>43</v>
      </c>
      <c r="D74" s="2">
        <v>7</v>
      </c>
      <c r="E74" s="2">
        <v>7598011615</v>
      </c>
      <c r="F74" s="2" t="s">
        <v>13</v>
      </c>
      <c r="G74" s="2" t="s">
        <v>20</v>
      </c>
      <c r="H74" s="2" t="s">
        <v>15</v>
      </c>
      <c r="I74" s="2" t="s">
        <v>29</v>
      </c>
      <c r="J74" s="2" t="s">
        <v>22</v>
      </c>
      <c r="L74" t="str">
        <v>Sumit Bansal</v>
      </c>
      <c r="M74" t="str">
        <v>2nd</v>
      </c>
      <c r="N74" t="str">
        <v>ME</v>
      </c>
      <c r="O74">
        <v>3</v>
      </c>
      <c r="P74">
        <v>6960751126</v>
      </c>
      <c r="Q74" t="str">
        <v>Due</v>
      </c>
      <c r="R74" t="str">
        <v>Yes</v>
      </c>
      <c r="S74" t="str">
        <v>Non-Veg</v>
      </c>
      <c r="T74" t="str">
        <v>Gaming</v>
      </c>
      <c r="U74" t="str">
        <v>Singing</v>
      </c>
    </row>
    <row r="75" spans="1:21" x14ac:dyDescent="0.3">
      <c r="A75" s="2" t="s">
        <v>103</v>
      </c>
      <c r="B75" s="2" t="s">
        <v>11</v>
      </c>
      <c r="C75" s="2" t="s">
        <v>43</v>
      </c>
      <c r="D75" s="2">
        <v>3</v>
      </c>
      <c r="E75" s="2">
        <v>9576782874</v>
      </c>
      <c r="F75" s="2" t="s">
        <v>13</v>
      </c>
      <c r="G75" s="2" t="s">
        <v>14</v>
      </c>
      <c r="H75" s="2" t="s">
        <v>21</v>
      </c>
      <c r="I75" s="2" t="s">
        <v>41</v>
      </c>
      <c r="J75" s="2" t="s">
        <v>23</v>
      </c>
      <c r="L75" t="str">
        <v>Karan Kumar</v>
      </c>
      <c r="M75" t="str">
        <v>1st</v>
      </c>
      <c r="N75" t="str">
        <v>ME</v>
      </c>
      <c r="O75">
        <v>1</v>
      </c>
      <c r="P75">
        <v>6841136105</v>
      </c>
      <c r="Q75" t="str">
        <v>Due</v>
      </c>
      <c r="R75" t="str">
        <v>No</v>
      </c>
      <c r="S75" t="str">
        <v>Veg</v>
      </c>
      <c r="T75" t="str">
        <v>None</v>
      </c>
      <c r="U75" t="str">
        <v>Singing</v>
      </c>
    </row>
    <row r="76" spans="1:21" x14ac:dyDescent="0.3">
      <c r="A76" s="2" t="s">
        <v>104</v>
      </c>
      <c r="B76" s="2" t="s">
        <v>25</v>
      </c>
      <c r="C76" s="2" t="s">
        <v>36</v>
      </c>
      <c r="D76" s="2">
        <v>5</v>
      </c>
      <c r="E76" s="2">
        <v>9355691350</v>
      </c>
      <c r="F76" s="2" t="s">
        <v>13</v>
      </c>
      <c r="G76" s="2" t="s">
        <v>14</v>
      </c>
      <c r="H76" s="2" t="s">
        <v>21</v>
      </c>
      <c r="I76" s="2" t="s">
        <v>29</v>
      </c>
      <c r="J76" s="2" t="s">
        <v>22</v>
      </c>
      <c r="L76" t="str">
        <v>Tanya Nair</v>
      </c>
      <c r="M76" t="str">
        <v>3rd</v>
      </c>
      <c r="N76" t="str">
        <v>ME</v>
      </c>
      <c r="O76">
        <v>5</v>
      </c>
      <c r="P76">
        <v>9879224090</v>
      </c>
      <c r="Q76" t="str">
        <v>Due</v>
      </c>
      <c r="R76" t="str">
        <v>Yes</v>
      </c>
      <c r="S76" t="str">
        <v>Veg</v>
      </c>
      <c r="T76" t="str">
        <v>Coding</v>
      </c>
      <c r="U76" t="str">
        <v>None</v>
      </c>
    </row>
    <row r="77" spans="1:21" x14ac:dyDescent="0.3">
      <c r="A77" s="2" t="s">
        <v>105</v>
      </c>
      <c r="B77" s="2" t="s">
        <v>32</v>
      </c>
      <c r="C77" s="2" t="s">
        <v>36</v>
      </c>
      <c r="D77" s="2">
        <v>7</v>
      </c>
      <c r="E77" s="2">
        <v>6568918318</v>
      </c>
      <c r="F77" s="2" t="s">
        <v>19</v>
      </c>
      <c r="G77" s="2" t="s">
        <v>14</v>
      </c>
      <c r="H77" s="2" t="s">
        <v>15</v>
      </c>
      <c r="I77" s="2" t="s">
        <v>41</v>
      </c>
      <c r="J77" s="2" t="s">
        <v>23</v>
      </c>
      <c r="L77" t="str">
        <v>Amar Shah</v>
      </c>
      <c r="M77" t="str">
        <v>3rd</v>
      </c>
      <c r="N77" t="str">
        <v>ME</v>
      </c>
      <c r="O77">
        <v>5</v>
      </c>
      <c r="P77">
        <v>9668771037</v>
      </c>
      <c r="Q77" t="str">
        <v>Due</v>
      </c>
      <c r="R77" t="str">
        <v>Yes</v>
      </c>
      <c r="S77" t="str">
        <v>Non-Veg</v>
      </c>
      <c r="T77" t="str">
        <v>Coding</v>
      </c>
      <c r="U77" t="str">
        <v>Singing</v>
      </c>
    </row>
    <row r="78" spans="1:21" x14ac:dyDescent="0.3">
      <c r="A78" s="2" t="s">
        <v>106</v>
      </c>
      <c r="B78" s="2" t="s">
        <v>32</v>
      </c>
      <c r="C78" s="2" t="s">
        <v>26</v>
      </c>
      <c r="D78" s="2">
        <v>7</v>
      </c>
      <c r="E78" s="2">
        <v>8534088133</v>
      </c>
      <c r="F78" s="2" t="s">
        <v>19</v>
      </c>
      <c r="G78" s="2" t="s">
        <v>20</v>
      </c>
      <c r="H78" s="2" t="s">
        <v>21</v>
      </c>
      <c r="I78" s="2" t="s">
        <v>37</v>
      </c>
      <c r="J78" s="2" t="s">
        <v>22</v>
      </c>
      <c r="L78" t="str">
        <v>Uday Pillai</v>
      </c>
      <c r="M78" t="str">
        <v>3rd</v>
      </c>
      <c r="N78" t="str">
        <v>ME</v>
      </c>
      <c r="O78">
        <v>5</v>
      </c>
      <c r="P78">
        <v>7203514151</v>
      </c>
      <c r="Q78" t="str">
        <v>Due</v>
      </c>
      <c r="R78" t="str">
        <v>No</v>
      </c>
      <c r="S78" t="str">
        <v>Veg</v>
      </c>
      <c r="T78" t="str">
        <v>Coding</v>
      </c>
      <c r="U78" t="str">
        <v>None</v>
      </c>
    </row>
    <row r="79" spans="1:21" x14ac:dyDescent="0.3">
      <c r="A79" s="2" t="s">
        <v>107</v>
      </c>
      <c r="B79" s="2" t="s">
        <v>25</v>
      </c>
      <c r="C79" s="2" t="s">
        <v>43</v>
      </c>
      <c r="D79" s="2">
        <v>5</v>
      </c>
      <c r="E79" s="2">
        <v>9488762609</v>
      </c>
      <c r="F79" s="2" t="s">
        <v>19</v>
      </c>
      <c r="G79" s="2" t="s">
        <v>20</v>
      </c>
      <c r="H79" s="2" t="s">
        <v>15</v>
      </c>
      <c r="I79" s="2" t="s">
        <v>29</v>
      </c>
      <c r="J79" s="2" t="s">
        <v>23</v>
      </c>
      <c r="L79" t="str">
        <v>Nikhil Saxena</v>
      </c>
      <c r="M79" t="str">
        <v>2nd</v>
      </c>
      <c r="N79" t="str">
        <v>ME</v>
      </c>
      <c r="O79">
        <v>3</v>
      </c>
      <c r="P79">
        <v>9164811063</v>
      </c>
      <c r="Q79" t="str">
        <v>Paid</v>
      </c>
      <c r="R79" t="str">
        <v>No</v>
      </c>
      <c r="S79" t="str">
        <v>Veg</v>
      </c>
      <c r="T79" t="str">
        <v>None</v>
      </c>
      <c r="U79" t="str">
        <v>None</v>
      </c>
    </row>
    <row r="80" spans="1:21" x14ac:dyDescent="0.3">
      <c r="A80" s="2" t="s">
        <v>108</v>
      </c>
      <c r="B80" s="2" t="s">
        <v>25</v>
      </c>
      <c r="C80" s="2" t="s">
        <v>26</v>
      </c>
      <c r="D80" s="2">
        <v>5</v>
      </c>
      <c r="E80" s="2">
        <v>6783558278</v>
      </c>
      <c r="F80" s="2" t="s">
        <v>19</v>
      </c>
      <c r="G80" s="2" t="s">
        <v>20</v>
      </c>
      <c r="H80" s="2" t="s">
        <v>21</v>
      </c>
      <c r="I80" s="2" t="s">
        <v>22</v>
      </c>
      <c r="J80" s="2" t="s">
        <v>23</v>
      </c>
      <c r="L80" t="str">
        <v>Pooja Joshi</v>
      </c>
      <c r="M80" t="str">
        <v>1st</v>
      </c>
      <c r="N80" t="str">
        <v>ME</v>
      </c>
      <c r="O80">
        <v>1</v>
      </c>
      <c r="P80">
        <v>7314717194</v>
      </c>
      <c r="Q80" t="str">
        <v>Paid</v>
      </c>
      <c r="R80" t="str">
        <v>No</v>
      </c>
      <c r="S80" t="str">
        <v>Non-Veg</v>
      </c>
      <c r="T80" t="str">
        <v>Gaming</v>
      </c>
      <c r="U80" t="str">
        <v>None</v>
      </c>
    </row>
    <row r="81" spans="1:21" x14ac:dyDescent="0.3">
      <c r="A81" s="2" t="s">
        <v>109</v>
      </c>
      <c r="B81" s="2" t="s">
        <v>32</v>
      </c>
      <c r="C81" s="2" t="s">
        <v>43</v>
      </c>
      <c r="D81" s="2">
        <v>7</v>
      </c>
      <c r="E81" s="2">
        <v>7114639370</v>
      </c>
      <c r="F81" s="2" t="s">
        <v>19</v>
      </c>
      <c r="G81" s="2" t="s">
        <v>20</v>
      </c>
      <c r="H81" s="2" t="s">
        <v>15</v>
      </c>
      <c r="I81" s="2" t="s">
        <v>16</v>
      </c>
      <c r="J81" s="2" t="s">
        <v>22</v>
      </c>
      <c r="L81" t="str">
        <v>Nisha Das</v>
      </c>
      <c r="M81" t="str">
        <v>2nd</v>
      </c>
      <c r="N81" t="str">
        <v>ME</v>
      </c>
      <c r="O81">
        <v>3</v>
      </c>
      <c r="P81">
        <v>6975936691</v>
      </c>
      <c r="Q81" t="str">
        <v>Due</v>
      </c>
      <c r="R81" t="str">
        <v>Yes</v>
      </c>
      <c r="S81" t="str">
        <v>Veg</v>
      </c>
      <c r="T81" t="str">
        <v>Gaming</v>
      </c>
      <c r="U81" t="str">
        <v>Singing</v>
      </c>
    </row>
    <row r="82" spans="1:21" x14ac:dyDescent="0.3">
      <c r="A82" s="2" t="s">
        <v>110</v>
      </c>
      <c r="B82" s="2" t="s">
        <v>32</v>
      </c>
      <c r="C82" s="2" t="s">
        <v>43</v>
      </c>
      <c r="D82" s="2">
        <v>7</v>
      </c>
      <c r="E82" s="2">
        <v>6590416131</v>
      </c>
      <c r="F82" s="2" t="s">
        <v>19</v>
      </c>
      <c r="G82" s="2" t="s">
        <v>20</v>
      </c>
      <c r="H82" s="2" t="s">
        <v>21</v>
      </c>
      <c r="I82" s="2" t="s">
        <v>22</v>
      </c>
      <c r="J82" s="2" t="s">
        <v>22</v>
      </c>
      <c r="L82" t="str">
        <v>Pooja Sen</v>
      </c>
      <c r="M82" t="str">
        <v>2nd</v>
      </c>
      <c r="N82" t="str">
        <v>ME</v>
      </c>
      <c r="O82">
        <v>3</v>
      </c>
      <c r="P82">
        <v>9639956501</v>
      </c>
      <c r="Q82" t="str">
        <v>Paid</v>
      </c>
      <c r="R82" t="str">
        <v>No</v>
      </c>
      <c r="S82" t="str">
        <v>Veg</v>
      </c>
      <c r="T82" t="str">
        <v>None</v>
      </c>
      <c r="U82" t="str">
        <v>Dance</v>
      </c>
    </row>
    <row r="83" spans="1:21" x14ac:dyDescent="0.3">
      <c r="A83" s="2" t="s">
        <v>111</v>
      </c>
      <c r="B83" s="2" t="s">
        <v>35</v>
      </c>
      <c r="C83" s="2" t="s">
        <v>26</v>
      </c>
      <c r="D83" s="2">
        <v>1</v>
      </c>
      <c r="E83" s="2">
        <v>8466558590</v>
      </c>
      <c r="F83" s="2" t="s">
        <v>13</v>
      </c>
      <c r="G83" s="2" t="s">
        <v>14</v>
      </c>
      <c r="H83" s="2" t="s">
        <v>15</v>
      </c>
      <c r="I83" s="2" t="s">
        <v>37</v>
      </c>
      <c r="J83" s="2" t="s">
        <v>17</v>
      </c>
      <c r="L83" t="str">
        <v>Himanshu Ahuja</v>
      </c>
      <c r="M83" t="str">
        <v>4th</v>
      </c>
      <c r="N83" t="str">
        <v>ME</v>
      </c>
      <c r="O83">
        <v>7</v>
      </c>
      <c r="P83">
        <v>7683981022</v>
      </c>
      <c r="Q83" t="str">
        <v>Due</v>
      </c>
      <c r="R83" t="str">
        <v>No</v>
      </c>
      <c r="S83" t="str">
        <v>Non-Veg</v>
      </c>
      <c r="T83" t="str">
        <v>Quiz</v>
      </c>
      <c r="U83" t="str">
        <v>Dance</v>
      </c>
    </row>
    <row r="84" spans="1:21" x14ac:dyDescent="0.3">
      <c r="A84" s="2" t="s">
        <v>112</v>
      </c>
      <c r="B84" s="2" t="s">
        <v>35</v>
      </c>
      <c r="C84" s="2" t="s">
        <v>43</v>
      </c>
      <c r="D84" s="2">
        <v>1</v>
      </c>
      <c r="E84" s="2">
        <v>9661950055</v>
      </c>
      <c r="F84" s="2" t="s">
        <v>19</v>
      </c>
      <c r="G84" s="2" t="s">
        <v>20</v>
      </c>
      <c r="H84" s="2" t="s">
        <v>15</v>
      </c>
      <c r="I84" s="2" t="s">
        <v>22</v>
      </c>
      <c r="J84" s="2" t="s">
        <v>22</v>
      </c>
      <c r="L84" t="str">
        <v>Lokesh Shah</v>
      </c>
      <c r="M84" t="str">
        <v>4th</v>
      </c>
      <c r="N84" t="str">
        <v>ME</v>
      </c>
      <c r="O84">
        <v>7</v>
      </c>
      <c r="P84">
        <v>8420516381</v>
      </c>
      <c r="Q84" t="str">
        <v>Paid</v>
      </c>
      <c r="R84" t="str">
        <v>No</v>
      </c>
      <c r="S84" t="str">
        <v>Non-Veg</v>
      </c>
      <c r="T84" t="str">
        <v>Coding</v>
      </c>
      <c r="U84" t="str">
        <v>Dance</v>
      </c>
    </row>
    <row r="85" spans="1:21" x14ac:dyDescent="0.3">
      <c r="A85" s="2" t="s">
        <v>113</v>
      </c>
      <c r="B85" s="2" t="s">
        <v>25</v>
      </c>
      <c r="C85" s="2" t="s">
        <v>33</v>
      </c>
      <c r="D85" s="2">
        <v>5</v>
      </c>
      <c r="E85" s="2">
        <v>7224290632</v>
      </c>
      <c r="F85" s="2" t="s">
        <v>13</v>
      </c>
      <c r="G85" s="2" t="s">
        <v>14</v>
      </c>
      <c r="H85" s="2" t="s">
        <v>21</v>
      </c>
      <c r="I85" s="2" t="s">
        <v>22</v>
      </c>
      <c r="J85" s="2" t="s">
        <v>22</v>
      </c>
      <c r="L85" t="str">
        <v>Dhruv Reddy</v>
      </c>
      <c r="M85" t="str">
        <v>1st</v>
      </c>
      <c r="N85" t="str">
        <v>ME</v>
      </c>
      <c r="O85">
        <v>1</v>
      </c>
      <c r="P85">
        <v>8396038611</v>
      </c>
      <c r="Q85" t="str">
        <v>Paid</v>
      </c>
      <c r="R85" t="str">
        <v>Yes</v>
      </c>
      <c r="S85" t="str">
        <v>Non-Veg</v>
      </c>
      <c r="T85" t="str">
        <v>None</v>
      </c>
      <c r="U85" t="str">
        <v>Dance</v>
      </c>
    </row>
    <row r="86" spans="1:21" x14ac:dyDescent="0.3">
      <c r="A86" s="2" t="s">
        <v>114</v>
      </c>
      <c r="B86" s="2" t="s">
        <v>32</v>
      </c>
      <c r="C86" s="2" t="s">
        <v>43</v>
      </c>
      <c r="D86" s="2">
        <v>7</v>
      </c>
      <c r="E86" s="2">
        <v>9402112728</v>
      </c>
      <c r="F86" s="2" t="s">
        <v>19</v>
      </c>
      <c r="G86" s="2" t="s">
        <v>20</v>
      </c>
      <c r="H86" s="2" t="s">
        <v>21</v>
      </c>
      <c r="I86" s="2" t="s">
        <v>27</v>
      </c>
      <c r="J86" s="2" t="s">
        <v>22</v>
      </c>
      <c r="L86" t="str">
        <v>Monika Roy</v>
      </c>
      <c r="M86" t="str">
        <v>2nd</v>
      </c>
      <c r="N86" t="str">
        <v>ME</v>
      </c>
      <c r="O86">
        <v>3</v>
      </c>
      <c r="P86">
        <v>8334003743</v>
      </c>
      <c r="Q86" t="str">
        <v>Paid</v>
      </c>
      <c r="R86" t="str">
        <v>No</v>
      </c>
      <c r="S86" t="str">
        <v>Non-Veg</v>
      </c>
      <c r="T86" t="str">
        <v>None</v>
      </c>
      <c r="U86" t="str">
        <v>Dance</v>
      </c>
    </row>
    <row r="87" spans="1:21" x14ac:dyDescent="0.3">
      <c r="A87" s="2" t="s">
        <v>115</v>
      </c>
      <c r="B87" s="2" t="s">
        <v>25</v>
      </c>
      <c r="C87" s="2" t="s">
        <v>26</v>
      </c>
      <c r="D87" s="2">
        <v>5</v>
      </c>
      <c r="E87" s="2">
        <v>8957856655</v>
      </c>
      <c r="F87" s="2" t="s">
        <v>19</v>
      </c>
      <c r="G87" s="2" t="s">
        <v>14</v>
      </c>
      <c r="H87" s="2" t="s">
        <v>21</v>
      </c>
      <c r="I87" s="2" t="s">
        <v>27</v>
      </c>
      <c r="J87" s="2" t="s">
        <v>23</v>
      </c>
      <c r="L87" t="str">
        <v>Akanksha Yadav</v>
      </c>
      <c r="M87" t="str">
        <v>3rd</v>
      </c>
      <c r="N87" t="str">
        <v>ME</v>
      </c>
      <c r="O87">
        <v>5</v>
      </c>
      <c r="P87">
        <v>6350611883</v>
      </c>
      <c r="Q87" t="str">
        <v>Paid</v>
      </c>
      <c r="R87" t="str">
        <v>No</v>
      </c>
      <c r="S87" t="str">
        <v>Non-Veg</v>
      </c>
      <c r="T87" t="str">
        <v>Quiz</v>
      </c>
      <c r="U87" t="str">
        <v>Singing</v>
      </c>
    </row>
    <row r="88" spans="1:21" x14ac:dyDescent="0.3">
      <c r="A88" s="2" t="s">
        <v>116</v>
      </c>
      <c r="B88" s="2" t="s">
        <v>35</v>
      </c>
      <c r="C88" s="2" t="s">
        <v>12</v>
      </c>
      <c r="D88" s="2">
        <v>1</v>
      </c>
      <c r="E88" s="2">
        <v>9703547982</v>
      </c>
      <c r="F88" s="2" t="s">
        <v>19</v>
      </c>
      <c r="G88" s="2" t="s">
        <v>20</v>
      </c>
      <c r="H88" s="2" t="s">
        <v>21</v>
      </c>
      <c r="I88" s="2" t="s">
        <v>29</v>
      </c>
      <c r="J88" s="2" t="s">
        <v>22</v>
      </c>
      <c r="L88" t="str">
        <v>Aniket Malhotra</v>
      </c>
      <c r="M88" t="str">
        <v>3rd</v>
      </c>
      <c r="N88" t="str">
        <v>ME</v>
      </c>
      <c r="O88">
        <v>5</v>
      </c>
      <c r="P88">
        <v>6525704052</v>
      </c>
      <c r="Q88" t="str">
        <v>Due</v>
      </c>
      <c r="R88" t="str">
        <v>No</v>
      </c>
      <c r="S88" t="str">
        <v>Non-Veg</v>
      </c>
      <c r="T88" t="str">
        <v>None</v>
      </c>
      <c r="U88" t="str">
        <v>Dance</v>
      </c>
    </row>
    <row r="89" spans="1:21" x14ac:dyDescent="0.3">
      <c r="A89" s="2" t="s">
        <v>117</v>
      </c>
      <c r="B89" s="2" t="s">
        <v>25</v>
      </c>
      <c r="C89" s="2" t="s">
        <v>12</v>
      </c>
      <c r="D89" s="2">
        <v>5</v>
      </c>
      <c r="E89" s="2">
        <v>6308037387</v>
      </c>
      <c r="F89" s="2" t="s">
        <v>13</v>
      </c>
      <c r="G89" s="2" t="s">
        <v>14</v>
      </c>
      <c r="H89" s="2" t="s">
        <v>15</v>
      </c>
      <c r="I89" s="2" t="s">
        <v>41</v>
      </c>
      <c r="J89" s="2" t="s">
        <v>17</v>
      </c>
      <c r="L89" t="str">
        <v>Yamini Reddy</v>
      </c>
      <c r="M89" t="str">
        <v>3rd</v>
      </c>
      <c r="N89" t="str">
        <v>ME</v>
      </c>
      <c r="O89">
        <v>5</v>
      </c>
      <c r="P89">
        <v>7438690398</v>
      </c>
      <c r="Q89" t="str">
        <v>Due</v>
      </c>
      <c r="R89" t="str">
        <v>No</v>
      </c>
      <c r="S89" t="str">
        <v>Veg</v>
      </c>
      <c r="T89" t="str">
        <v>None</v>
      </c>
      <c r="U89" t="str">
        <v>Singing</v>
      </c>
    </row>
    <row r="90" spans="1:21" x14ac:dyDescent="0.3">
      <c r="A90" s="2" t="s">
        <v>118</v>
      </c>
      <c r="B90" s="2" t="s">
        <v>35</v>
      </c>
      <c r="C90" s="2" t="s">
        <v>43</v>
      </c>
      <c r="D90" s="2">
        <v>1</v>
      </c>
      <c r="E90" s="2">
        <v>8880845684</v>
      </c>
      <c r="F90" s="2" t="s">
        <v>19</v>
      </c>
      <c r="G90" s="2" t="s">
        <v>14</v>
      </c>
      <c r="H90" s="2" t="s">
        <v>15</v>
      </c>
      <c r="I90" s="2" t="s">
        <v>22</v>
      </c>
      <c r="J90" s="2" t="s">
        <v>17</v>
      </c>
      <c r="L90" t="str">
        <v>Muskan Arora</v>
      </c>
      <c r="M90" t="str">
        <v>2nd</v>
      </c>
      <c r="N90" t="str">
        <v>ME</v>
      </c>
      <c r="O90">
        <v>3</v>
      </c>
      <c r="P90">
        <v>7959427548</v>
      </c>
      <c r="Q90" t="str">
        <v>Paid</v>
      </c>
      <c r="R90" t="str">
        <v>No</v>
      </c>
      <c r="S90" t="str">
        <v>Non-Veg</v>
      </c>
      <c r="T90" t="str">
        <v>Science Exhibition</v>
      </c>
      <c r="U90" t="str">
        <v>Singing</v>
      </c>
    </row>
    <row r="91" spans="1:21" x14ac:dyDescent="0.3">
      <c r="A91" s="2" t="s">
        <v>101</v>
      </c>
      <c r="B91" s="2" t="s">
        <v>25</v>
      </c>
      <c r="C91" s="2" t="s">
        <v>26</v>
      </c>
      <c r="D91" s="2">
        <v>5</v>
      </c>
      <c r="E91" s="2">
        <v>9623694323</v>
      </c>
      <c r="F91" s="2" t="s">
        <v>13</v>
      </c>
      <c r="G91" s="2" t="s">
        <v>14</v>
      </c>
      <c r="H91" s="2" t="s">
        <v>15</v>
      </c>
      <c r="I91" s="2" t="s">
        <v>22</v>
      </c>
      <c r="J91" s="2" t="s">
        <v>22</v>
      </c>
      <c r="L91" t="str">
        <v>Pranav Tiwari</v>
      </c>
      <c r="M91" t="str">
        <v>4th</v>
      </c>
      <c r="N91" t="str">
        <v>ME</v>
      </c>
      <c r="O91">
        <v>7</v>
      </c>
      <c r="P91">
        <v>6774563101</v>
      </c>
      <c r="Q91" t="str">
        <v>Due</v>
      </c>
      <c r="R91" t="str">
        <v>No</v>
      </c>
      <c r="S91" t="str">
        <v>Veg</v>
      </c>
      <c r="T91" t="str">
        <v>None</v>
      </c>
      <c r="U91" t="str">
        <v>Dance</v>
      </c>
    </row>
    <row r="92" spans="1:21" x14ac:dyDescent="0.3">
      <c r="A92" s="2" t="s">
        <v>119</v>
      </c>
      <c r="B92" s="2" t="s">
        <v>35</v>
      </c>
      <c r="C92" s="2" t="s">
        <v>36</v>
      </c>
      <c r="D92" s="2">
        <v>1</v>
      </c>
      <c r="E92" s="2">
        <v>7932129220</v>
      </c>
      <c r="F92" s="2" t="s">
        <v>19</v>
      </c>
      <c r="G92" s="2" t="s">
        <v>20</v>
      </c>
      <c r="H92" s="2" t="s">
        <v>15</v>
      </c>
      <c r="I92" s="2" t="s">
        <v>22</v>
      </c>
      <c r="J92" s="2" t="s">
        <v>22</v>
      </c>
      <c r="L92" t="str">
        <v>Priyanshi Das</v>
      </c>
      <c r="M92" t="str">
        <v>3rd</v>
      </c>
      <c r="N92" t="str">
        <v>ME</v>
      </c>
      <c r="O92">
        <v>5</v>
      </c>
      <c r="P92">
        <v>6063974507</v>
      </c>
      <c r="Q92" t="str">
        <v>Paid</v>
      </c>
      <c r="R92" t="str">
        <v>Yes</v>
      </c>
      <c r="S92" t="str">
        <v>Veg</v>
      </c>
      <c r="T92" t="str">
        <v>Quiz</v>
      </c>
      <c r="U92" t="str">
        <v>None</v>
      </c>
    </row>
    <row r="93" spans="1:21" x14ac:dyDescent="0.3">
      <c r="A93" s="2" t="s">
        <v>120</v>
      </c>
      <c r="B93" s="2" t="s">
        <v>35</v>
      </c>
      <c r="C93" s="2" t="s">
        <v>43</v>
      </c>
      <c r="D93" s="2">
        <v>1</v>
      </c>
      <c r="E93" s="2">
        <v>6715218212</v>
      </c>
      <c r="F93" s="2" t="s">
        <v>13</v>
      </c>
      <c r="G93" s="2" t="s">
        <v>14</v>
      </c>
      <c r="H93" s="2" t="s">
        <v>15</v>
      </c>
      <c r="I93" s="2" t="s">
        <v>16</v>
      </c>
      <c r="J93" s="2" t="s">
        <v>17</v>
      </c>
      <c r="L93" t="str">
        <v>Tarun Saxena</v>
      </c>
      <c r="M93" t="str">
        <v>3rd</v>
      </c>
      <c r="N93" t="str">
        <v>ME</v>
      </c>
      <c r="O93">
        <v>5</v>
      </c>
      <c r="P93">
        <v>7256217471</v>
      </c>
      <c r="Q93" t="str">
        <v>Due</v>
      </c>
      <c r="R93" t="str">
        <v>Yes</v>
      </c>
      <c r="S93" t="str">
        <v>Non-Veg</v>
      </c>
      <c r="T93" t="str">
        <v>None</v>
      </c>
      <c r="U93" t="str">
        <v>Dance</v>
      </c>
    </row>
    <row r="94" spans="1:21" x14ac:dyDescent="0.3">
      <c r="A94" s="2" t="s">
        <v>121</v>
      </c>
      <c r="B94" s="2" t="s">
        <v>11</v>
      </c>
      <c r="C94" s="2" t="s">
        <v>12</v>
      </c>
      <c r="D94" s="2">
        <v>3</v>
      </c>
      <c r="E94" s="2">
        <v>9212516858</v>
      </c>
      <c r="F94" s="2" t="s">
        <v>19</v>
      </c>
      <c r="G94" s="2" t="s">
        <v>20</v>
      </c>
      <c r="H94" s="2" t="s">
        <v>15</v>
      </c>
      <c r="I94" s="2" t="s">
        <v>27</v>
      </c>
      <c r="J94" s="2" t="s">
        <v>22</v>
      </c>
      <c r="L94" t="str">
        <v>Saurabh Yadav</v>
      </c>
      <c r="M94" t="str">
        <v>2nd</v>
      </c>
      <c r="N94" t="str">
        <v>ME</v>
      </c>
      <c r="O94">
        <v>3</v>
      </c>
      <c r="P94">
        <v>7112911090</v>
      </c>
      <c r="Q94" t="str">
        <v>Paid</v>
      </c>
      <c r="R94" t="str">
        <v>No</v>
      </c>
      <c r="S94" t="str">
        <v>Non-Veg</v>
      </c>
      <c r="T94" t="str">
        <v>Coding</v>
      </c>
      <c r="U94" t="str">
        <v>Dance</v>
      </c>
    </row>
    <row r="95" spans="1:21" x14ac:dyDescent="0.3">
      <c r="A95" s="2" t="s">
        <v>122</v>
      </c>
      <c r="B95" s="2" t="s">
        <v>25</v>
      </c>
      <c r="C95" s="2" t="s">
        <v>36</v>
      </c>
      <c r="D95" s="2">
        <v>5</v>
      </c>
      <c r="E95" s="2">
        <v>6682518690</v>
      </c>
      <c r="F95" s="2" t="s">
        <v>13</v>
      </c>
      <c r="G95" s="2" t="s">
        <v>20</v>
      </c>
      <c r="H95" s="2" t="s">
        <v>15</v>
      </c>
      <c r="I95" s="2" t="s">
        <v>37</v>
      </c>
      <c r="J95" s="2" t="s">
        <v>22</v>
      </c>
      <c r="L95" t="str">
        <v>Vipasha Chatterjee</v>
      </c>
      <c r="M95" t="str">
        <v>1st</v>
      </c>
      <c r="N95" t="str">
        <v>ME</v>
      </c>
      <c r="O95">
        <v>1</v>
      </c>
      <c r="P95">
        <v>6570307637</v>
      </c>
      <c r="Q95" t="str">
        <v>Due</v>
      </c>
      <c r="R95" t="str">
        <v>Yes</v>
      </c>
      <c r="S95" t="str">
        <v>Non-Veg</v>
      </c>
      <c r="T95" t="str">
        <v>Quiz</v>
      </c>
      <c r="U95" t="str">
        <v>Singing</v>
      </c>
    </row>
    <row r="96" spans="1:21" x14ac:dyDescent="0.3">
      <c r="A96" s="2" t="s">
        <v>123</v>
      </c>
      <c r="B96" s="2" t="s">
        <v>35</v>
      </c>
      <c r="C96" s="2" t="s">
        <v>12</v>
      </c>
      <c r="D96" s="2">
        <v>1</v>
      </c>
      <c r="E96" s="2">
        <v>6901412110</v>
      </c>
      <c r="F96" s="2" t="s">
        <v>13</v>
      </c>
      <c r="G96" s="2" t="s">
        <v>20</v>
      </c>
      <c r="H96" s="2" t="s">
        <v>21</v>
      </c>
      <c r="I96" s="2" t="s">
        <v>37</v>
      </c>
      <c r="J96" s="2" t="s">
        <v>22</v>
      </c>
      <c r="L96" t="str">
        <v>Raj Arora</v>
      </c>
      <c r="M96" t="str">
        <v>4th</v>
      </c>
      <c r="N96" t="str">
        <v>ME</v>
      </c>
      <c r="O96">
        <v>7</v>
      </c>
      <c r="P96">
        <v>6538891921</v>
      </c>
      <c r="Q96" t="str">
        <v>Paid</v>
      </c>
      <c r="R96" t="str">
        <v>No</v>
      </c>
      <c r="S96" t="str">
        <v>Non-Veg</v>
      </c>
      <c r="T96" t="str">
        <v>None</v>
      </c>
      <c r="U96" t="str">
        <v>Singing</v>
      </c>
    </row>
    <row r="97" spans="1:21" x14ac:dyDescent="0.3">
      <c r="A97" s="2" t="s">
        <v>124</v>
      </c>
      <c r="B97" s="2" t="s">
        <v>35</v>
      </c>
      <c r="C97" s="2" t="s">
        <v>33</v>
      </c>
      <c r="D97" s="2">
        <v>1</v>
      </c>
      <c r="E97" s="2">
        <v>7687706194</v>
      </c>
      <c r="F97" s="2" t="s">
        <v>19</v>
      </c>
      <c r="G97" s="2" t="s">
        <v>14</v>
      </c>
      <c r="H97" s="2" t="s">
        <v>15</v>
      </c>
      <c r="I97" s="2" t="s">
        <v>29</v>
      </c>
      <c r="J97" s="2" t="s">
        <v>23</v>
      </c>
      <c r="L97" t="str">
        <v>Akash Malhotra</v>
      </c>
      <c r="M97" t="str">
        <v>2nd</v>
      </c>
      <c r="N97" t="str">
        <v>ME</v>
      </c>
      <c r="O97">
        <v>3</v>
      </c>
      <c r="P97">
        <v>6764981615</v>
      </c>
      <c r="Q97" t="str">
        <v>Paid</v>
      </c>
      <c r="R97" t="str">
        <v>Yes</v>
      </c>
      <c r="S97" t="str">
        <v>Non-Veg</v>
      </c>
      <c r="T97" t="str">
        <v>Quiz</v>
      </c>
      <c r="U97" t="str">
        <v>None</v>
      </c>
    </row>
    <row r="98" spans="1:21" x14ac:dyDescent="0.3">
      <c r="A98" s="2" t="s">
        <v>125</v>
      </c>
      <c r="B98" s="2" t="s">
        <v>11</v>
      </c>
      <c r="C98" s="2" t="s">
        <v>43</v>
      </c>
      <c r="D98" s="2">
        <v>3</v>
      </c>
      <c r="E98" s="2">
        <v>8276143334</v>
      </c>
      <c r="F98" s="2" t="s">
        <v>19</v>
      </c>
      <c r="G98" s="2" t="s">
        <v>20</v>
      </c>
      <c r="H98" s="2" t="s">
        <v>21</v>
      </c>
      <c r="I98" s="2" t="s">
        <v>37</v>
      </c>
      <c r="J98" s="2" t="s">
        <v>17</v>
      </c>
      <c r="L98" t="str">
        <v>Sejal Mehta</v>
      </c>
      <c r="M98" t="str">
        <v>3rd</v>
      </c>
      <c r="N98" t="str">
        <v>ME</v>
      </c>
      <c r="O98">
        <v>5</v>
      </c>
      <c r="P98">
        <v>7147300176</v>
      </c>
      <c r="Q98" t="str">
        <v>Paid</v>
      </c>
      <c r="R98" t="str">
        <v>No</v>
      </c>
      <c r="S98" t="str">
        <v>Veg</v>
      </c>
      <c r="T98" t="str">
        <v>None</v>
      </c>
      <c r="U98" t="str">
        <v>Dance</v>
      </c>
    </row>
    <row r="99" spans="1:21" x14ac:dyDescent="0.3">
      <c r="A99" s="2" t="s">
        <v>126</v>
      </c>
      <c r="B99" s="2" t="s">
        <v>25</v>
      </c>
      <c r="C99" s="2" t="s">
        <v>36</v>
      </c>
      <c r="D99" s="2">
        <v>5</v>
      </c>
      <c r="E99" s="2">
        <v>8143011853</v>
      </c>
      <c r="F99" s="2" t="s">
        <v>13</v>
      </c>
      <c r="G99" s="2" t="s">
        <v>20</v>
      </c>
      <c r="H99" s="2" t="s">
        <v>15</v>
      </c>
      <c r="I99" s="2" t="s">
        <v>22</v>
      </c>
      <c r="J99" s="2" t="s">
        <v>22</v>
      </c>
      <c r="L99" t="str">
        <v>Rajat Dubey</v>
      </c>
      <c r="M99" t="str">
        <v>4th</v>
      </c>
      <c r="N99" t="str">
        <v>ME</v>
      </c>
      <c r="O99">
        <v>7</v>
      </c>
      <c r="P99">
        <v>7826892025</v>
      </c>
      <c r="Q99" t="str">
        <v>Due</v>
      </c>
      <c r="R99" t="str">
        <v>No</v>
      </c>
      <c r="S99" t="str">
        <v>Veg</v>
      </c>
      <c r="T99" t="str">
        <v>Art</v>
      </c>
      <c r="U99" t="str">
        <v>None</v>
      </c>
    </row>
    <row r="100" spans="1:21" x14ac:dyDescent="0.3">
      <c r="A100" s="2" t="s">
        <v>127</v>
      </c>
      <c r="B100" s="2" t="s">
        <v>11</v>
      </c>
      <c r="C100" s="2" t="s">
        <v>33</v>
      </c>
      <c r="D100" s="2">
        <v>3</v>
      </c>
      <c r="E100" s="2">
        <v>9532838511</v>
      </c>
      <c r="F100" s="2" t="s">
        <v>13</v>
      </c>
      <c r="G100" s="2" t="s">
        <v>20</v>
      </c>
      <c r="H100" s="2" t="s">
        <v>21</v>
      </c>
      <c r="I100" s="2" t="s">
        <v>41</v>
      </c>
      <c r="J100" s="2" t="s">
        <v>17</v>
      </c>
      <c r="L100" t="str">
        <v>Zara Ghosh</v>
      </c>
      <c r="M100" t="str">
        <v>2nd</v>
      </c>
      <c r="N100" t="str">
        <v>ME</v>
      </c>
      <c r="O100">
        <v>3</v>
      </c>
      <c r="P100">
        <v>9905412979</v>
      </c>
      <c r="Q100" t="str">
        <v>Due</v>
      </c>
      <c r="R100" t="str">
        <v>No</v>
      </c>
      <c r="S100" t="str">
        <v>Veg</v>
      </c>
      <c r="T100" t="str">
        <v>Coding</v>
      </c>
      <c r="U100" t="str">
        <v>None</v>
      </c>
    </row>
    <row r="101" spans="1:21" x14ac:dyDescent="0.3">
      <c r="A101" s="2" t="s">
        <v>128</v>
      </c>
      <c r="B101" s="2" t="s">
        <v>11</v>
      </c>
      <c r="C101" s="2" t="s">
        <v>43</v>
      </c>
      <c r="D101" s="2">
        <v>3</v>
      </c>
      <c r="E101" s="2">
        <v>6887653316</v>
      </c>
      <c r="F101" s="2" t="s">
        <v>19</v>
      </c>
      <c r="G101" s="2" t="s">
        <v>20</v>
      </c>
      <c r="H101" s="2" t="s">
        <v>15</v>
      </c>
      <c r="I101" s="2" t="s">
        <v>27</v>
      </c>
      <c r="J101" s="2" t="s">
        <v>17</v>
      </c>
      <c r="L101" t="str">
        <v>Harsh Datta</v>
      </c>
      <c r="M101" t="str">
        <v>1st</v>
      </c>
      <c r="N101" t="str">
        <v>ME</v>
      </c>
      <c r="O101">
        <v>1</v>
      </c>
      <c r="P101">
        <v>9124302350</v>
      </c>
      <c r="Q101" t="str">
        <v>Due</v>
      </c>
      <c r="R101" t="str">
        <v>No</v>
      </c>
      <c r="S101" t="str">
        <v>Veg</v>
      </c>
      <c r="T101" t="str">
        <v>Gaming</v>
      </c>
      <c r="U101" t="str">
        <v>Singing</v>
      </c>
    </row>
    <row r="102" spans="1:21" x14ac:dyDescent="0.3">
      <c r="A102" s="2" t="s">
        <v>69</v>
      </c>
      <c r="B102" s="2" t="s">
        <v>11</v>
      </c>
      <c r="C102" s="2" t="s">
        <v>26</v>
      </c>
      <c r="D102" s="2">
        <v>3</v>
      </c>
      <c r="E102" s="2">
        <v>7361517482</v>
      </c>
      <c r="F102" s="2" t="s">
        <v>19</v>
      </c>
      <c r="G102" s="2" t="s">
        <v>14</v>
      </c>
      <c r="H102" s="2" t="s">
        <v>21</v>
      </c>
      <c r="I102" s="2" t="s">
        <v>22</v>
      </c>
      <c r="J102" s="2" t="s">
        <v>17</v>
      </c>
      <c r="L102" t="str">
        <v>Archana Dubey</v>
      </c>
      <c r="M102" t="str">
        <v>2nd</v>
      </c>
      <c r="N102" t="str">
        <v>ME</v>
      </c>
      <c r="O102">
        <v>3</v>
      </c>
      <c r="P102">
        <v>7805019973</v>
      </c>
      <c r="Q102" t="str">
        <v>Due</v>
      </c>
      <c r="R102" t="str">
        <v>Yes</v>
      </c>
      <c r="S102" t="str">
        <v>Non-Veg</v>
      </c>
      <c r="T102" t="str">
        <v>Gaming</v>
      </c>
      <c r="U102" t="str">
        <v>Dance</v>
      </c>
    </row>
    <row r="103" spans="1:21" x14ac:dyDescent="0.3">
      <c r="A103" s="2" t="s">
        <v>129</v>
      </c>
      <c r="B103" s="2" t="s">
        <v>35</v>
      </c>
      <c r="C103" s="2" t="s">
        <v>12</v>
      </c>
      <c r="D103" s="2">
        <v>1</v>
      </c>
      <c r="E103" s="2">
        <v>8498773128</v>
      </c>
      <c r="F103" s="2" t="s">
        <v>19</v>
      </c>
      <c r="G103" s="2" t="s">
        <v>14</v>
      </c>
      <c r="H103" s="2" t="s">
        <v>21</v>
      </c>
      <c r="I103" s="2" t="s">
        <v>22</v>
      </c>
      <c r="J103" s="2" t="s">
        <v>17</v>
      </c>
      <c r="L103" t="str">
        <v>Priya Mukherjee</v>
      </c>
      <c r="M103" t="str">
        <v>4th</v>
      </c>
      <c r="N103" t="str">
        <v>ME</v>
      </c>
      <c r="O103">
        <v>7</v>
      </c>
      <c r="P103">
        <v>7351683503</v>
      </c>
      <c r="Q103" t="str">
        <v>Due</v>
      </c>
      <c r="R103" t="str">
        <v>No</v>
      </c>
      <c r="S103" t="str">
        <v>Non-Veg</v>
      </c>
      <c r="T103" t="str">
        <v>Art</v>
      </c>
      <c r="U103" t="str">
        <v>Singing</v>
      </c>
    </row>
    <row r="104" spans="1:21" x14ac:dyDescent="0.3">
      <c r="A104" s="2" t="s">
        <v>130</v>
      </c>
      <c r="B104" s="2" t="s">
        <v>32</v>
      </c>
      <c r="C104" s="2" t="s">
        <v>43</v>
      </c>
      <c r="D104" s="2">
        <v>7</v>
      </c>
      <c r="E104" s="2">
        <v>6859661098</v>
      </c>
      <c r="F104" s="2" t="s">
        <v>13</v>
      </c>
      <c r="G104" s="2" t="s">
        <v>20</v>
      </c>
      <c r="H104" s="2" t="s">
        <v>21</v>
      </c>
      <c r="I104" s="2" t="s">
        <v>29</v>
      </c>
      <c r="J104" s="2" t="s">
        <v>23</v>
      </c>
      <c r="L104" t="str">
        <v>Ayush Datta</v>
      </c>
      <c r="M104" t="str">
        <v>4th</v>
      </c>
      <c r="N104" t="str">
        <v>ME</v>
      </c>
      <c r="O104">
        <v>7</v>
      </c>
      <c r="P104">
        <v>8523942137</v>
      </c>
      <c r="Q104" t="str">
        <v>Paid</v>
      </c>
      <c r="R104" t="str">
        <v>No</v>
      </c>
      <c r="S104" t="str">
        <v>Non-Veg</v>
      </c>
      <c r="T104" t="str">
        <v>None</v>
      </c>
      <c r="U104" t="str">
        <v>Singing</v>
      </c>
    </row>
    <row r="105" spans="1:21" x14ac:dyDescent="0.3">
      <c r="A105" s="2" t="s">
        <v>131</v>
      </c>
      <c r="B105" s="2" t="s">
        <v>25</v>
      </c>
      <c r="C105" s="2" t="s">
        <v>36</v>
      </c>
      <c r="D105" s="2">
        <v>5</v>
      </c>
      <c r="E105" s="2">
        <v>9734558695</v>
      </c>
      <c r="F105" s="2" t="s">
        <v>19</v>
      </c>
      <c r="G105" s="2" t="s">
        <v>14</v>
      </c>
      <c r="H105" s="2" t="s">
        <v>21</v>
      </c>
      <c r="I105" s="2" t="s">
        <v>29</v>
      </c>
      <c r="J105" s="2" t="s">
        <v>22</v>
      </c>
      <c r="L105" t="str">
        <v>Ishita Pandey</v>
      </c>
      <c r="M105" t="str">
        <v>3rd</v>
      </c>
      <c r="N105" t="str">
        <v>ME</v>
      </c>
      <c r="O105">
        <v>5</v>
      </c>
      <c r="P105">
        <v>7782042637</v>
      </c>
      <c r="Q105" t="str">
        <v>Paid</v>
      </c>
      <c r="R105" t="str">
        <v>Yes</v>
      </c>
      <c r="S105" t="str">
        <v>Non-Veg</v>
      </c>
      <c r="T105" t="str">
        <v>Coding</v>
      </c>
      <c r="U105" t="str">
        <v>Singing</v>
      </c>
    </row>
    <row r="106" spans="1:21" x14ac:dyDescent="0.3">
      <c r="A106" s="2" t="s">
        <v>132</v>
      </c>
      <c r="B106" s="2" t="s">
        <v>11</v>
      </c>
      <c r="C106" s="2" t="s">
        <v>26</v>
      </c>
      <c r="D106" s="2">
        <v>3</v>
      </c>
      <c r="E106" s="2">
        <v>6157105091</v>
      </c>
      <c r="F106" s="2" t="s">
        <v>19</v>
      </c>
      <c r="G106" s="2" t="s">
        <v>14</v>
      </c>
      <c r="H106" s="2" t="s">
        <v>21</v>
      </c>
      <c r="I106" s="2" t="s">
        <v>22</v>
      </c>
      <c r="J106" s="2" t="s">
        <v>17</v>
      </c>
      <c r="L106" t="str">
        <v>Himanshu Mehta</v>
      </c>
      <c r="M106" t="str">
        <v>1st</v>
      </c>
      <c r="N106" t="str">
        <v>ME</v>
      </c>
      <c r="O106">
        <v>1</v>
      </c>
      <c r="P106">
        <v>6934987009</v>
      </c>
      <c r="Q106" t="str">
        <v>Paid</v>
      </c>
      <c r="R106" t="str">
        <v>No</v>
      </c>
      <c r="S106" t="str">
        <v>Veg</v>
      </c>
      <c r="T106" t="str">
        <v>None</v>
      </c>
      <c r="U106" t="str">
        <v>Dance</v>
      </c>
    </row>
    <row r="107" spans="1:21" x14ac:dyDescent="0.3">
      <c r="A107" s="2" t="s">
        <v>133</v>
      </c>
      <c r="B107" s="2" t="s">
        <v>32</v>
      </c>
      <c r="C107" s="2" t="s">
        <v>43</v>
      </c>
      <c r="D107" s="2">
        <v>7</v>
      </c>
      <c r="E107" s="2">
        <v>9448379542</v>
      </c>
      <c r="F107" s="2" t="s">
        <v>13</v>
      </c>
      <c r="G107" s="2" t="s">
        <v>20</v>
      </c>
      <c r="H107" s="2" t="s">
        <v>15</v>
      </c>
      <c r="I107" s="2" t="s">
        <v>27</v>
      </c>
      <c r="J107" s="2" t="s">
        <v>22</v>
      </c>
      <c r="L107" t="str">
        <v>Sejal Khanna</v>
      </c>
      <c r="M107" t="str">
        <v>1st</v>
      </c>
      <c r="N107" t="str">
        <v>ME</v>
      </c>
      <c r="O107">
        <v>1</v>
      </c>
      <c r="P107">
        <v>9886073664</v>
      </c>
      <c r="Q107" t="str">
        <v>Due</v>
      </c>
      <c r="R107" t="str">
        <v>No</v>
      </c>
      <c r="S107" t="str">
        <v>Veg</v>
      </c>
      <c r="T107" t="str">
        <v>None</v>
      </c>
      <c r="U107" t="str">
        <v>None</v>
      </c>
    </row>
    <row r="108" spans="1:21" x14ac:dyDescent="0.3">
      <c r="A108" s="2" t="s">
        <v>134</v>
      </c>
      <c r="B108" s="2" t="s">
        <v>32</v>
      </c>
      <c r="C108" s="2" t="s">
        <v>36</v>
      </c>
      <c r="D108" s="2">
        <v>7</v>
      </c>
      <c r="E108" s="2">
        <v>6178349156</v>
      </c>
      <c r="F108" s="2" t="s">
        <v>19</v>
      </c>
      <c r="G108" s="2" t="s">
        <v>14</v>
      </c>
      <c r="H108" s="2" t="s">
        <v>15</v>
      </c>
      <c r="I108" s="2" t="s">
        <v>29</v>
      </c>
      <c r="J108" s="2" t="s">
        <v>17</v>
      </c>
      <c r="L108" t="str">
        <v>Ishan Mishra</v>
      </c>
      <c r="M108" t="str">
        <v>3rd</v>
      </c>
      <c r="N108" t="str">
        <v>ME</v>
      </c>
      <c r="O108">
        <v>5</v>
      </c>
      <c r="P108">
        <v>7508540175</v>
      </c>
      <c r="Q108" t="str">
        <v>Paid</v>
      </c>
      <c r="R108" t="str">
        <v>No</v>
      </c>
      <c r="S108" t="str">
        <v>Non-Veg</v>
      </c>
      <c r="T108" t="str">
        <v>Gaming</v>
      </c>
      <c r="U108" t="str">
        <v>None</v>
      </c>
    </row>
    <row r="109" spans="1:21" x14ac:dyDescent="0.3">
      <c r="A109" s="2" t="s">
        <v>135</v>
      </c>
      <c r="B109" s="2" t="s">
        <v>11</v>
      </c>
      <c r="C109" s="2" t="s">
        <v>33</v>
      </c>
      <c r="D109" s="2">
        <v>3</v>
      </c>
      <c r="E109" s="2">
        <v>8850593444</v>
      </c>
      <c r="F109" s="2" t="s">
        <v>13</v>
      </c>
      <c r="G109" s="2" t="s">
        <v>20</v>
      </c>
      <c r="H109" s="2" t="s">
        <v>15</v>
      </c>
      <c r="I109" s="2" t="s">
        <v>22</v>
      </c>
      <c r="J109" s="2" t="s">
        <v>22</v>
      </c>
      <c r="L109" t="str">
        <v>Kunal Pillai</v>
      </c>
      <c r="M109" t="str">
        <v>2nd</v>
      </c>
      <c r="N109" t="str">
        <v>ME</v>
      </c>
      <c r="O109">
        <v>3</v>
      </c>
      <c r="P109">
        <v>9581677026</v>
      </c>
      <c r="Q109" t="str">
        <v>Due</v>
      </c>
      <c r="R109" t="str">
        <v>Yes</v>
      </c>
      <c r="S109" t="str">
        <v>Non-Veg</v>
      </c>
      <c r="T109" t="str">
        <v>None</v>
      </c>
      <c r="U109" t="str">
        <v>Dance</v>
      </c>
    </row>
    <row r="110" spans="1:21" x14ac:dyDescent="0.3">
      <c r="A110" s="2" t="s">
        <v>136</v>
      </c>
      <c r="B110" s="2" t="s">
        <v>35</v>
      </c>
      <c r="C110" s="2" t="s">
        <v>43</v>
      </c>
      <c r="D110" s="2">
        <v>1</v>
      </c>
      <c r="E110" s="2">
        <v>7540656138</v>
      </c>
      <c r="F110" s="2" t="s">
        <v>19</v>
      </c>
      <c r="G110" s="2" t="s">
        <v>20</v>
      </c>
      <c r="H110" s="2" t="s">
        <v>21</v>
      </c>
      <c r="I110" s="2" t="s">
        <v>22</v>
      </c>
      <c r="J110" s="2" t="s">
        <v>23</v>
      </c>
      <c r="L110" t="str">
        <v>Deepika Mondal</v>
      </c>
      <c r="M110" t="str">
        <v>2nd</v>
      </c>
      <c r="N110" t="str">
        <v>ME</v>
      </c>
      <c r="O110">
        <v>3</v>
      </c>
      <c r="P110">
        <v>7571815436</v>
      </c>
      <c r="Q110" t="str">
        <v>Paid</v>
      </c>
      <c r="R110" t="str">
        <v>Yes</v>
      </c>
      <c r="S110" t="str">
        <v>Veg</v>
      </c>
      <c r="T110" t="str">
        <v>None</v>
      </c>
      <c r="U110" t="str">
        <v>Dance</v>
      </c>
    </row>
    <row r="111" spans="1:21" x14ac:dyDescent="0.3">
      <c r="A111" s="2" t="s">
        <v>137</v>
      </c>
      <c r="B111" s="2" t="s">
        <v>35</v>
      </c>
      <c r="C111" s="2" t="s">
        <v>36</v>
      </c>
      <c r="D111" s="2">
        <v>1</v>
      </c>
      <c r="E111" s="2">
        <v>7415594741</v>
      </c>
      <c r="F111" s="2" t="s">
        <v>13</v>
      </c>
      <c r="G111" s="2" t="s">
        <v>20</v>
      </c>
      <c r="H111" s="2" t="s">
        <v>21</v>
      </c>
      <c r="I111" s="2" t="s">
        <v>29</v>
      </c>
      <c r="J111" s="2" t="s">
        <v>22</v>
      </c>
      <c r="L111" t="str">
        <v>Aaditya Mondal</v>
      </c>
      <c r="M111" t="str">
        <v>1st</v>
      </c>
      <c r="N111" t="str">
        <v>ME</v>
      </c>
      <c r="O111">
        <v>1</v>
      </c>
      <c r="P111">
        <v>7820642372</v>
      </c>
      <c r="Q111" t="str">
        <v>Paid</v>
      </c>
      <c r="R111" t="str">
        <v>Yes</v>
      </c>
      <c r="S111" t="str">
        <v>Non-Veg</v>
      </c>
      <c r="T111" t="str">
        <v>Quiz</v>
      </c>
      <c r="U111" t="str">
        <v>None</v>
      </c>
    </row>
    <row r="112" spans="1:21" x14ac:dyDescent="0.3">
      <c r="A112" s="2" t="s">
        <v>138</v>
      </c>
      <c r="B112" s="2" t="s">
        <v>35</v>
      </c>
      <c r="C112" s="2" t="s">
        <v>12</v>
      </c>
      <c r="D112" s="2">
        <v>1</v>
      </c>
      <c r="E112" s="2">
        <v>9145866386</v>
      </c>
      <c r="F112" s="2" t="s">
        <v>19</v>
      </c>
      <c r="G112" s="2" t="s">
        <v>14</v>
      </c>
      <c r="H112" s="2" t="s">
        <v>21</v>
      </c>
      <c r="I112" s="2" t="s">
        <v>29</v>
      </c>
      <c r="J112" s="2" t="s">
        <v>22</v>
      </c>
      <c r="L112" t="str">
        <v>Kajal Singh</v>
      </c>
      <c r="M112" t="str">
        <v>1st</v>
      </c>
      <c r="N112" t="str">
        <v>ME</v>
      </c>
      <c r="O112">
        <v>1</v>
      </c>
      <c r="P112">
        <v>6214259466</v>
      </c>
      <c r="Q112" t="str">
        <v>Due</v>
      </c>
      <c r="R112" t="str">
        <v>Yes</v>
      </c>
      <c r="S112" t="str">
        <v>Veg</v>
      </c>
      <c r="T112" t="str">
        <v>None</v>
      </c>
      <c r="U112" t="str">
        <v>Dance</v>
      </c>
    </row>
    <row r="113" spans="1:21" x14ac:dyDescent="0.3">
      <c r="A113" s="2" t="s">
        <v>139</v>
      </c>
      <c r="B113" s="2" t="s">
        <v>11</v>
      </c>
      <c r="C113" s="2" t="s">
        <v>36</v>
      </c>
      <c r="D113" s="2">
        <v>3</v>
      </c>
      <c r="E113" s="2">
        <v>7125620888</v>
      </c>
      <c r="F113" s="2" t="s">
        <v>19</v>
      </c>
      <c r="G113" s="2" t="s">
        <v>14</v>
      </c>
      <c r="H113" s="2" t="s">
        <v>21</v>
      </c>
      <c r="I113" s="2" t="s">
        <v>29</v>
      </c>
      <c r="J113" s="2" t="s">
        <v>23</v>
      </c>
      <c r="L113" t="str">
        <v>Farhan Patel</v>
      </c>
      <c r="M113" t="str">
        <v>1st</v>
      </c>
      <c r="N113" t="str">
        <v>ME</v>
      </c>
      <c r="O113">
        <v>1</v>
      </c>
      <c r="P113">
        <v>7224698432</v>
      </c>
      <c r="Q113" t="str">
        <v>Paid</v>
      </c>
      <c r="R113" t="str">
        <v>Yes</v>
      </c>
      <c r="S113" t="str">
        <v>Non-Veg</v>
      </c>
      <c r="T113" t="str">
        <v>Coding</v>
      </c>
      <c r="U113" t="str">
        <v>None</v>
      </c>
    </row>
    <row r="114" spans="1:21" x14ac:dyDescent="0.3">
      <c r="A114" s="2" t="s">
        <v>140</v>
      </c>
      <c r="B114" s="2" t="s">
        <v>32</v>
      </c>
      <c r="C114" s="2" t="s">
        <v>36</v>
      </c>
      <c r="D114" s="2">
        <v>7</v>
      </c>
      <c r="E114" s="2">
        <v>8454879720</v>
      </c>
      <c r="F114" s="2" t="s">
        <v>13</v>
      </c>
      <c r="G114" s="2" t="s">
        <v>14</v>
      </c>
      <c r="H114" s="2" t="s">
        <v>15</v>
      </c>
      <c r="I114" s="2" t="s">
        <v>41</v>
      </c>
      <c r="J114" s="2" t="s">
        <v>23</v>
      </c>
      <c r="L114" t="str">
        <v>Shreya Srivastava</v>
      </c>
      <c r="M114" t="str">
        <v>4th</v>
      </c>
      <c r="N114" t="str">
        <v>ME</v>
      </c>
      <c r="O114">
        <v>7</v>
      </c>
      <c r="P114">
        <v>9631014275</v>
      </c>
      <c r="Q114" t="str">
        <v>Due</v>
      </c>
      <c r="R114" t="str">
        <v>No</v>
      </c>
      <c r="S114" t="str">
        <v>Non-Veg</v>
      </c>
      <c r="T114" t="str">
        <v>Gaming</v>
      </c>
      <c r="U114" t="str">
        <v>None</v>
      </c>
    </row>
    <row r="115" spans="1:21" x14ac:dyDescent="0.3">
      <c r="A115" s="2" t="s">
        <v>140</v>
      </c>
      <c r="B115" s="2" t="s">
        <v>11</v>
      </c>
      <c r="C115" s="2" t="s">
        <v>36</v>
      </c>
      <c r="D115" s="2">
        <v>3</v>
      </c>
      <c r="E115" s="2">
        <v>6223507926</v>
      </c>
      <c r="F115" s="2" t="s">
        <v>19</v>
      </c>
      <c r="G115" s="2" t="s">
        <v>14</v>
      </c>
      <c r="H115" s="2" t="s">
        <v>15</v>
      </c>
      <c r="I115" s="2" t="s">
        <v>41</v>
      </c>
      <c r="J115" s="2" t="s">
        <v>22</v>
      </c>
      <c r="L115" t="str">
        <v>Neha Reddy</v>
      </c>
      <c r="M115" t="str">
        <v>4th</v>
      </c>
      <c r="N115" t="str">
        <v>ME</v>
      </c>
      <c r="O115">
        <v>7</v>
      </c>
      <c r="P115">
        <v>6909456424</v>
      </c>
      <c r="Q115" t="str">
        <v>Paid</v>
      </c>
      <c r="R115" t="str">
        <v>No</v>
      </c>
      <c r="S115" t="str">
        <v>Veg</v>
      </c>
      <c r="T115" t="str">
        <v>Art</v>
      </c>
      <c r="U115" t="str">
        <v>None</v>
      </c>
    </row>
    <row r="116" spans="1:21" x14ac:dyDescent="0.3">
      <c r="A116" s="2" t="s">
        <v>141</v>
      </c>
      <c r="B116" s="2" t="s">
        <v>11</v>
      </c>
      <c r="C116" s="2" t="s">
        <v>33</v>
      </c>
      <c r="D116" s="2">
        <v>3</v>
      </c>
      <c r="E116" s="2">
        <v>7276354356</v>
      </c>
      <c r="F116" s="2" t="s">
        <v>13</v>
      </c>
      <c r="G116" s="2" t="s">
        <v>14</v>
      </c>
      <c r="H116" s="2" t="s">
        <v>15</v>
      </c>
      <c r="I116" s="2" t="s">
        <v>41</v>
      </c>
      <c r="J116" s="2" t="s">
        <v>22</v>
      </c>
      <c r="L116" t="str">
        <v>Priya Agarwal</v>
      </c>
      <c r="M116" t="str">
        <v>4th</v>
      </c>
      <c r="N116" t="str">
        <v>ME</v>
      </c>
      <c r="O116">
        <v>7</v>
      </c>
      <c r="P116">
        <v>9950282483</v>
      </c>
      <c r="Q116" t="str">
        <v>Due</v>
      </c>
      <c r="R116" t="str">
        <v>No</v>
      </c>
      <c r="S116" t="str">
        <v>Veg</v>
      </c>
      <c r="T116" t="str">
        <v>Gaming</v>
      </c>
      <c r="U116" t="str">
        <v>None</v>
      </c>
    </row>
    <row r="117" spans="1:21" x14ac:dyDescent="0.3">
      <c r="A117" s="2" t="s">
        <v>142</v>
      </c>
      <c r="B117" s="2" t="s">
        <v>11</v>
      </c>
      <c r="C117" s="2" t="s">
        <v>36</v>
      </c>
      <c r="D117" s="2">
        <v>3</v>
      </c>
      <c r="E117" s="2">
        <v>6250787339</v>
      </c>
      <c r="F117" s="2" t="s">
        <v>19</v>
      </c>
      <c r="G117" s="2" t="s">
        <v>14</v>
      </c>
      <c r="H117" s="2" t="s">
        <v>15</v>
      </c>
      <c r="I117" s="2" t="s">
        <v>27</v>
      </c>
      <c r="J117" s="2" t="s">
        <v>23</v>
      </c>
      <c r="L117" t="str">
        <v>Akhil Bhatia</v>
      </c>
      <c r="M117" t="str">
        <v>2nd</v>
      </c>
      <c r="N117" t="str">
        <v>ME</v>
      </c>
      <c r="O117">
        <v>3</v>
      </c>
      <c r="P117">
        <v>9015229272</v>
      </c>
      <c r="Q117" t="str">
        <v>Due</v>
      </c>
      <c r="R117" t="str">
        <v>Yes</v>
      </c>
      <c r="S117" t="str">
        <v>Non-Veg</v>
      </c>
      <c r="T117" t="str">
        <v>Coding</v>
      </c>
      <c r="U117" t="str">
        <v>None</v>
      </c>
    </row>
    <row r="118" spans="1:21" x14ac:dyDescent="0.3">
      <c r="A118" s="2" t="s">
        <v>143</v>
      </c>
      <c r="B118" s="2" t="s">
        <v>25</v>
      </c>
      <c r="C118" s="2" t="s">
        <v>12</v>
      </c>
      <c r="D118" s="2">
        <v>5</v>
      </c>
      <c r="E118" s="2">
        <v>9353099314</v>
      </c>
      <c r="F118" s="2" t="s">
        <v>19</v>
      </c>
      <c r="G118" s="2" t="s">
        <v>20</v>
      </c>
      <c r="H118" s="2" t="s">
        <v>15</v>
      </c>
      <c r="I118" s="2" t="s">
        <v>27</v>
      </c>
      <c r="J118" s="2" t="s">
        <v>17</v>
      </c>
      <c r="L118" t="str">
        <v>Akash Patel</v>
      </c>
      <c r="M118" t="str">
        <v>1st</v>
      </c>
      <c r="N118" t="str">
        <v>ME</v>
      </c>
      <c r="O118">
        <v>1</v>
      </c>
      <c r="P118">
        <v>6881513688</v>
      </c>
      <c r="Q118" t="str">
        <v>Paid</v>
      </c>
      <c r="R118" t="str">
        <v>Yes</v>
      </c>
      <c r="S118" t="str">
        <v>Non-Veg</v>
      </c>
      <c r="T118" t="str">
        <v>None</v>
      </c>
      <c r="U118" t="str">
        <v>Singing</v>
      </c>
    </row>
    <row r="119" spans="1:21" x14ac:dyDescent="0.3">
      <c r="A119" s="2" t="s">
        <v>144</v>
      </c>
      <c r="B119" s="2" t="s">
        <v>35</v>
      </c>
      <c r="C119" s="2" t="s">
        <v>33</v>
      </c>
      <c r="D119" s="2">
        <v>1</v>
      </c>
      <c r="E119" s="2">
        <v>9328278943</v>
      </c>
      <c r="F119" s="2" t="s">
        <v>19</v>
      </c>
      <c r="G119" s="2" t="s">
        <v>20</v>
      </c>
      <c r="H119" s="2" t="s">
        <v>21</v>
      </c>
      <c r="I119" s="2" t="s">
        <v>27</v>
      </c>
      <c r="J119" s="2" t="s">
        <v>23</v>
      </c>
      <c r="L119" t="str">
        <v>Neha Chatterjee</v>
      </c>
      <c r="M119" t="str">
        <v>1st</v>
      </c>
      <c r="N119" t="str">
        <v>ME</v>
      </c>
      <c r="O119">
        <v>1</v>
      </c>
      <c r="P119">
        <v>9382482365</v>
      </c>
      <c r="Q119" t="str">
        <v>Paid</v>
      </c>
      <c r="R119" t="str">
        <v>Yes</v>
      </c>
      <c r="S119" t="str">
        <v>Veg</v>
      </c>
      <c r="T119" t="str">
        <v>None</v>
      </c>
      <c r="U119" t="str">
        <v>Dance</v>
      </c>
    </row>
    <row r="120" spans="1:21" x14ac:dyDescent="0.3">
      <c r="A120" s="2" t="s">
        <v>145</v>
      </c>
      <c r="B120" s="2" t="s">
        <v>25</v>
      </c>
      <c r="C120" s="2" t="s">
        <v>26</v>
      </c>
      <c r="D120" s="2">
        <v>5</v>
      </c>
      <c r="E120" s="2">
        <v>8859283949</v>
      </c>
      <c r="F120" s="2" t="s">
        <v>19</v>
      </c>
      <c r="G120" s="2" t="s">
        <v>20</v>
      </c>
      <c r="H120" s="2" t="s">
        <v>15</v>
      </c>
      <c r="I120" s="2" t="s">
        <v>37</v>
      </c>
      <c r="J120" s="2" t="s">
        <v>22</v>
      </c>
      <c r="L120" t="str">
        <v>Amit Kapoor</v>
      </c>
      <c r="M120" t="str">
        <v>4th</v>
      </c>
      <c r="N120" t="str">
        <v>ME</v>
      </c>
      <c r="O120">
        <v>7</v>
      </c>
      <c r="P120">
        <v>9176378136</v>
      </c>
      <c r="Q120" t="str">
        <v>Due</v>
      </c>
      <c r="R120" t="str">
        <v>Yes</v>
      </c>
      <c r="S120" t="str">
        <v>Veg</v>
      </c>
      <c r="T120" t="str">
        <v>None</v>
      </c>
      <c r="U120" t="str">
        <v>Dance</v>
      </c>
    </row>
    <row r="121" spans="1:21" x14ac:dyDescent="0.3">
      <c r="A121" s="2" t="s">
        <v>146</v>
      </c>
      <c r="B121" s="2" t="s">
        <v>11</v>
      </c>
      <c r="C121" s="2" t="s">
        <v>12</v>
      </c>
      <c r="D121" s="2">
        <v>3</v>
      </c>
      <c r="E121" s="2">
        <v>7025327456</v>
      </c>
      <c r="F121" s="2" t="s">
        <v>13</v>
      </c>
      <c r="G121" s="2" t="s">
        <v>20</v>
      </c>
      <c r="H121" s="2" t="s">
        <v>15</v>
      </c>
      <c r="I121" s="2" t="s">
        <v>16</v>
      </c>
      <c r="J121" s="2" t="s">
        <v>22</v>
      </c>
      <c r="L121" t="str">
        <v>Akhil Roy</v>
      </c>
      <c r="M121" t="str">
        <v>1st</v>
      </c>
      <c r="N121" t="str">
        <v>ME</v>
      </c>
      <c r="O121">
        <v>1</v>
      </c>
      <c r="P121">
        <v>7819681315</v>
      </c>
      <c r="Q121" t="str">
        <v>Paid</v>
      </c>
      <c r="R121" t="str">
        <v>Yes</v>
      </c>
      <c r="S121" t="str">
        <v>Veg</v>
      </c>
      <c r="T121" t="str">
        <v>Coding</v>
      </c>
      <c r="U121" t="str">
        <v>None</v>
      </c>
    </row>
    <row r="122" spans="1:21" x14ac:dyDescent="0.3">
      <c r="A122" s="2" t="s">
        <v>147</v>
      </c>
      <c r="B122" s="2" t="s">
        <v>25</v>
      </c>
      <c r="C122" s="2" t="s">
        <v>26</v>
      </c>
      <c r="D122" s="2">
        <v>5</v>
      </c>
      <c r="E122" s="2">
        <v>8908130483</v>
      </c>
      <c r="F122" s="2" t="s">
        <v>13</v>
      </c>
      <c r="G122" s="2" t="s">
        <v>14</v>
      </c>
      <c r="H122" s="2" t="s">
        <v>15</v>
      </c>
      <c r="I122" s="2" t="s">
        <v>41</v>
      </c>
      <c r="J122" s="2" t="s">
        <v>17</v>
      </c>
      <c r="L122" t="str">
        <v>Rishabh Dubey</v>
      </c>
      <c r="M122" t="str">
        <v>4th</v>
      </c>
      <c r="N122" t="str">
        <v>ME</v>
      </c>
      <c r="O122">
        <v>7</v>
      </c>
      <c r="P122">
        <v>8087335119</v>
      </c>
      <c r="Q122" t="str">
        <v>Due</v>
      </c>
      <c r="R122" t="str">
        <v>No</v>
      </c>
      <c r="S122" t="str">
        <v>Non-Veg</v>
      </c>
      <c r="T122" t="str">
        <v>Art</v>
      </c>
      <c r="U122" t="str">
        <v>None</v>
      </c>
    </row>
    <row r="123" spans="1:21" x14ac:dyDescent="0.3">
      <c r="A123" s="2" t="s">
        <v>148</v>
      </c>
      <c r="B123" s="2" t="s">
        <v>11</v>
      </c>
      <c r="C123" s="2" t="s">
        <v>12</v>
      </c>
      <c r="D123" s="2">
        <v>3</v>
      </c>
      <c r="E123" s="2">
        <v>9647080659</v>
      </c>
      <c r="F123" s="2" t="s">
        <v>19</v>
      </c>
      <c r="G123" s="2" t="s">
        <v>14</v>
      </c>
      <c r="H123" s="2" t="s">
        <v>21</v>
      </c>
      <c r="I123" s="2" t="s">
        <v>22</v>
      </c>
      <c r="J123" s="2" t="s">
        <v>23</v>
      </c>
      <c r="L123" t="str">
        <v>Shreya Bhatia</v>
      </c>
      <c r="M123" t="str">
        <v>3rd</v>
      </c>
      <c r="N123" t="str">
        <v>ME</v>
      </c>
      <c r="O123">
        <v>5</v>
      </c>
      <c r="P123">
        <v>8607035304</v>
      </c>
      <c r="Q123" t="str">
        <v>Paid</v>
      </c>
      <c r="R123" t="str">
        <v>No</v>
      </c>
      <c r="S123" t="str">
        <v>Non-Veg</v>
      </c>
      <c r="T123" t="str">
        <v>Science Exhibition</v>
      </c>
      <c r="U123" t="str">
        <v>None</v>
      </c>
    </row>
    <row r="124" spans="1:21" x14ac:dyDescent="0.3">
      <c r="A124" s="2" t="s">
        <v>149</v>
      </c>
      <c r="B124" s="2" t="s">
        <v>11</v>
      </c>
      <c r="C124" s="2" t="s">
        <v>43</v>
      </c>
      <c r="D124" s="2">
        <v>3</v>
      </c>
      <c r="E124" s="2">
        <v>7637570444</v>
      </c>
      <c r="F124" s="2" t="s">
        <v>19</v>
      </c>
      <c r="G124" s="2" t="s">
        <v>14</v>
      </c>
      <c r="H124" s="2" t="s">
        <v>21</v>
      </c>
      <c r="I124" s="2" t="s">
        <v>41</v>
      </c>
      <c r="J124" s="2" t="s">
        <v>22</v>
      </c>
      <c r="L124" t="str">
        <v>Rishabh Rao</v>
      </c>
      <c r="M124" t="str">
        <v>3rd</v>
      </c>
      <c r="N124" t="str">
        <v>ME</v>
      </c>
      <c r="O124">
        <v>5</v>
      </c>
      <c r="P124">
        <v>8782081790</v>
      </c>
      <c r="Q124" t="str">
        <v>Due</v>
      </c>
      <c r="R124" t="str">
        <v>No</v>
      </c>
      <c r="S124" t="str">
        <v>Veg</v>
      </c>
      <c r="T124" t="str">
        <v>None</v>
      </c>
      <c r="U124" t="str">
        <v>Dance</v>
      </c>
    </row>
    <row r="125" spans="1:21" x14ac:dyDescent="0.3">
      <c r="A125" s="2" t="s">
        <v>150</v>
      </c>
      <c r="B125" s="2" t="s">
        <v>11</v>
      </c>
      <c r="C125" s="2" t="s">
        <v>43</v>
      </c>
      <c r="D125" s="2">
        <v>3</v>
      </c>
      <c r="E125" s="2">
        <v>8293855360</v>
      </c>
      <c r="F125" s="2" t="s">
        <v>19</v>
      </c>
      <c r="G125" s="2" t="s">
        <v>20</v>
      </c>
      <c r="H125" s="2" t="s">
        <v>15</v>
      </c>
      <c r="I125" s="2" t="s">
        <v>22</v>
      </c>
      <c r="J125" s="2" t="s">
        <v>22</v>
      </c>
      <c r="L125" t="str">
        <v>Alok Das</v>
      </c>
      <c r="M125" t="str">
        <v>2nd</v>
      </c>
      <c r="N125" t="str">
        <v>ME</v>
      </c>
      <c r="O125">
        <v>3</v>
      </c>
      <c r="P125">
        <v>8762525544</v>
      </c>
      <c r="Q125" t="str">
        <v>Paid</v>
      </c>
      <c r="R125" t="str">
        <v>No</v>
      </c>
      <c r="S125" t="str">
        <v>Veg</v>
      </c>
      <c r="T125" t="str">
        <v>Coding</v>
      </c>
      <c r="U125" t="str">
        <v>None</v>
      </c>
    </row>
    <row r="126" spans="1:21" x14ac:dyDescent="0.3">
      <c r="A126" s="2" t="s">
        <v>151</v>
      </c>
      <c r="B126" s="2" t="s">
        <v>11</v>
      </c>
      <c r="C126" s="2" t="s">
        <v>33</v>
      </c>
      <c r="D126" s="2">
        <v>3</v>
      </c>
      <c r="E126" s="2">
        <v>8653670336</v>
      </c>
      <c r="F126" s="2" t="s">
        <v>19</v>
      </c>
      <c r="G126" s="2" t="s">
        <v>20</v>
      </c>
      <c r="H126" s="2" t="s">
        <v>15</v>
      </c>
      <c r="I126" s="2" t="s">
        <v>41</v>
      </c>
      <c r="J126" s="2" t="s">
        <v>17</v>
      </c>
      <c r="L126" t="str">
        <v>Shikha Shah</v>
      </c>
      <c r="M126" t="str">
        <v>1st</v>
      </c>
      <c r="N126" t="str">
        <v>ME</v>
      </c>
      <c r="O126">
        <v>1</v>
      </c>
      <c r="P126">
        <v>7321579557</v>
      </c>
      <c r="Q126" t="str">
        <v>Paid</v>
      </c>
      <c r="R126" t="str">
        <v>No</v>
      </c>
      <c r="S126" t="str">
        <v>Veg</v>
      </c>
      <c r="T126" t="str">
        <v>None</v>
      </c>
      <c r="U126" t="str">
        <v>Singing</v>
      </c>
    </row>
    <row r="127" spans="1:21" x14ac:dyDescent="0.3">
      <c r="A127" s="2" t="s">
        <v>152</v>
      </c>
      <c r="B127" s="2" t="s">
        <v>32</v>
      </c>
      <c r="C127" s="2" t="s">
        <v>26</v>
      </c>
      <c r="D127" s="2">
        <v>7</v>
      </c>
      <c r="E127" s="2">
        <v>6384894424</v>
      </c>
      <c r="F127" s="2" t="s">
        <v>13</v>
      </c>
      <c r="G127" s="2" t="s">
        <v>20</v>
      </c>
      <c r="H127" s="2" t="s">
        <v>15</v>
      </c>
      <c r="I127" s="2" t="s">
        <v>37</v>
      </c>
      <c r="J127" s="2" t="s">
        <v>17</v>
      </c>
      <c r="L127" t="str">
        <v>Sandhya Kumar</v>
      </c>
      <c r="M127" t="str">
        <v>3rd</v>
      </c>
      <c r="N127" t="str">
        <v>ME</v>
      </c>
      <c r="O127">
        <v>5</v>
      </c>
      <c r="P127">
        <v>6357350529</v>
      </c>
      <c r="Q127" t="str">
        <v>Due</v>
      </c>
      <c r="R127" t="str">
        <v>Yes</v>
      </c>
      <c r="S127" t="str">
        <v>Non-Veg</v>
      </c>
      <c r="T127" t="str">
        <v>Science Exhibition</v>
      </c>
      <c r="U127" t="str">
        <v>Dance</v>
      </c>
    </row>
    <row r="128" spans="1:21" x14ac:dyDescent="0.3">
      <c r="A128" s="2" t="s">
        <v>153</v>
      </c>
      <c r="B128" s="2" t="s">
        <v>25</v>
      </c>
      <c r="C128" s="2" t="s">
        <v>12</v>
      </c>
      <c r="D128" s="2">
        <v>5</v>
      </c>
      <c r="E128" s="2">
        <v>8451262589</v>
      </c>
      <c r="F128" s="2" t="s">
        <v>19</v>
      </c>
      <c r="G128" s="2" t="s">
        <v>14</v>
      </c>
      <c r="H128" s="2" t="s">
        <v>15</v>
      </c>
      <c r="I128" s="2" t="s">
        <v>41</v>
      </c>
      <c r="J128" s="2" t="s">
        <v>17</v>
      </c>
      <c r="L128" t="str">
        <v>Arjun Pandey</v>
      </c>
      <c r="M128" t="str">
        <v>4th</v>
      </c>
      <c r="N128" t="str">
        <v>ME</v>
      </c>
      <c r="O128">
        <v>7</v>
      </c>
      <c r="P128">
        <v>6001798181</v>
      </c>
      <c r="Q128" t="str">
        <v>Due</v>
      </c>
      <c r="R128" t="str">
        <v>No</v>
      </c>
      <c r="S128" t="str">
        <v>Veg</v>
      </c>
      <c r="T128" t="str">
        <v>Science Exhibition</v>
      </c>
      <c r="U128" t="str">
        <v>Dance</v>
      </c>
    </row>
    <row r="129" spans="1:21" x14ac:dyDescent="0.3">
      <c r="A129" s="2" t="s">
        <v>154</v>
      </c>
      <c r="B129" s="2" t="s">
        <v>32</v>
      </c>
      <c r="C129" s="2" t="s">
        <v>43</v>
      </c>
      <c r="D129" s="2">
        <v>7</v>
      </c>
      <c r="E129" s="2">
        <v>9047283200</v>
      </c>
      <c r="F129" s="2" t="s">
        <v>13</v>
      </c>
      <c r="G129" s="2" t="s">
        <v>20</v>
      </c>
      <c r="H129" s="2" t="s">
        <v>15</v>
      </c>
      <c r="I129" s="2" t="s">
        <v>41</v>
      </c>
      <c r="J129" s="2" t="s">
        <v>17</v>
      </c>
      <c r="L129" t="str">
        <v>Mansi Chatterjee</v>
      </c>
      <c r="M129" t="str">
        <v>4th</v>
      </c>
      <c r="N129" t="str">
        <v>ME</v>
      </c>
      <c r="O129">
        <v>7</v>
      </c>
      <c r="P129">
        <v>9010963256</v>
      </c>
      <c r="Q129" t="str">
        <v>Paid</v>
      </c>
      <c r="R129" t="str">
        <v>No</v>
      </c>
      <c r="S129" t="str">
        <v>Non-Veg</v>
      </c>
      <c r="T129" t="str">
        <v>Coding</v>
      </c>
      <c r="U129" t="str">
        <v>Dance</v>
      </c>
    </row>
    <row r="130" spans="1:21" x14ac:dyDescent="0.3">
      <c r="A130" s="2" t="s">
        <v>155</v>
      </c>
      <c r="B130" s="2" t="s">
        <v>25</v>
      </c>
      <c r="C130" s="2" t="s">
        <v>12</v>
      </c>
      <c r="D130" s="2">
        <v>5</v>
      </c>
      <c r="E130" s="2">
        <v>7496307145</v>
      </c>
      <c r="F130" s="2" t="s">
        <v>13</v>
      </c>
      <c r="G130" s="2" t="s">
        <v>14</v>
      </c>
      <c r="H130" s="2" t="s">
        <v>15</v>
      </c>
      <c r="I130" s="2" t="s">
        <v>37</v>
      </c>
      <c r="J130" s="2" t="s">
        <v>23</v>
      </c>
      <c r="L130" t="str">
        <v>Madhuri Patel</v>
      </c>
      <c r="M130" t="str">
        <v>3rd</v>
      </c>
      <c r="N130" t="str">
        <v>ME</v>
      </c>
      <c r="O130">
        <v>5</v>
      </c>
      <c r="P130">
        <v>7611044753</v>
      </c>
      <c r="Q130" t="str">
        <v>Paid</v>
      </c>
      <c r="R130" t="str">
        <v>Yes</v>
      </c>
      <c r="S130" t="str">
        <v>Veg</v>
      </c>
      <c r="T130" t="str">
        <v>None</v>
      </c>
      <c r="U130" t="str">
        <v>Singing</v>
      </c>
    </row>
    <row r="131" spans="1:21" x14ac:dyDescent="0.3">
      <c r="A131" s="2" t="s">
        <v>156</v>
      </c>
      <c r="B131" s="2" t="s">
        <v>35</v>
      </c>
      <c r="C131" s="2" t="s">
        <v>33</v>
      </c>
      <c r="D131" s="2">
        <v>1</v>
      </c>
      <c r="E131" s="2">
        <v>6238874101</v>
      </c>
      <c r="F131" s="2" t="s">
        <v>19</v>
      </c>
      <c r="G131" s="2" t="s">
        <v>14</v>
      </c>
      <c r="H131" s="2" t="s">
        <v>15</v>
      </c>
      <c r="I131" s="2" t="s">
        <v>37</v>
      </c>
      <c r="J131" s="2" t="s">
        <v>23</v>
      </c>
      <c r="L131" t="str">
        <v>Arnav Naidu</v>
      </c>
      <c r="M131" t="str">
        <v>3rd</v>
      </c>
      <c r="N131" t="str">
        <v>ME</v>
      </c>
      <c r="O131">
        <v>5</v>
      </c>
      <c r="P131">
        <v>7670512345</v>
      </c>
      <c r="Q131" t="str">
        <v>Due</v>
      </c>
      <c r="R131" t="str">
        <v>Yes</v>
      </c>
      <c r="S131" t="str">
        <v>Veg</v>
      </c>
      <c r="T131" t="str">
        <v>Art</v>
      </c>
      <c r="U131" t="str">
        <v>None</v>
      </c>
    </row>
    <row r="132" spans="1:21" x14ac:dyDescent="0.3">
      <c r="A132" s="2" t="s">
        <v>157</v>
      </c>
      <c r="B132" s="2" t="s">
        <v>35</v>
      </c>
      <c r="C132" s="2" t="s">
        <v>43</v>
      </c>
      <c r="D132" s="2">
        <v>1</v>
      </c>
      <c r="E132" s="2">
        <v>9755659587</v>
      </c>
      <c r="F132" s="2" t="s">
        <v>19</v>
      </c>
      <c r="G132" s="2" t="s">
        <v>14</v>
      </c>
      <c r="H132" s="2" t="s">
        <v>21</v>
      </c>
      <c r="I132" s="2" t="s">
        <v>22</v>
      </c>
      <c r="J132" s="2" t="s">
        <v>17</v>
      </c>
      <c r="L132" t="str">
        <v>Bhavesh Srivastava</v>
      </c>
      <c r="M132" t="str">
        <v>3rd</v>
      </c>
      <c r="N132" t="str">
        <v>ME</v>
      </c>
      <c r="O132">
        <v>5</v>
      </c>
      <c r="P132">
        <v>7153814034</v>
      </c>
      <c r="Q132" t="str">
        <v>Due</v>
      </c>
      <c r="R132" t="str">
        <v>No</v>
      </c>
      <c r="S132" t="str">
        <v>Non-Veg</v>
      </c>
      <c r="T132" t="str">
        <v>None</v>
      </c>
      <c r="U132" t="str">
        <v>Singing</v>
      </c>
    </row>
    <row r="133" spans="1:21" x14ac:dyDescent="0.3">
      <c r="A133" s="2" t="s">
        <v>158</v>
      </c>
      <c r="B133" s="2" t="s">
        <v>35</v>
      </c>
      <c r="C133" s="2" t="s">
        <v>12</v>
      </c>
      <c r="D133" s="2">
        <v>1</v>
      </c>
      <c r="E133" s="2">
        <v>7600829031</v>
      </c>
      <c r="F133" s="2" t="s">
        <v>19</v>
      </c>
      <c r="G133" s="2" t="s">
        <v>14</v>
      </c>
      <c r="H133" s="2" t="s">
        <v>15</v>
      </c>
      <c r="I133" s="2" t="s">
        <v>37</v>
      </c>
      <c r="J133" s="2" t="s">
        <v>23</v>
      </c>
      <c r="L133" t="str">
        <v>Sandhya Rao</v>
      </c>
      <c r="M133" t="str">
        <v>3rd</v>
      </c>
      <c r="N133" t="str">
        <v>ME</v>
      </c>
      <c r="O133">
        <v>5</v>
      </c>
      <c r="P133">
        <v>6262370299</v>
      </c>
      <c r="Q133" t="str">
        <v>Paid</v>
      </c>
      <c r="R133" t="str">
        <v>No</v>
      </c>
      <c r="S133" t="str">
        <v>Veg</v>
      </c>
      <c r="T133" t="str">
        <v>Gaming</v>
      </c>
      <c r="U133" t="str">
        <v>Singing</v>
      </c>
    </row>
    <row r="134" spans="1:21" x14ac:dyDescent="0.3">
      <c r="A134" s="2" t="s">
        <v>159</v>
      </c>
      <c r="B134" s="2" t="s">
        <v>25</v>
      </c>
      <c r="C134" s="2" t="s">
        <v>12</v>
      </c>
      <c r="D134" s="2">
        <v>5</v>
      </c>
      <c r="E134" s="2">
        <v>7811790353</v>
      </c>
      <c r="F134" s="2" t="s">
        <v>19</v>
      </c>
      <c r="G134" s="2" t="s">
        <v>20</v>
      </c>
      <c r="H134" s="2" t="s">
        <v>21</v>
      </c>
      <c r="I134" s="2" t="s">
        <v>27</v>
      </c>
      <c r="J134" s="2" t="s">
        <v>22</v>
      </c>
      <c r="L134" t="str">
        <v>Suraj Naidu</v>
      </c>
      <c r="M134" t="str">
        <v>4th</v>
      </c>
      <c r="N134" t="str">
        <v>ME</v>
      </c>
      <c r="O134">
        <v>7</v>
      </c>
      <c r="P134">
        <v>6220533732</v>
      </c>
      <c r="Q134" t="str">
        <v>Paid</v>
      </c>
      <c r="R134" t="str">
        <v>No</v>
      </c>
      <c r="S134" t="str">
        <v>Non-Veg</v>
      </c>
      <c r="T134" t="str">
        <v>Quiz</v>
      </c>
      <c r="U134" t="str">
        <v>None</v>
      </c>
    </row>
    <row r="135" spans="1:21" x14ac:dyDescent="0.3">
      <c r="A135" s="2" t="s">
        <v>160</v>
      </c>
      <c r="B135" s="2" t="s">
        <v>25</v>
      </c>
      <c r="C135" s="2" t="s">
        <v>12</v>
      </c>
      <c r="D135" s="2">
        <v>5</v>
      </c>
      <c r="E135" s="2">
        <v>6374361460</v>
      </c>
      <c r="F135" s="2" t="s">
        <v>13</v>
      </c>
      <c r="G135" s="2" t="s">
        <v>20</v>
      </c>
      <c r="H135" s="2" t="s">
        <v>21</v>
      </c>
      <c r="I135" s="2" t="s">
        <v>22</v>
      </c>
      <c r="J135" s="2" t="s">
        <v>22</v>
      </c>
      <c r="L135" t="str">
        <v>Kunal Saxena</v>
      </c>
      <c r="M135" t="str">
        <v>1st</v>
      </c>
      <c r="N135" t="str">
        <v>ME</v>
      </c>
      <c r="O135">
        <v>1</v>
      </c>
      <c r="P135">
        <v>8573092728</v>
      </c>
      <c r="Q135" t="str">
        <v>Paid</v>
      </c>
      <c r="R135" t="str">
        <v>No</v>
      </c>
      <c r="S135" t="str">
        <v>Non-Veg</v>
      </c>
      <c r="T135" t="str">
        <v>Coding</v>
      </c>
      <c r="U135" t="str">
        <v>None</v>
      </c>
    </row>
    <row r="136" spans="1:21" x14ac:dyDescent="0.3">
      <c r="A136" s="2" t="s">
        <v>161</v>
      </c>
      <c r="B136" s="2" t="s">
        <v>25</v>
      </c>
      <c r="C136" s="2" t="s">
        <v>33</v>
      </c>
      <c r="D136" s="2">
        <v>5</v>
      </c>
      <c r="E136" s="2">
        <v>6446944373</v>
      </c>
      <c r="F136" s="2" t="s">
        <v>19</v>
      </c>
      <c r="G136" s="2" t="s">
        <v>20</v>
      </c>
      <c r="H136" s="2" t="s">
        <v>15</v>
      </c>
      <c r="I136" s="2" t="s">
        <v>37</v>
      </c>
      <c r="J136" s="2" t="s">
        <v>22</v>
      </c>
      <c r="L136" t="str">
        <v>Harsh Datta</v>
      </c>
      <c r="M136" t="str">
        <v>4th</v>
      </c>
      <c r="N136" t="str">
        <v>ME</v>
      </c>
      <c r="O136">
        <v>7</v>
      </c>
      <c r="P136">
        <v>7723902708</v>
      </c>
      <c r="Q136" t="str">
        <v>Paid</v>
      </c>
      <c r="R136" t="str">
        <v>No</v>
      </c>
      <c r="S136" t="str">
        <v>Veg</v>
      </c>
      <c r="T136" t="str">
        <v>None</v>
      </c>
      <c r="U136" t="str">
        <v>None</v>
      </c>
    </row>
    <row r="137" spans="1:21" x14ac:dyDescent="0.3">
      <c r="A137" s="2" t="s">
        <v>162</v>
      </c>
      <c r="B137" s="2" t="s">
        <v>25</v>
      </c>
      <c r="C137" s="2" t="s">
        <v>12</v>
      </c>
      <c r="D137" s="2">
        <v>5</v>
      </c>
      <c r="E137" s="2">
        <v>6744565986</v>
      </c>
      <c r="F137" s="2" t="s">
        <v>13</v>
      </c>
      <c r="G137" s="2" t="s">
        <v>14</v>
      </c>
      <c r="H137" s="2" t="s">
        <v>21</v>
      </c>
      <c r="I137" s="2" t="s">
        <v>41</v>
      </c>
      <c r="J137" s="2" t="s">
        <v>17</v>
      </c>
      <c r="L137" t="str">
        <v>Shreya Mukherjee</v>
      </c>
      <c r="M137" t="str">
        <v>2nd</v>
      </c>
      <c r="N137" t="str">
        <v>ME</v>
      </c>
      <c r="O137">
        <v>3</v>
      </c>
      <c r="P137">
        <v>8213058272</v>
      </c>
      <c r="Q137" t="str">
        <v>Paid</v>
      </c>
      <c r="R137" t="str">
        <v>Yes</v>
      </c>
      <c r="S137" t="str">
        <v>Veg</v>
      </c>
      <c r="T137" t="str">
        <v>None</v>
      </c>
      <c r="U137" t="str">
        <v>Singing</v>
      </c>
    </row>
    <row r="138" spans="1:21" x14ac:dyDescent="0.3">
      <c r="A138" s="2" t="s">
        <v>163</v>
      </c>
      <c r="B138" s="2" t="s">
        <v>35</v>
      </c>
      <c r="C138" s="2" t="s">
        <v>33</v>
      </c>
      <c r="D138" s="2">
        <v>1</v>
      </c>
      <c r="E138" s="2">
        <v>8103405826</v>
      </c>
      <c r="F138" s="2" t="s">
        <v>13</v>
      </c>
      <c r="G138" s="2" t="s">
        <v>20</v>
      </c>
      <c r="H138" s="2" t="s">
        <v>15</v>
      </c>
      <c r="I138" s="2" t="s">
        <v>27</v>
      </c>
      <c r="J138" s="2" t="s">
        <v>22</v>
      </c>
      <c r="L138" t="str">
        <v>Zara Dey</v>
      </c>
      <c r="M138" t="str">
        <v>3rd</v>
      </c>
      <c r="N138" t="str">
        <v>ME</v>
      </c>
      <c r="O138">
        <v>5</v>
      </c>
      <c r="P138">
        <v>7662718863</v>
      </c>
      <c r="Q138" t="str">
        <v>Paid</v>
      </c>
      <c r="R138" t="str">
        <v>No</v>
      </c>
      <c r="S138" t="str">
        <v>Non-Veg</v>
      </c>
      <c r="T138" t="str">
        <v>Art</v>
      </c>
      <c r="U138" t="str">
        <v>None</v>
      </c>
    </row>
    <row r="139" spans="1:21" x14ac:dyDescent="0.3">
      <c r="A139" s="2" t="s">
        <v>164</v>
      </c>
      <c r="B139" s="2" t="s">
        <v>11</v>
      </c>
      <c r="C139" s="2" t="s">
        <v>12</v>
      </c>
      <c r="D139" s="2">
        <v>3</v>
      </c>
      <c r="E139" s="2">
        <v>6960751126</v>
      </c>
      <c r="F139" s="2" t="s">
        <v>13</v>
      </c>
      <c r="G139" s="2" t="s">
        <v>14</v>
      </c>
      <c r="H139" s="2" t="s">
        <v>21</v>
      </c>
      <c r="I139" s="2" t="s">
        <v>29</v>
      </c>
      <c r="J139" s="2" t="s">
        <v>17</v>
      </c>
      <c r="L139" t="str">
        <v>Simran Datta</v>
      </c>
      <c r="M139" t="str">
        <v>2nd</v>
      </c>
      <c r="N139" t="str">
        <v>ME</v>
      </c>
      <c r="O139">
        <v>3</v>
      </c>
      <c r="P139">
        <v>6664080094</v>
      </c>
      <c r="Q139" t="str">
        <v>Paid</v>
      </c>
      <c r="R139" t="str">
        <v>Yes</v>
      </c>
      <c r="S139" t="str">
        <v>Veg</v>
      </c>
      <c r="T139" t="str">
        <v>Quiz</v>
      </c>
      <c r="U139" t="str">
        <v>Dance</v>
      </c>
    </row>
    <row r="140" spans="1:21" x14ac:dyDescent="0.3">
      <c r="A140" s="2" t="s">
        <v>165</v>
      </c>
      <c r="B140" s="2" t="s">
        <v>32</v>
      </c>
      <c r="C140" s="2" t="s">
        <v>26</v>
      </c>
      <c r="D140" s="2">
        <v>7</v>
      </c>
      <c r="E140" s="2">
        <v>7907620877</v>
      </c>
      <c r="F140" s="2" t="s">
        <v>19</v>
      </c>
      <c r="G140" s="2" t="s">
        <v>20</v>
      </c>
      <c r="H140" s="2" t="s">
        <v>15</v>
      </c>
      <c r="I140" s="2" t="s">
        <v>41</v>
      </c>
      <c r="J140" s="2" t="s">
        <v>22</v>
      </c>
      <c r="L140" t="str">
        <v>Uday Bansal</v>
      </c>
      <c r="M140" t="str">
        <v>2nd</v>
      </c>
      <c r="N140" t="str">
        <v>ME</v>
      </c>
      <c r="O140">
        <v>3</v>
      </c>
      <c r="P140">
        <v>6018481124</v>
      </c>
      <c r="Q140" t="str">
        <v>Paid</v>
      </c>
      <c r="R140" t="str">
        <v>No</v>
      </c>
      <c r="S140" t="str">
        <v>Veg</v>
      </c>
      <c r="T140" t="str">
        <v>Gaming</v>
      </c>
      <c r="U140" t="str">
        <v>Dance</v>
      </c>
    </row>
    <row r="141" spans="1:21" x14ac:dyDescent="0.3">
      <c r="A141" s="2" t="s">
        <v>166</v>
      </c>
      <c r="B141" s="2" t="s">
        <v>35</v>
      </c>
      <c r="C141" s="2" t="s">
        <v>36</v>
      </c>
      <c r="D141" s="2">
        <v>1</v>
      </c>
      <c r="E141" s="2">
        <v>9565776106</v>
      </c>
      <c r="F141" s="2" t="s">
        <v>19</v>
      </c>
      <c r="G141" s="2" t="s">
        <v>20</v>
      </c>
      <c r="H141" s="2" t="s">
        <v>15</v>
      </c>
      <c r="I141" s="2" t="s">
        <v>27</v>
      </c>
      <c r="J141" s="2" t="s">
        <v>17</v>
      </c>
      <c r="L141" t="str">
        <v>Nandini Bhatia</v>
      </c>
      <c r="M141" t="str">
        <v>4th</v>
      </c>
      <c r="N141" t="str">
        <v>ME</v>
      </c>
      <c r="O141">
        <v>7</v>
      </c>
      <c r="P141">
        <v>7639041600</v>
      </c>
      <c r="Q141" t="str">
        <v>Due</v>
      </c>
      <c r="R141" t="str">
        <v>Yes</v>
      </c>
      <c r="S141" t="str">
        <v>Non-Veg</v>
      </c>
      <c r="T141" t="str">
        <v>Quiz</v>
      </c>
      <c r="U141" t="str">
        <v>None</v>
      </c>
    </row>
    <row r="142" spans="1:21" x14ac:dyDescent="0.3">
      <c r="A142" s="2" t="s">
        <v>167</v>
      </c>
      <c r="B142" s="2" t="s">
        <v>11</v>
      </c>
      <c r="C142" s="2" t="s">
        <v>36</v>
      </c>
      <c r="D142" s="2">
        <v>3</v>
      </c>
      <c r="E142" s="2">
        <v>8764974317</v>
      </c>
      <c r="F142" s="2" t="s">
        <v>19</v>
      </c>
      <c r="G142" s="2" t="s">
        <v>20</v>
      </c>
      <c r="H142" s="2" t="s">
        <v>21</v>
      </c>
      <c r="I142" s="2" t="s">
        <v>27</v>
      </c>
      <c r="J142" s="2" t="s">
        <v>22</v>
      </c>
      <c r="L142" t="str">
        <v>Sneha Rajput</v>
      </c>
      <c r="M142" t="str">
        <v>1st</v>
      </c>
      <c r="N142" t="str">
        <v>ME</v>
      </c>
      <c r="O142">
        <v>1</v>
      </c>
      <c r="P142">
        <v>9843720558</v>
      </c>
      <c r="Q142" t="str">
        <v>Paid</v>
      </c>
      <c r="R142" t="str">
        <v>No</v>
      </c>
      <c r="S142" t="str">
        <v>Non-Veg</v>
      </c>
      <c r="T142" t="str">
        <v>Gaming</v>
      </c>
      <c r="U142" t="str">
        <v>Dance</v>
      </c>
    </row>
    <row r="143" spans="1:21" x14ac:dyDescent="0.3">
      <c r="A143" s="2" t="s">
        <v>168</v>
      </c>
      <c r="B143" s="2" t="s">
        <v>11</v>
      </c>
      <c r="C143" s="2" t="s">
        <v>36</v>
      </c>
      <c r="D143" s="2">
        <v>3</v>
      </c>
      <c r="E143" s="2">
        <v>8614255190</v>
      </c>
      <c r="F143" s="2" t="s">
        <v>13</v>
      </c>
      <c r="G143" s="2" t="s">
        <v>20</v>
      </c>
      <c r="H143" s="2" t="s">
        <v>15</v>
      </c>
      <c r="I143" s="2" t="s">
        <v>41</v>
      </c>
      <c r="J143" s="2" t="s">
        <v>17</v>
      </c>
      <c r="L143" t="str">
        <v>Tushar Joshi</v>
      </c>
      <c r="M143" t="str">
        <v>1st</v>
      </c>
      <c r="N143" t="str">
        <v>ME</v>
      </c>
      <c r="O143">
        <v>1</v>
      </c>
      <c r="P143">
        <v>7265529176</v>
      </c>
      <c r="Q143" t="str">
        <v>Paid</v>
      </c>
      <c r="R143" t="str">
        <v>Yes</v>
      </c>
      <c r="S143" t="str">
        <v>Non-Veg</v>
      </c>
      <c r="T143" t="str">
        <v>Quiz</v>
      </c>
      <c r="U143" t="str">
        <v>None</v>
      </c>
    </row>
    <row r="144" spans="1:21" x14ac:dyDescent="0.3">
      <c r="A144" s="2" t="s">
        <v>169</v>
      </c>
      <c r="B144" s="2" t="s">
        <v>11</v>
      </c>
      <c r="C144" s="2" t="s">
        <v>33</v>
      </c>
      <c r="D144" s="2">
        <v>3</v>
      </c>
      <c r="E144" s="2">
        <v>7075735790</v>
      </c>
      <c r="F144" s="2" t="s">
        <v>13</v>
      </c>
      <c r="G144" s="2" t="s">
        <v>20</v>
      </c>
      <c r="H144" s="2" t="s">
        <v>21</v>
      </c>
      <c r="I144" s="2" t="s">
        <v>27</v>
      </c>
      <c r="J144" s="2" t="s">
        <v>23</v>
      </c>
      <c r="L144" t="str">
        <v>Priyanshi Kapoor</v>
      </c>
      <c r="M144" t="str">
        <v>3rd</v>
      </c>
      <c r="N144" t="str">
        <v>ME</v>
      </c>
      <c r="O144">
        <v>5</v>
      </c>
      <c r="P144">
        <v>7175138999</v>
      </c>
      <c r="Q144" t="str">
        <v>Paid</v>
      </c>
      <c r="R144" t="str">
        <v>No</v>
      </c>
      <c r="S144" t="str">
        <v>Non-Veg</v>
      </c>
      <c r="T144" t="str">
        <v>None</v>
      </c>
      <c r="U144" t="str">
        <v>Singing</v>
      </c>
    </row>
    <row r="145" spans="1:21" x14ac:dyDescent="0.3">
      <c r="A145" s="2" t="s">
        <v>170</v>
      </c>
      <c r="B145" s="2" t="s">
        <v>35</v>
      </c>
      <c r="C145" s="2" t="s">
        <v>12</v>
      </c>
      <c r="D145" s="2">
        <v>1</v>
      </c>
      <c r="E145" s="2">
        <v>6841136105</v>
      </c>
      <c r="F145" s="2" t="s">
        <v>13</v>
      </c>
      <c r="G145" s="2" t="s">
        <v>20</v>
      </c>
      <c r="H145" s="2" t="s">
        <v>15</v>
      </c>
      <c r="I145" s="2" t="s">
        <v>22</v>
      </c>
      <c r="J145" s="2" t="s">
        <v>17</v>
      </c>
      <c r="L145" t="str">
        <v>Vishal Mondal</v>
      </c>
      <c r="M145" t="str">
        <v>1st</v>
      </c>
      <c r="N145" t="str">
        <v>ME</v>
      </c>
      <c r="O145">
        <v>1</v>
      </c>
      <c r="P145">
        <v>8222071316</v>
      </c>
      <c r="Q145" t="str">
        <v>Paid</v>
      </c>
      <c r="R145" t="str">
        <v>No</v>
      </c>
      <c r="S145" t="str">
        <v>Non-Veg</v>
      </c>
      <c r="T145" t="str">
        <v>None</v>
      </c>
      <c r="U145" t="str">
        <v>None</v>
      </c>
    </row>
    <row r="146" spans="1:21" x14ac:dyDescent="0.3">
      <c r="A146" s="2" t="s">
        <v>171</v>
      </c>
      <c r="B146" s="2" t="s">
        <v>25</v>
      </c>
      <c r="C146" s="2" t="s">
        <v>12</v>
      </c>
      <c r="D146" s="2">
        <v>5</v>
      </c>
      <c r="E146" s="2">
        <v>9879224090</v>
      </c>
      <c r="F146" s="2" t="s">
        <v>13</v>
      </c>
      <c r="G146" s="2" t="s">
        <v>14</v>
      </c>
      <c r="H146" s="2" t="s">
        <v>15</v>
      </c>
      <c r="I146" s="2" t="s">
        <v>41</v>
      </c>
      <c r="J146" s="2" t="s">
        <v>22</v>
      </c>
      <c r="L146" t="str">
        <v>Megha Chopra</v>
      </c>
      <c r="M146" t="str">
        <v>4th</v>
      </c>
      <c r="N146" t="str">
        <v>ME</v>
      </c>
      <c r="O146">
        <v>7</v>
      </c>
      <c r="P146">
        <v>7660936281</v>
      </c>
      <c r="Q146" t="str">
        <v>Paid</v>
      </c>
      <c r="R146" t="str">
        <v>Yes</v>
      </c>
      <c r="S146" t="str">
        <v>Veg</v>
      </c>
      <c r="T146" t="str">
        <v>Coding</v>
      </c>
      <c r="U146" t="str">
        <v>Dance</v>
      </c>
    </row>
    <row r="147" spans="1:21" x14ac:dyDescent="0.3">
      <c r="A147" s="2" t="s">
        <v>172</v>
      </c>
      <c r="B147" s="2" t="s">
        <v>32</v>
      </c>
      <c r="C147" s="2" t="s">
        <v>43</v>
      </c>
      <c r="D147" s="2">
        <v>7</v>
      </c>
      <c r="E147" s="2">
        <v>7871019475</v>
      </c>
      <c r="F147" s="2" t="s">
        <v>19</v>
      </c>
      <c r="G147" s="2" t="s">
        <v>20</v>
      </c>
      <c r="H147" s="2" t="s">
        <v>15</v>
      </c>
      <c r="I147" s="2" t="s">
        <v>29</v>
      </c>
      <c r="J147" s="2" t="s">
        <v>22</v>
      </c>
      <c r="L147" t="str">
        <v>Sumit Paul</v>
      </c>
      <c r="M147" t="str">
        <v>2nd</v>
      </c>
      <c r="N147" t="str">
        <v>ME</v>
      </c>
      <c r="O147">
        <v>3</v>
      </c>
      <c r="P147">
        <v>8837328306</v>
      </c>
      <c r="Q147" t="str">
        <v>Paid</v>
      </c>
      <c r="R147" t="str">
        <v>No</v>
      </c>
      <c r="S147" t="str">
        <v>Veg</v>
      </c>
      <c r="T147" t="str">
        <v>Gaming</v>
      </c>
      <c r="U147" t="str">
        <v>Dance</v>
      </c>
    </row>
    <row r="148" spans="1:21" x14ac:dyDescent="0.3">
      <c r="A148" s="2" t="s">
        <v>173</v>
      </c>
      <c r="B148" s="2" t="s">
        <v>25</v>
      </c>
      <c r="C148" s="2" t="s">
        <v>12</v>
      </c>
      <c r="D148" s="2">
        <v>5</v>
      </c>
      <c r="E148" s="2">
        <v>9668771037</v>
      </c>
      <c r="F148" s="2" t="s">
        <v>13</v>
      </c>
      <c r="G148" s="2" t="s">
        <v>14</v>
      </c>
      <c r="H148" s="2" t="s">
        <v>21</v>
      </c>
      <c r="I148" s="2" t="s">
        <v>41</v>
      </c>
      <c r="J148" s="2" t="s">
        <v>17</v>
      </c>
      <c r="L148" t="str">
        <v>Ankit Rajput</v>
      </c>
      <c r="M148" t="str">
        <v>2nd</v>
      </c>
      <c r="N148" t="str">
        <v>ME</v>
      </c>
      <c r="O148">
        <v>3</v>
      </c>
      <c r="P148">
        <v>7517974835</v>
      </c>
      <c r="Q148" t="str">
        <v>Due</v>
      </c>
      <c r="R148" t="str">
        <v>Yes</v>
      </c>
      <c r="S148" t="str">
        <v>Veg</v>
      </c>
      <c r="T148" t="str">
        <v>Art</v>
      </c>
      <c r="U148" t="str">
        <v>None</v>
      </c>
    </row>
    <row r="149" spans="1:21" x14ac:dyDescent="0.3">
      <c r="A149" s="2" t="s">
        <v>174</v>
      </c>
      <c r="B149" s="2" t="s">
        <v>25</v>
      </c>
      <c r="C149" s="2" t="s">
        <v>12</v>
      </c>
      <c r="D149" s="2">
        <v>5</v>
      </c>
      <c r="E149" s="2">
        <v>7203514151</v>
      </c>
      <c r="F149" s="2" t="s">
        <v>13</v>
      </c>
      <c r="G149" s="2" t="s">
        <v>20</v>
      </c>
      <c r="H149" s="2" t="s">
        <v>15</v>
      </c>
      <c r="I149" s="2" t="s">
        <v>41</v>
      </c>
      <c r="J149" s="2" t="s">
        <v>22</v>
      </c>
      <c r="L149" t="str">
        <v>Deepak Mondal</v>
      </c>
      <c r="M149" t="str">
        <v>3rd</v>
      </c>
      <c r="N149" t="str">
        <v>ME</v>
      </c>
      <c r="O149">
        <v>5</v>
      </c>
      <c r="P149">
        <v>9247984940</v>
      </c>
      <c r="Q149" t="str">
        <v>Paid</v>
      </c>
      <c r="R149" t="str">
        <v>No</v>
      </c>
      <c r="S149" t="str">
        <v>Non-Veg</v>
      </c>
      <c r="T149" t="str">
        <v>None</v>
      </c>
      <c r="U149" t="str">
        <v>None</v>
      </c>
    </row>
    <row r="150" spans="1:21" x14ac:dyDescent="0.3">
      <c r="A150" s="2" t="s">
        <v>175</v>
      </c>
      <c r="B150" s="2" t="s">
        <v>11</v>
      </c>
      <c r="C150" s="2" t="s">
        <v>12</v>
      </c>
      <c r="D150" s="2">
        <v>3</v>
      </c>
      <c r="E150" s="2">
        <v>9164811063</v>
      </c>
      <c r="F150" s="2" t="s">
        <v>19</v>
      </c>
      <c r="G150" s="2" t="s">
        <v>20</v>
      </c>
      <c r="H150" s="2" t="s">
        <v>15</v>
      </c>
      <c r="I150" s="2" t="s">
        <v>22</v>
      </c>
      <c r="J150" s="2" t="s">
        <v>22</v>
      </c>
      <c r="L150" t="str">
        <v>Ishita Kumar</v>
      </c>
      <c r="M150" t="str">
        <v>2nd</v>
      </c>
      <c r="N150" t="str">
        <v>ME</v>
      </c>
      <c r="O150">
        <v>3</v>
      </c>
      <c r="P150">
        <v>8241218520</v>
      </c>
      <c r="Q150" t="str">
        <v>Due</v>
      </c>
      <c r="R150" t="str">
        <v>Yes</v>
      </c>
      <c r="S150" t="str">
        <v>Veg</v>
      </c>
      <c r="T150" t="str">
        <v>Gaming</v>
      </c>
      <c r="U150" t="str">
        <v>Dance</v>
      </c>
    </row>
    <row r="151" spans="1:21" x14ac:dyDescent="0.3">
      <c r="A151" s="2" t="s">
        <v>176</v>
      </c>
      <c r="B151" s="2" t="s">
        <v>32</v>
      </c>
      <c r="C151" s="2" t="s">
        <v>36</v>
      </c>
      <c r="D151" s="2">
        <v>7</v>
      </c>
      <c r="E151" s="2">
        <v>8671471316</v>
      </c>
      <c r="F151" s="2" t="s">
        <v>13</v>
      </c>
      <c r="G151" s="2" t="s">
        <v>20</v>
      </c>
      <c r="H151" s="2" t="s">
        <v>15</v>
      </c>
      <c r="I151" s="2" t="s">
        <v>22</v>
      </c>
      <c r="J151" s="2" t="s">
        <v>22</v>
      </c>
      <c r="L151" t="str">
        <v>Rahul Joshi</v>
      </c>
      <c r="M151" t="str">
        <v>4th</v>
      </c>
      <c r="N151" t="str">
        <v>ME</v>
      </c>
      <c r="O151">
        <v>7</v>
      </c>
      <c r="P151">
        <v>8982599699</v>
      </c>
      <c r="Q151" t="str">
        <v>Paid</v>
      </c>
      <c r="R151" t="str">
        <v>No</v>
      </c>
      <c r="S151" t="str">
        <v>Non-Veg</v>
      </c>
      <c r="T151" t="str">
        <v>None</v>
      </c>
      <c r="U151" t="str">
        <v>Singing</v>
      </c>
    </row>
    <row r="152" spans="1:21" x14ac:dyDescent="0.3">
      <c r="A152" s="2" t="s">
        <v>177</v>
      </c>
      <c r="B152" s="2" t="s">
        <v>11</v>
      </c>
      <c r="C152" s="2" t="s">
        <v>26</v>
      </c>
      <c r="D152" s="2">
        <v>3</v>
      </c>
      <c r="E152" s="2">
        <v>7270688568</v>
      </c>
      <c r="F152" s="2" t="s">
        <v>13</v>
      </c>
      <c r="G152" s="2" t="s">
        <v>14</v>
      </c>
      <c r="H152" s="2" t="s">
        <v>21</v>
      </c>
      <c r="I152" s="2" t="s">
        <v>16</v>
      </c>
      <c r="J152" s="2" t="s">
        <v>22</v>
      </c>
      <c r="L152" t="str">
        <v>Ankita Choudhary</v>
      </c>
      <c r="M152" t="str">
        <v>4th</v>
      </c>
      <c r="N152" t="str">
        <v>ME</v>
      </c>
      <c r="O152">
        <v>7</v>
      </c>
      <c r="P152">
        <v>8663603389</v>
      </c>
      <c r="Q152" t="str">
        <v>Paid</v>
      </c>
      <c r="R152" t="str">
        <v>No</v>
      </c>
      <c r="S152" t="str">
        <v>Veg</v>
      </c>
      <c r="T152" t="str">
        <v>Science Exhibition</v>
      </c>
      <c r="U152" t="str">
        <v>Singing</v>
      </c>
    </row>
    <row r="153" spans="1:21" x14ac:dyDescent="0.3">
      <c r="A153" s="2" t="s">
        <v>178</v>
      </c>
      <c r="B153" s="2" t="s">
        <v>35</v>
      </c>
      <c r="C153" s="2" t="s">
        <v>36</v>
      </c>
      <c r="D153" s="2">
        <v>1</v>
      </c>
      <c r="E153" s="2">
        <v>7068670117</v>
      </c>
      <c r="F153" s="2" t="s">
        <v>13</v>
      </c>
      <c r="G153" s="2" t="s">
        <v>20</v>
      </c>
      <c r="H153" s="2" t="s">
        <v>15</v>
      </c>
      <c r="I153" s="2" t="s">
        <v>22</v>
      </c>
      <c r="J153" s="2" t="s">
        <v>17</v>
      </c>
      <c r="L153" t="str">
        <v>Tanya Mehta</v>
      </c>
      <c r="M153" t="str">
        <v>1st</v>
      </c>
      <c r="N153" t="str">
        <v>ME</v>
      </c>
      <c r="O153">
        <v>1</v>
      </c>
      <c r="P153">
        <v>8757874656</v>
      </c>
      <c r="Q153" t="str">
        <v>Paid</v>
      </c>
      <c r="R153" t="str">
        <v>Yes</v>
      </c>
      <c r="S153" t="str">
        <v>Veg</v>
      </c>
      <c r="T153" t="str">
        <v>Gaming</v>
      </c>
      <c r="U153" t="str">
        <v>None</v>
      </c>
    </row>
    <row r="154" spans="1:21" x14ac:dyDescent="0.3">
      <c r="A154" s="2" t="s">
        <v>179</v>
      </c>
      <c r="B154" s="2" t="s">
        <v>11</v>
      </c>
      <c r="C154" s="2" t="s">
        <v>43</v>
      </c>
      <c r="D154" s="2">
        <v>3</v>
      </c>
      <c r="E154" s="2">
        <v>9700700797</v>
      </c>
      <c r="F154" s="2" t="s">
        <v>13</v>
      </c>
      <c r="G154" s="2" t="s">
        <v>14</v>
      </c>
      <c r="H154" s="2" t="s">
        <v>21</v>
      </c>
      <c r="I154" s="2" t="s">
        <v>41</v>
      </c>
      <c r="J154" s="2" t="s">
        <v>17</v>
      </c>
      <c r="L154" t="str">
        <v>Rupali Dubey</v>
      </c>
      <c r="M154" t="str">
        <v>2nd</v>
      </c>
      <c r="N154" t="str">
        <v>ME</v>
      </c>
      <c r="O154">
        <v>3</v>
      </c>
      <c r="P154">
        <v>7305820563</v>
      </c>
      <c r="Q154" t="str">
        <v>Due</v>
      </c>
      <c r="R154" t="str">
        <v>No</v>
      </c>
      <c r="S154" t="str">
        <v>Non-Veg</v>
      </c>
      <c r="T154" t="str">
        <v>Coding</v>
      </c>
      <c r="U154" t="str">
        <v>Singing</v>
      </c>
    </row>
    <row r="155" spans="1:21" x14ac:dyDescent="0.3">
      <c r="A155" s="2" t="s">
        <v>180</v>
      </c>
      <c r="B155" s="2" t="s">
        <v>35</v>
      </c>
      <c r="C155" s="2" t="s">
        <v>12</v>
      </c>
      <c r="D155" s="2">
        <v>1</v>
      </c>
      <c r="E155" s="2">
        <v>7314717194</v>
      </c>
      <c r="F155" s="2" t="s">
        <v>19</v>
      </c>
      <c r="G155" s="2" t="s">
        <v>20</v>
      </c>
      <c r="H155" s="2" t="s">
        <v>21</v>
      </c>
      <c r="I155" s="2" t="s">
        <v>29</v>
      </c>
      <c r="J155" s="2" t="s">
        <v>22</v>
      </c>
      <c r="L155" t="str">
        <v>Sourabh Choudhary</v>
      </c>
      <c r="M155" t="str">
        <v>1st</v>
      </c>
      <c r="N155" t="str">
        <v>ME</v>
      </c>
      <c r="O155">
        <v>1</v>
      </c>
      <c r="P155">
        <v>6937024662</v>
      </c>
      <c r="Q155" t="str">
        <v>Paid</v>
      </c>
      <c r="R155" t="str">
        <v>No</v>
      </c>
      <c r="S155" t="str">
        <v>Veg</v>
      </c>
      <c r="T155" t="str">
        <v>Gaming</v>
      </c>
      <c r="U155" t="str">
        <v>None</v>
      </c>
    </row>
    <row r="156" spans="1:21" x14ac:dyDescent="0.3">
      <c r="A156" s="2" t="s">
        <v>181</v>
      </c>
      <c r="B156" s="2" t="s">
        <v>11</v>
      </c>
      <c r="C156" s="2" t="s">
        <v>26</v>
      </c>
      <c r="D156" s="2">
        <v>3</v>
      </c>
      <c r="E156" s="2">
        <v>7334286231</v>
      </c>
      <c r="F156" s="2" t="s">
        <v>19</v>
      </c>
      <c r="G156" s="2" t="s">
        <v>20</v>
      </c>
      <c r="H156" s="2" t="s">
        <v>15</v>
      </c>
      <c r="I156" s="2" t="s">
        <v>22</v>
      </c>
      <c r="J156" s="2" t="s">
        <v>22</v>
      </c>
      <c r="L156" t="str">
        <v>Amrita Ahuja</v>
      </c>
      <c r="M156" t="str">
        <v>1st</v>
      </c>
      <c r="N156" t="str">
        <v>ME</v>
      </c>
      <c r="O156">
        <v>1</v>
      </c>
      <c r="P156">
        <v>9764627124</v>
      </c>
      <c r="Q156" t="str">
        <v>Paid</v>
      </c>
      <c r="R156" t="str">
        <v>No</v>
      </c>
      <c r="S156" t="str">
        <v>Non-Veg</v>
      </c>
      <c r="T156" t="str">
        <v>None</v>
      </c>
      <c r="U156" t="str">
        <v>Dance</v>
      </c>
    </row>
    <row r="157" spans="1:21" x14ac:dyDescent="0.3">
      <c r="A157" s="2" t="s">
        <v>182</v>
      </c>
      <c r="B157" s="2" t="s">
        <v>11</v>
      </c>
      <c r="C157" s="2" t="s">
        <v>26</v>
      </c>
      <c r="D157" s="2">
        <v>3</v>
      </c>
      <c r="E157" s="2">
        <v>6591128066</v>
      </c>
      <c r="F157" s="2" t="s">
        <v>13</v>
      </c>
      <c r="G157" s="2" t="s">
        <v>20</v>
      </c>
      <c r="H157" s="2" t="s">
        <v>15</v>
      </c>
      <c r="I157" s="2" t="s">
        <v>27</v>
      </c>
      <c r="J157" s="2" t="s">
        <v>22</v>
      </c>
      <c r="L157" t="str">
        <v>Megha Reddy</v>
      </c>
      <c r="M157" t="str">
        <v>1st</v>
      </c>
      <c r="N157" t="str">
        <v>ME</v>
      </c>
      <c r="O157">
        <v>1</v>
      </c>
      <c r="P157">
        <v>7509845517</v>
      </c>
      <c r="Q157" t="str">
        <v>Due</v>
      </c>
      <c r="R157" t="str">
        <v>Yes</v>
      </c>
      <c r="S157" t="str">
        <v>Veg</v>
      </c>
      <c r="T157" t="str">
        <v>Science Exhibition</v>
      </c>
      <c r="U157" t="str">
        <v>None</v>
      </c>
    </row>
    <row r="158" spans="1:21" x14ac:dyDescent="0.3">
      <c r="A158" s="2" t="s">
        <v>183</v>
      </c>
      <c r="B158" s="2" t="s">
        <v>35</v>
      </c>
      <c r="C158" s="2" t="s">
        <v>43</v>
      </c>
      <c r="D158" s="2">
        <v>1</v>
      </c>
      <c r="E158" s="2">
        <v>6063070983</v>
      </c>
      <c r="F158" s="2" t="s">
        <v>19</v>
      </c>
      <c r="G158" s="2" t="s">
        <v>14</v>
      </c>
      <c r="H158" s="2" t="s">
        <v>15</v>
      </c>
      <c r="I158" s="2" t="s">
        <v>27</v>
      </c>
      <c r="J158" s="2" t="s">
        <v>22</v>
      </c>
      <c r="L158" t="str">
        <v>Sonam Agarwal</v>
      </c>
      <c r="M158" t="str">
        <v>3rd</v>
      </c>
      <c r="N158" t="str">
        <v>ME</v>
      </c>
      <c r="O158">
        <v>5</v>
      </c>
      <c r="P158">
        <v>8670642324</v>
      </c>
      <c r="Q158" t="str">
        <v>Paid</v>
      </c>
      <c r="R158" t="str">
        <v>No</v>
      </c>
      <c r="S158" t="str">
        <v>Veg</v>
      </c>
      <c r="T158" t="str">
        <v>Art</v>
      </c>
      <c r="U158" t="str">
        <v>Singing</v>
      </c>
    </row>
    <row r="159" spans="1:21" x14ac:dyDescent="0.3">
      <c r="A159" s="2" t="s">
        <v>184</v>
      </c>
      <c r="B159" s="2" t="s">
        <v>11</v>
      </c>
      <c r="C159" s="2" t="s">
        <v>36</v>
      </c>
      <c r="D159" s="2">
        <v>3</v>
      </c>
      <c r="E159" s="2">
        <v>9407431266</v>
      </c>
      <c r="F159" s="2" t="s">
        <v>19</v>
      </c>
      <c r="G159" s="2" t="s">
        <v>20</v>
      </c>
      <c r="H159" s="2" t="s">
        <v>15</v>
      </c>
      <c r="I159" s="2" t="s">
        <v>29</v>
      </c>
      <c r="J159" s="2" t="s">
        <v>23</v>
      </c>
      <c r="L159" t="str">
        <v>Pragya Menon</v>
      </c>
      <c r="M159" t="str">
        <v>2nd</v>
      </c>
      <c r="N159" t="str">
        <v>ME</v>
      </c>
      <c r="O159">
        <v>3</v>
      </c>
      <c r="P159">
        <v>9633833628</v>
      </c>
      <c r="Q159" t="str">
        <v>Due</v>
      </c>
      <c r="R159" t="str">
        <v>Yes</v>
      </c>
      <c r="S159" t="str">
        <v>Non-Veg</v>
      </c>
      <c r="T159" t="str">
        <v>None</v>
      </c>
      <c r="U159" t="str">
        <v>Singing</v>
      </c>
    </row>
    <row r="160" spans="1:21" x14ac:dyDescent="0.3">
      <c r="A160" s="2" t="s">
        <v>185</v>
      </c>
      <c r="B160" s="2" t="s">
        <v>25</v>
      </c>
      <c r="C160" s="2" t="s">
        <v>36</v>
      </c>
      <c r="D160" s="2">
        <v>5</v>
      </c>
      <c r="E160" s="2">
        <v>8273697068</v>
      </c>
      <c r="F160" s="2" t="s">
        <v>13</v>
      </c>
      <c r="G160" s="2" t="s">
        <v>14</v>
      </c>
      <c r="H160" s="2" t="s">
        <v>21</v>
      </c>
      <c r="I160" s="2" t="s">
        <v>29</v>
      </c>
      <c r="J160" s="2" t="s">
        <v>23</v>
      </c>
      <c r="L160" t="str">
        <v>Sakshi Ghosh</v>
      </c>
      <c r="M160" t="str">
        <v>1st</v>
      </c>
      <c r="N160" t="str">
        <v>ME</v>
      </c>
      <c r="O160">
        <v>1</v>
      </c>
      <c r="P160">
        <v>8231655871</v>
      </c>
      <c r="Q160" t="str">
        <v>Paid</v>
      </c>
      <c r="R160" t="str">
        <v>No</v>
      </c>
      <c r="S160" t="str">
        <v>Non-Veg</v>
      </c>
      <c r="T160" t="str">
        <v>Art</v>
      </c>
      <c r="U160" t="str">
        <v>Singing</v>
      </c>
    </row>
    <row r="161" spans="1:21" x14ac:dyDescent="0.3">
      <c r="A161" s="2" t="s">
        <v>186</v>
      </c>
      <c r="B161" s="2" t="s">
        <v>11</v>
      </c>
      <c r="C161" s="2" t="s">
        <v>36</v>
      </c>
      <c r="D161" s="2">
        <v>3</v>
      </c>
      <c r="E161" s="2">
        <v>9879545883</v>
      </c>
      <c r="F161" s="2" t="s">
        <v>19</v>
      </c>
      <c r="G161" s="2" t="s">
        <v>20</v>
      </c>
      <c r="H161" s="2" t="s">
        <v>21</v>
      </c>
      <c r="I161" s="2" t="s">
        <v>22</v>
      </c>
      <c r="J161" s="2" t="s">
        <v>17</v>
      </c>
      <c r="L161" t="str">
        <v>Vidya Saxena</v>
      </c>
      <c r="M161" t="str">
        <v>4th</v>
      </c>
      <c r="N161" t="str">
        <v>ME</v>
      </c>
      <c r="O161">
        <v>7</v>
      </c>
      <c r="P161">
        <v>8085452036</v>
      </c>
      <c r="Q161" t="str">
        <v>Due</v>
      </c>
      <c r="R161" t="str">
        <v>No</v>
      </c>
      <c r="S161" t="str">
        <v>Non-Veg</v>
      </c>
      <c r="T161" t="str">
        <v>None</v>
      </c>
      <c r="U161" t="str">
        <v>None</v>
      </c>
    </row>
    <row r="162" spans="1:21" x14ac:dyDescent="0.3">
      <c r="A162" s="2" t="s">
        <v>187</v>
      </c>
      <c r="B162" s="2" t="s">
        <v>35</v>
      </c>
      <c r="C162" s="2" t="s">
        <v>33</v>
      </c>
      <c r="D162" s="2">
        <v>1</v>
      </c>
      <c r="E162" s="2">
        <v>6954326748</v>
      </c>
      <c r="F162" s="2" t="s">
        <v>19</v>
      </c>
      <c r="G162" s="2" t="s">
        <v>20</v>
      </c>
      <c r="H162" s="2" t="s">
        <v>15</v>
      </c>
      <c r="I162" s="2" t="s">
        <v>29</v>
      </c>
      <c r="J162" s="2" t="s">
        <v>23</v>
      </c>
      <c r="L162" t="str">
        <v>Karan Roy</v>
      </c>
      <c r="M162" t="str">
        <v>1st</v>
      </c>
      <c r="N162" t="str">
        <v>ME</v>
      </c>
      <c r="O162">
        <v>1</v>
      </c>
      <c r="P162">
        <v>8758498860</v>
      </c>
      <c r="Q162" t="str">
        <v>Paid</v>
      </c>
      <c r="R162" t="str">
        <v>No</v>
      </c>
      <c r="S162" t="str">
        <v>Non-Veg</v>
      </c>
      <c r="T162" t="str">
        <v>None</v>
      </c>
      <c r="U162" t="str">
        <v>Singing</v>
      </c>
    </row>
    <row r="163" spans="1:21" x14ac:dyDescent="0.3">
      <c r="A163" s="2" t="s">
        <v>188</v>
      </c>
      <c r="B163" s="2" t="s">
        <v>25</v>
      </c>
      <c r="C163" s="2" t="s">
        <v>36</v>
      </c>
      <c r="D163" s="2">
        <v>5</v>
      </c>
      <c r="E163" s="2">
        <v>8606376171</v>
      </c>
      <c r="F163" s="2" t="s">
        <v>19</v>
      </c>
      <c r="G163" s="2" t="s">
        <v>20</v>
      </c>
      <c r="H163" s="2" t="s">
        <v>15</v>
      </c>
      <c r="I163" s="2" t="s">
        <v>29</v>
      </c>
      <c r="J163" s="2" t="s">
        <v>23</v>
      </c>
      <c r="L163" t="str">
        <v>Nandini Roy</v>
      </c>
      <c r="M163" t="str">
        <v>1st</v>
      </c>
      <c r="N163" t="str">
        <v>ME</v>
      </c>
      <c r="O163">
        <v>1</v>
      </c>
      <c r="P163">
        <v>7242389060</v>
      </c>
      <c r="Q163" t="str">
        <v>Due</v>
      </c>
      <c r="R163" t="str">
        <v>Yes</v>
      </c>
      <c r="S163" t="str">
        <v>Veg</v>
      </c>
      <c r="T163" t="str">
        <v>None</v>
      </c>
      <c r="U163" t="str">
        <v>None</v>
      </c>
    </row>
    <row r="164" spans="1:21" x14ac:dyDescent="0.3">
      <c r="A164" s="2" t="s">
        <v>189</v>
      </c>
      <c r="B164" s="2" t="s">
        <v>11</v>
      </c>
      <c r="C164" s="2" t="s">
        <v>33</v>
      </c>
      <c r="D164" s="2">
        <v>3</v>
      </c>
      <c r="E164" s="2">
        <v>6658324986</v>
      </c>
      <c r="F164" s="2" t="s">
        <v>13</v>
      </c>
      <c r="G164" s="2" t="s">
        <v>20</v>
      </c>
      <c r="H164" s="2" t="s">
        <v>21</v>
      </c>
      <c r="I164" s="2" t="s">
        <v>22</v>
      </c>
      <c r="J164" s="2" t="s">
        <v>17</v>
      </c>
      <c r="L164" t="str">
        <v>Jyoti Mehta</v>
      </c>
      <c r="M164" t="str">
        <v>1st</v>
      </c>
      <c r="N164" t="str">
        <v>ME</v>
      </c>
      <c r="O164">
        <v>1</v>
      </c>
      <c r="P164">
        <v>6482716114</v>
      </c>
      <c r="Q164" t="str">
        <v>Paid</v>
      </c>
      <c r="R164" t="str">
        <v>Yes</v>
      </c>
      <c r="S164" t="str">
        <v>Veg</v>
      </c>
      <c r="T164" t="str">
        <v>None</v>
      </c>
      <c r="U164" t="str">
        <v>None</v>
      </c>
    </row>
    <row r="165" spans="1:21" x14ac:dyDescent="0.3">
      <c r="A165" s="2" t="s">
        <v>190</v>
      </c>
      <c r="B165" s="2" t="s">
        <v>11</v>
      </c>
      <c r="C165" s="2" t="s">
        <v>12</v>
      </c>
      <c r="D165" s="2">
        <v>3</v>
      </c>
      <c r="E165" s="2">
        <v>6975936691</v>
      </c>
      <c r="F165" s="2" t="s">
        <v>13</v>
      </c>
      <c r="G165" s="2" t="s">
        <v>14</v>
      </c>
      <c r="H165" s="2" t="s">
        <v>15</v>
      </c>
      <c r="I165" s="2" t="s">
        <v>29</v>
      </c>
      <c r="J165" s="2" t="s">
        <v>17</v>
      </c>
      <c r="L165" t="str">
        <v>Arnav Mukherjee</v>
      </c>
      <c r="M165" t="str">
        <v>1st</v>
      </c>
      <c r="N165" t="str">
        <v>ME</v>
      </c>
      <c r="O165">
        <v>1</v>
      </c>
      <c r="P165">
        <v>8901463651</v>
      </c>
      <c r="Q165" t="str">
        <v>Due</v>
      </c>
      <c r="R165" t="str">
        <v>Yes</v>
      </c>
      <c r="S165" t="str">
        <v>Non-Veg</v>
      </c>
      <c r="T165" t="str">
        <v>None</v>
      </c>
      <c r="U165" t="str">
        <v>Dance</v>
      </c>
    </row>
    <row r="166" spans="1:21" x14ac:dyDescent="0.3">
      <c r="A166" s="2" t="s">
        <v>191</v>
      </c>
      <c r="B166" s="2" t="s">
        <v>25</v>
      </c>
      <c r="C166" s="2" t="s">
        <v>43</v>
      </c>
      <c r="D166" s="2">
        <v>5</v>
      </c>
      <c r="E166" s="2">
        <v>7292782057</v>
      </c>
      <c r="F166" s="2" t="s">
        <v>19</v>
      </c>
      <c r="G166" s="2" t="s">
        <v>14</v>
      </c>
      <c r="H166" s="2" t="s">
        <v>21</v>
      </c>
      <c r="I166" s="2" t="s">
        <v>27</v>
      </c>
      <c r="J166" s="2" t="s">
        <v>23</v>
      </c>
      <c r="L166" t="str">
        <v>Jay Sharma</v>
      </c>
      <c r="M166" t="str">
        <v>3rd</v>
      </c>
      <c r="N166" t="str">
        <v>ME</v>
      </c>
      <c r="O166">
        <v>5</v>
      </c>
      <c r="P166">
        <v>9537103484</v>
      </c>
      <c r="Q166" t="str">
        <v>Due</v>
      </c>
      <c r="R166" t="str">
        <v>No</v>
      </c>
      <c r="S166" t="str">
        <v>Non-Veg</v>
      </c>
      <c r="T166" t="str">
        <v>None</v>
      </c>
      <c r="U166" t="str">
        <v>None</v>
      </c>
    </row>
    <row r="167" spans="1:21" x14ac:dyDescent="0.3">
      <c r="A167" s="2" t="s">
        <v>192</v>
      </c>
      <c r="B167" s="2" t="s">
        <v>11</v>
      </c>
      <c r="C167" s="2" t="s">
        <v>12</v>
      </c>
      <c r="D167" s="2">
        <v>3</v>
      </c>
      <c r="E167" s="2">
        <v>9639956501</v>
      </c>
      <c r="F167" s="2" t="s">
        <v>19</v>
      </c>
      <c r="G167" s="2" t="s">
        <v>20</v>
      </c>
      <c r="H167" s="2" t="s">
        <v>15</v>
      </c>
      <c r="I167" s="2" t="s">
        <v>22</v>
      </c>
      <c r="J167" s="2" t="s">
        <v>23</v>
      </c>
      <c r="L167" t="str">
        <v>Siddharth Bose</v>
      </c>
      <c r="M167" t="str">
        <v>3rd</v>
      </c>
      <c r="N167" t="str">
        <v>ME</v>
      </c>
      <c r="O167">
        <v>5</v>
      </c>
      <c r="P167">
        <v>6370750663</v>
      </c>
      <c r="Q167" t="str">
        <v>Due</v>
      </c>
      <c r="R167" t="str">
        <v>Yes</v>
      </c>
      <c r="S167" t="str">
        <v>Veg</v>
      </c>
      <c r="T167" t="str">
        <v>None</v>
      </c>
      <c r="U167" t="str">
        <v>None</v>
      </c>
    </row>
    <row r="168" spans="1:21" x14ac:dyDescent="0.3">
      <c r="A168" s="2" t="s">
        <v>193</v>
      </c>
      <c r="B168" s="2" t="s">
        <v>35</v>
      </c>
      <c r="C168" s="2" t="s">
        <v>33</v>
      </c>
      <c r="D168" s="2">
        <v>1</v>
      </c>
      <c r="E168" s="2">
        <v>7892758248</v>
      </c>
      <c r="F168" s="2" t="s">
        <v>13</v>
      </c>
      <c r="G168" s="2" t="s">
        <v>14</v>
      </c>
      <c r="H168" s="2" t="s">
        <v>15</v>
      </c>
      <c r="I168" s="2" t="s">
        <v>16</v>
      </c>
      <c r="J168" s="2" t="s">
        <v>22</v>
      </c>
      <c r="L168" t="str">
        <v>Dhruv Joshi</v>
      </c>
      <c r="M168" t="str">
        <v>4th</v>
      </c>
      <c r="N168" t="str">
        <v>ME</v>
      </c>
      <c r="O168">
        <v>7</v>
      </c>
      <c r="P168">
        <v>7219227246</v>
      </c>
      <c r="Q168" t="str">
        <v>Paid</v>
      </c>
      <c r="R168" t="str">
        <v>No</v>
      </c>
      <c r="S168" t="str">
        <v>Non-Veg</v>
      </c>
      <c r="T168" t="str">
        <v>Art</v>
      </c>
      <c r="U168" t="str">
        <v>Singing</v>
      </c>
    </row>
    <row r="169" spans="1:21" x14ac:dyDescent="0.3">
      <c r="A169" s="2" t="s">
        <v>194</v>
      </c>
      <c r="B169" s="2" t="s">
        <v>35</v>
      </c>
      <c r="C169" s="2" t="s">
        <v>36</v>
      </c>
      <c r="D169" s="2">
        <v>1</v>
      </c>
      <c r="E169" s="2">
        <v>9161364260</v>
      </c>
      <c r="F169" s="2" t="s">
        <v>13</v>
      </c>
      <c r="G169" s="2" t="s">
        <v>14</v>
      </c>
      <c r="H169" s="2" t="s">
        <v>21</v>
      </c>
      <c r="I169" s="2" t="s">
        <v>22</v>
      </c>
      <c r="J169" s="2" t="s">
        <v>22</v>
      </c>
      <c r="L169" t="str">
        <v>Ritika Ghosh</v>
      </c>
      <c r="M169" t="str">
        <v>2nd</v>
      </c>
      <c r="N169" t="str">
        <v>ME</v>
      </c>
      <c r="O169">
        <v>3</v>
      </c>
      <c r="P169">
        <v>8906470231</v>
      </c>
      <c r="Q169" t="str">
        <v>Due</v>
      </c>
      <c r="R169" t="str">
        <v>Yes</v>
      </c>
      <c r="S169" t="str">
        <v>Veg</v>
      </c>
      <c r="T169" t="str">
        <v>Art</v>
      </c>
      <c r="U169" t="str">
        <v>None</v>
      </c>
    </row>
    <row r="170" spans="1:21" x14ac:dyDescent="0.3">
      <c r="A170" s="2" t="s">
        <v>195</v>
      </c>
      <c r="B170" s="2" t="s">
        <v>25</v>
      </c>
      <c r="C170" s="2" t="s">
        <v>26</v>
      </c>
      <c r="D170" s="2">
        <v>5</v>
      </c>
      <c r="E170" s="2">
        <v>8247327953</v>
      </c>
      <c r="F170" s="2" t="s">
        <v>13</v>
      </c>
      <c r="G170" s="2" t="s">
        <v>20</v>
      </c>
      <c r="H170" s="2" t="s">
        <v>15</v>
      </c>
      <c r="I170" s="2" t="s">
        <v>22</v>
      </c>
      <c r="J170" s="2" t="s">
        <v>17</v>
      </c>
      <c r="L170" t="str">
        <v>Arnav Khanna</v>
      </c>
      <c r="M170" t="str">
        <v>3rd</v>
      </c>
      <c r="N170" t="str">
        <v>ME</v>
      </c>
      <c r="O170">
        <v>5</v>
      </c>
      <c r="P170">
        <v>6855104557</v>
      </c>
      <c r="Q170" t="str">
        <v>Paid</v>
      </c>
      <c r="R170" t="str">
        <v>No</v>
      </c>
      <c r="S170" t="str">
        <v>Non-Veg</v>
      </c>
      <c r="T170" t="str">
        <v>Coding</v>
      </c>
      <c r="U170" t="str">
        <v>Singing</v>
      </c>
    </row>
    <row r="171" spans="1:21" x14ac:dyDescent="0.3">
      <c r="A171" s="2" t="s">
        <v>196</v>
      </c>
      <c r="B171" s="2" t="s">
        <v>11</v>
      </c>
      <c r="C171" s="2" t="s">
        <v>43</v>
      </c>
      <c r="D171" s="2">
        <v>3</v>
      </c>
      <c r="E171" s="2">
        <v>6794903931</v>
      </c>
      <c r="F171" s="2" t="s">
        <v>19</v>
      </c>
      <c r="G171" s="2" t="s">
        <v>14</v>
      </c>
      <c r="H171" s="2" t="s">
        <v>15</v>
      </c>
      <c r="I171" s="2" t="s">
        <v>22</v>
      </c>
      <c r="J171" s="2" t="s">
        <v>22</v>
      </c>
      <c r="L171" t="str">
        <v>Ankit Sharma</v>
      </c>
      <c r="M171" t="str">
        <v>1st</v>
      </c>
      <c r="N171" t="str">
        <v>ME</v>
      </c>
      <c r="O171">
        <v>1</v>
      </c>
      <c r="P171">
        <v>6581669564</v>
      </c>
      <c r="Q171" t="str">
        <v>Paid</v>
      </c>
      <c r="R171" t="str">
        <v>Yes</v>
      </c>
      <c r="S171" t="str">
        <v>Veg</v>
      </c>
      <c r="T171" t="str">
        <v>None</v>
      </c>
      <c r="U171" t="str">
        <v>Dance</v>
      </c>
    </row>
    <row r="172" spans="1:21" x14ac:dyDescent="0.3">
      <c r="A172" s="2" t="s">
        <v>197</v>
      </c>
      <c r="B172" s="2" t="s">
        <v>11</v>
      </c>
      <c r="C172" s="2" t="s">
        <v>33</v>
      </c>
      <c r="D172" s="2">
        <v>3</v>
      </c>
      <c r="E172" s="2">
        <v>9822401303</v>
      </c>
      <c r="F172" s="2" t="s">
        <v>13</v>
      </c>
      <c r="G172" s="2" t="s">
        <v>14</v>
      </c>
      <c r="H172" s="2" t="s">
        <v>21</v>
      </c>
      <c r="I172" s="2" t="s">
        <v>37</v>
      </c>
      <c r="J172" s="2" t="s">
        <v>23</v>
      </c>
      <c r="L172" t="str">
        <v>Arnav Bansal</v>
      </c>
      <c r="M172" t="str">
        <v>3rd</v>
      </c>
      <c r="N172" t="str">
        <v>ME</v>
      </c>
      <c r="O172">
        <v>5</v>
      </c>
      <c r="P172">
        <v>9121064857</v>
      </c>
      <c r="Q172" t="str">
        <v>Due</v>
      </c>
      <c r="R172" t="str">
        <v>No</v>
      </c>
      <c r="S172" t="str">
        <v>Veg</v>
      </c>
      <c r="T172" t="str">
        <v>Coding</v>
      </c>
      <c r="U172" t="str">
        <v>Dance</v>
      </c>
    </row>
    <row r="173" spans="1:21" x14ac:dyDescent="0.3">
      <c r="A173" s="2" t="s">
        <v>198</v>
      </c>
      <c r="B173" s="2" t="s">
        <v>11</v>
      </c>
      <c r="C173" s="2" t="s">
        <v>33</v>
      </c>
      <c r="D173" s="2">
        <v>3</v>
      </c>
      <c r="E173" s="2">
        <v>9508773883</v>
      </c>
      <c r="F173" s="2" t="s">
        <v>19</v>
      </c>
      <c r="G173" s="2" t="s">
        <v>20</v>
      </c>
      <c r="H173" s="2" t="s">
        <v>15</v>
      </c>
      <c r="I173" s="2" t="s">
        <v>27</v>
      </c>
      <c r="J173" s="2" t="s">
        <v>22</v>
      </c>
      <c r="L173" t="str">
        <v>Abhinav Joshi</v>
      </c>
      <c r="M173" t="str">
        <v>3rd</v>
      </c>
      <c r="N173" t="str">
        <v>ME</v>
      </c>
      <c r="O173">
        <v>5</v>
      </c>
      <c r="P173">
        <v>6362530497</v>
      </c>
      <c r="Q173" t="str">
        <v>Due</v>
      </c>
      <c r="R173" t="str">
        <v>No</v>
      </c>
      <c r="S173" t="str">
        <v>Veg</v>
      </c>
      <c r="T173" t="str">
        <v>Gaming</v>
      </c>
      <c r="U173" t="str">
        <v>None</v>
      </c>
    </row>
    <row r="174" spans="1:21" x14ac:dyDescent="0.3">
      <c r="A174" s="2" t="s">
        <v>199</v>
      </c>
      <c r="B174" s="2" t="s">
        <v>32</v>
      </c>
      <c r="C174" s="2" t="s">
        <v>12</v>
      </c>
      <c r="D174" s="2">
        <v>7</v>
      </c>
      <c r="E174" s="2">
        <v>7683981022</v>
      </c>
      <c r="F174" s="2" t="s">
        <v>13</v>
      </c>
      <c r="G174" s="2" t="s">
        <v>20</v>
      </c>
      <c r="H174" s="2" t="s">
        <v>21</v>
      </c>
      <c r="I174" s="2" t="s">
        <v>37</v>
      </c>
      <c r="J174" s="2" t="s">
        <v>23</v>
      </c>
    </row>
    <row r="175" spans="1:21" x14ac:dyDescent="0.3">
      <c r="A175" s="2" t="s">
        <v>200</v>
      </c>
      <c r="B175" s="2" t="s">
        <v>11</v>
      </c>
      <c r="C175" s="2" t="s">
        <v>33</v>
      </c>
      <c r="D175" s="2">
        <v>3</v>
      </c>
      <c r="E175" s="2">
        <v>9998783356</v>
      </c>
      <c r="F175" s="2" t="s">
        <v>19</v>
      </c>
      <c r="G175" s="2" t="s">
        <v>14</v>
      </c>
      <c r="H175" s="2" t="s">
        <v>15</v>
      </c>
      <c r="I175" s="2" t="s">
        <v>22</v>
      </c>
      <c r="J175" s="2" t="s">
        <v>17</v>
      </c>
    </row>
    <row r="176" spans="1:21" x14ac:dyDescent="0.3">
      <c r="A176" s="2" t="s">
        <v>201</v>
      </c>
      <c r="B176" s="2" t="s">
        <v>35</v>
      </c>
      <c r="C176" s="2" t="s">
        <v>26</v>
      </c>
      <c r="D176" s="2">
        <v>1</v>
      </c>
      <c r="E176" s="2">
        <v>8162140057</v>
      </c>
      <c r="F176" s="2" t="s">
        <v>13</v>
      </c>
      <c r="G176" s="2" t="s">
        <v>20</v>
      </c>
      <c r="H176" s="2" t="s">
        <v>21</v>
      </c>
      <c r="I176" s="2" t="s">
        <v>22</v>
      </c>
      <c r="J176" s="2" t="s">
        <v>23</v>
      </c>
    </row>
    <row r="177" spans="1:10" x14ac:dyDescent="0.3">
      <c r="A177" s="2" t="s">
        <v>202</v>
      </c>
      <c r="B177" s="2" t="s">
        <v>32</v>
      </c>
      <c r="C177" s="2" t="s">
        <v>12</v>
      </c>
      <c r="D177" s="2">
        <v>7</v>
      </c>
      <c r="E177" s="2">
        <v>8420516381</v>
      </c>
      <c r="F177" s="2" t="s">
        <v>19</v>
      </c>
      <c r="G177" s="2" t="s">
        <v>20</v>
      </c>
      <c r="H177" s="2" t="s">
        <v>21</v>
      </c>
      <c r="I177" s="2" t="s">
        <v>41</v>
      </c>
      <c r="J177" s="2" t="s">
        <v>23</v>
      </c>
    </row>
    <row r="178" spans="1:10" x14ac:dyDescent="0.3">
      <c r="A178" s="2" t="s">
        <v>203</v>
      </c>
      <c r="B178" s="2" t="s">
        <v>35</v>
      </c>
      <c r="C178" s="2" t="s">
        <v>12</v>
      </c>
      <c r="D178" s="2">
        <v>1</v>
      </c>
      <c r="E178" s="2">
        <v>8396038611</v>
      </c>
      <c r="F178" s="2" t="s">
        <v>19</v>
      </c>
      <c r="G178" s="2" t="s">
        <v>14</v>
      </c>
      <c r="H178" s="2" t="s">
        <v>21</v>
      </c>
      <c r="I178" s="2" t="s">
        <v>22</v>
      </c>
      <c r="J178" s="2" t="s">
        <v>23</v>
      </c>
    </row>
    <row r="179" spans="1:10" x14ac:dyDescent="0.3">
      <c r="A179" s="2" t="s">
        <v>204</v>
      </c>
      <c r="B179" s="2" t="s">
        <v>35</v>
      </c>
      <c r="C179" s="2" t="s">
        <v>33</v>
      </c>
      <c r="D179" s="2">
        <v>1</v>
      </c>
      <c r="E179" s="2">
        <v>7418073673</v>
      </c>
      <c r="F179" s="2" t="s">
        <v>13</v>
      </c>
      <c r="G179" s="2" t="s">
        <v>20</v>
      </c>
      <c r="H179" s="2" t="s">
        <v>15</v>
      </c>
      <c r="I179" s="2" t="s">
        <v>37</v>
      </c>
      <c r="J179" s="2" t="s">
        <v>17</v>
      </c>
    </row>
    <row r="180" spans="1:10" x14ac:dyDescent="0.3">
      <c r="A180" s="2" t="s">
        <v>205</v>
      </c>
      <c r="B180" s="2" t="s">
        <v>11</v>
      </c>
      <c r="C180" s="2" t="s">
        <v>12</v>
      </c>
      <c r="D180" s="2">
        <v>3</v>
      </c>
      <c r="E180" s="2">
        <v>8334003743</v>
      </c>
      <c r="F180" s="2" t="s">
        <v>19</v>
      </c>
      <c r="G180" s="2" t="s">
        <v>20</v>
      </c>
      <c r="H180" s="2" t="s">
        <v>21</v>
      </c>
      <c r="I180" s="2" t="s">
        <v>22</v>
      </c>
      <c r="J180" s="2" t="s">
        <v>23</v>
      </c>
    </row>
    <row r="181" spans="1:10" x14ac:dyDescent="0.3">
      <c r="A181" s="2" t="s">
        <v>206</v>
      </c>
      <c r="B181" s="2" t="s">
        <v>25</v>
      </c>
      <c r="C181" s="2" t="s">
        <v>26</v>
      </c>
      <c r="D181" s="2">
        <v>5</v>
      </c>
      <c r="E181" s="2">
        <v>6549299163</v>
      </c>
      <c r="F181" s="2" t="s">
        <v>19</v>
      </c>
      <c r="G181" s="2" t="s">
        <v>20</v>
      </c>
      <c r="H181" s="2" t="s">
        <v>21</v>
      </c>
      <c r="I181" s="2" t="s">
        <v>16</v>
      </c>
      <c r="J181" s="2" t="s">
        <v>17</v>
      </c>
    </row>
    <row r="182" spans="1:10" x14ac:dyDescent="0.3">
      <c r="A182" s="2" t="s">
        <v>207</v>
      </c>
      <c r="B182" s="2" t="s">
        <v>25</v>
      </c>
      <c r="C182" s="2" t="s">
        <v>33</v>
      </c>
      <c r="D182" s="2">
        <v>5</v>
      </c>
      <c r="E182" s="2">
        <v>9020157913</v>
      </c>
      <c r="F182" s="2" t="s">
        <v>13</v>
      </c>
      <c r="G182" s="2" t="s">
        <v>20</v>
      </c>
      <c r="H182" s="2" t="s">
        <v>21</v>
      </c>
      <c r="I182" s="2" t="s">
        <v>41</v>
      </c>
      <c r="J182" s="2" t="s">
        <v>23</v>
      </c>
    </row>
    <row r="183" spans="1:10" x14ac:dyDescent="0.3">
      <c r="A183" s="2" t="s">
        <v>208</v>
      </c>
      <c r="B183" s="2" t="s">
        <v>11</v>
      </c>
      <c r="C183" s="2" t="s">
        <v>43</v>
      </c>
      <c r="D183" s="2">
        <v>3</v>
      </c>
      <c r="E183" s="2">
        <v>9761958156</v>
      </c>
      <c r="F183" s="2" t="s">
        <v>13</v>
      </c>
      <c r="G183" s="2" t="s">
        <v>14</v>
      </c>
      <c r="H183" s="2" t="s">
        <v>21</v>
      </c>
      <c r="I183" s="2" t="s">
        <v>22</v>
      </c>
      <c r="J183" s="2" t="s">
        <v>22</v>
      </c>
    </row>
    <row r="184" spans="1:10" x14ac:dyDescent="0.3">
      <c r="A184" s="2" t="s">
        <v>209</v>
      </c>
      <c r="B184" s="2" t="s">
        <v>25</v>
      </c>
      <c r="C184" s="2" t="s">
        <v>12</v>
      </c>
      <c r="D184" s="2">
        <v>5</v>
      </c>
      <c r="E184" s="2">
        <v>6350611883</v>
      </c>
      <c r="F184" s="2" t="s">
        <v>19</v>
      </c>
      <c r="G184" s="2" t="s">
        <v>20</v>
      </c>
      <c r="H184" s="2" t="s">
        <v>21</v>
      </c>
      <c r="I184" s="2" t="s">
        <v>37</v>
      </c>
      <c r="J184" s="2" t="s">
        <v>17</v>
      </c>
    </row>
    <row r="185" spans="1:10" x14ac:dyDescent="0.3">
      <c r="A185" s="2" t="s">
        <v>210</v>
      </c>
      <c r="B185" s="2" t="s">
        <v>25</v>
      </c>
      <c r="C185" s="2" t="s">
        <v>33</v>
      </c>
      <c r="D185" s="2">
        <v>5</v>
      </c>
      <c r="E185" s="2">
        <v>9644626288</v>
      </c>
      <c r="F185" s="2" t="s">
        <v>19</v>
      </c>
      <c r="G185" s="2" t="s">
        <v>14</v>
      </c>
      <c r="H185" s="2" t="s">
        <v>15</v>
      </c>
      <c r="I185" s="2" t="s">
        <v>22</v>
      </c>
      <c r="J185" s="2" t="s">
        <v>23</v>
      </c>
    </row>
    <row r="186" spans="1:10" x14ac:dyDescent="0.3">
      <c r="A186" s="2" t="s">
        <v>211</v>
      </c>
      <c r="B186" s="2" t="s">
        <v>32</v>
      </c>
      <c r="C186" s="2" t="s">
        <v>26</v>
      </c>
      <c r="D186" s="2">
        <v>7</v>
      </c>
      <c r="E186" s="2">
        <v>9648394647</v>
      </c>
      <c r="F186" s="2" t="s">
        <v>19</v>
      </c>
      <c r="G186" s="2" t="s">
        <v>20</v>
      </c>
      <c r="H186" s="2" t="s">
        <v>21</v>
      </c>
      <c r="I186" s="2" t="s">
        <v>22</v>
      </c>
      <c r="J186" s="2" t="s">
        <v>23</v>
      </c>
    </row>
    <row r="187" spans="1:10" x14ac:dyDescent="0.3">
      <c r="A187" s="2" t="s">
        <v>212</v>
      </c>
      <c r="B187" s="2" t="s">
        <v>32</v>
      </c>
      <c r="C187" s="2" t="s">
        <v>26</v>
      </c>
      <c r="D187" s="2">
        <v>7</v>
      </c>
      <c r="E187" s="2">
        <v>8823168499</v>
      </c>
      <c r="F187" s="2" t="s">
        <v>19</v>
      </c>
      <c r="G187" s="2" t="s">
        <v>20</v>
      </c>
      <c r="H187" s="2" t="s">
        <v>15</v>
      </c>
      <c r="I187" s="2" t="s">
        <v>22</v>
      </c>
      <c r="J187" s="2" t="s">
        <v>22</v>
      </c>
    </row>
    <row r="188" spans="1:10" x14ac:dyDescent="0.3">
      <c r="A188" s="2" t="s">
        <v>213</v>
      </c>
      <c r="B188" s="2" t="s">
        <v>32</v>
      </c>
      <c r="C188" s="2" t="s">
        <v>33</v>
      </c>
      <c r="D188" s="2">
        <v>7</v>
      </c>
      <c r="E188" s="2">
        <v>8258272626</v>
      </c>
      <c r="F188" s="2" t="s">
        <v>19</v>
      </c>
      <c r="G188" s="2" t="s">
        <v>20</v>
      </c>
      <c r="H188" s="2" t="s">
        <v>15</v>
      </c>
      <c r="I188" s="2" t="s">
        <v>22</v>
      </c>
      <c r="J188" s="2" t="s">
        <v>17</v>
      </c>
    </row>
    <row r="189" spans="1:10" x14ac:dyDescent="0.3">
      <c r="A189" s="2" t="s">
        <v>214</v>
      </c>
      <c r="B189" s="2" t="s">
        <v>25</v>
      </c>
      <c r="C189" s="2" t="s">
        <v>33</v>
      </c>
      <c r="D189" s="2">
        <v>5</v>
      </c>
      <c r="E189" s="2">
        <v>6705599047</v>
      </c>
      <c r="F189" s="2" t="s">
        <v>13</v>
      </c>
      <c r="G189" s="2" t="s">
        <v>20</v>
      </c>
      <c r="H189" s="2" t="s">
        <v>21</v>
      </c>
      <c r="I189" s="2" t="s">
        <v>22</v>
      </c>
      <c r="J189" s="2" t="s">
        <v>23</v>
      </c>
    </row>
    <row r="190" spans="1:10" x14ac:dyDescent="0.3">
      <c r="A190" s="2" t="s">
        <v>215</v>
      </c>
      <c r="B190" s="2" t="s">
        <v>11</v>
      </c>
      <c r="C190" s="2" t="s">
        <v>33</v>
      </c>
      <c r="D190" s="2">
        <v>3</v>
      </c>
      <c r="E190" s="2">
        <v>9897094064</v>
      </c>
      <c r="F190" s="2" t="s">
        <v>13</v>
      </c>
      <c r="G190" s="2" t="s">
        <v>14</v>
      </c>
      <c r="H190" s="2" t="s">
        <v>21</v>
      </c>
      <c r="I190" s="2" t="s">
        <v>29</v>
      </c>
      <c r="J190" s="2" t="s">
        <v>17</v>
      </c>
    </row>
    <row r="191" spans="1:10" x14ac:dyDescent="0.3">
      <c r="A191" s="2" t="s">
        <v>216</v>
      </c>
      <c r="B191" s="2" t="s">
        <v>25</v>
      </c>
      <c r="C191" s="2" t="s">
        <v>12</v>
      </c>
      <c r="D191" s="2">
        <v>5</v>
      </c>
      <c r="E191" s="2">
        <v>6525704052</v>
      </c>
      <c r="F191" s="2" t="s">
        <v>13</v>
      </c>
      <c r="G191" s="2" t="s">
        <v>20</v>
      </c>
      <c r="H191" s="2" t="s">
        <v>21</v>
      </c>
      <c r="I191" s="2" t="s">
        <v>22</v>
      </c>
      <c r="J191" s="2" t="s">
        <v>23</v>
      </c>
    </row>
    <row r="192" spans="1:10" x14ac:dyDescent="0.3">
      <c r="A192" s="2" t="s">
        <v>217</v>
      </c>
      <c r="B192" s="2" t="s">
        <v>25</v>
      </c>
      <c r="C192" s="2" t="s">
        <v>36</v>
      </c>
      <c r="D192" s="2">
        <v>5</v>
      </c>
      <c r="E192" s="2">
        <v>7825327920</v>
      </c>
      <c r="F192" s="2" t="s">
        <v>13</v>
      </c>
      <c r="G192" s="2" t="s">
        <v>20</v>
      </c>
      <c r="H192" s="2" t="s">
        <v>21</v>
      </c>
      <c r="I192" s="2" t="s">
        <v>22</v>
      </c>
      <c r="J192" s="2" t="s">
        <v>22</v>
      </c>
    </row>
    <row r="193" spans="1:10" x14ac:dyDescent="0.3">
      <c r="A193" s="2" t="s">
        <v>218</v>
      </c>
      <c r="B193" s="2" t="s">
        <v>11</v>
      </c>
      <c r="C193" s="2" t="s">
        <v>43</v>
      </c>
      <c r="D193" s="2">
        <v>3</v>
      </c>
      <c r="E193" s="2">
        <v>6041928240</v>
      </c>
      <c r="F193" s="2" t="s">
        <v>19</v>
      </c>
      <c r="G193" s="2" t="s">
        <v>20</v>
      </c>
      <c r="H193" s="2" t="s">
        <v>21</v>
      </c>
      <c r="I193" s="2" t="s">
        <v>22</v>
      </c>
      <c r="J193" s="2" t="s">
        <v>23</v>
      </c>
    </row>
    <row r="194" spans="1:10" x14ac:dyDescent="0.3">
      <c r="A194" s="2" t="s">
        <v>219</v>
      </c>
      <c r="B194" s="2" t="s">
        <v>11</v>
      </c>
      <c r="C194" s="2" t="s">
        <v>33</v>
      </c>
      <c r="D194" s="2">
        <v>3</v>
      </c>
      <c r="E194" s="2">
        <v>9957523367</v>
      </c>
      <c r="F194" s="2" t="s">
        <v>13</v>
      </c>
      <c r="G194" s="2" t="s">
        <v>20</v>
      </c>
      <c r="H194" s="2" t="s">
        <v>21</v>
      </c>
      <c r="I194" s="2" t="s">
        <v>22</v>
      </c>
      <c r="J194" s="2" t="s">
        <v>17</v>
      </c>
    </row>
    <row r="195" spans="1:10" x14ac:dyDescent="0.3">
      <c r="A195" s="2" t="s">
        <v>220</v>
      </c>
      <c r="B195" s="2" t="s">
        <v>25</v>
      </c>
      <c r="C195" s="2" t="s">
        <v>12</v>
      </c>
      <c r="D195" s="2">
        <v>5</v>
      </c>
      <c r="E195" s="2">
        <v>7438690398</v>
      </c>
      <c r="F195" s="2" t="s">
        <v>13</v>
      </c>
      <c r="G195" s="2" t="s">
        <v>20</v>
      </c>
      <c r="H195" s="2" t="s">
        <v>15</v>
      </c>
      <c r="I195" s="2" t="s">
        <v>22</v>
      </c>
      <c r="J195" s="2" t="s">
        <v>17</v>
      </c>
    </row>
    <row r="196" spans="1:10" x14ac:dyDescent="0.3">
      <c r="A196" s="2" t="s">
        <v>221</v>
      </c>
      <c r="B196" s="2" t="s">
        <v>32</v>
      </c>
      <c r="C196" s="2" t="s">
        <v>43</v>
      </c>
      <c r="D196" s="2">
        <v>7</v>
      </c>
      <c r="E196" s="2">
        <v>6167025734</v>
      </c>
      <c r="F196" s="2" t="s">
        <v>19</v>
      </c>
      <c r="G196" s="2" t="s">
        <v>20</v>
      </c>
      <c r="H196" s="2" t="s">
        <v>21</v>
      </c>
      <c r="I196" s="2" t="s">
        <v>29</v>
      </c>
      <c r="J196" s="2" t="s">
        <v>22</v>
      </c>
    </row>
    <row r="197" spans="1:10" x14ac:dyDescent="0.3">
      <c r="A197" s="2" t="s">
        <v>222</v>
      </c>
      <c r="B197" s="2" t="s">
        <v>11</v>
      </c>
      <c r="C197" s="2" t="s">
        <v>43</v>
      </c>
      <c r="D197" s="2">
        <v>3</v>
      </c>
      <c r="E197" s="2">
        <v>6262727617</v>
      </c>
      <c r="F197" s="2" t="s">
        <v>19</v>
      </c>
      <c r="G197" s="2" t="s">
        <v>20</v>
      </c>
      <c r="H197" s="2" t="s">
        <v>21</v>
      </c>
      <c r="I197" s="2" t="s">
        <v>22</v>
      </c>
      <c r="J197" s="2" t="s">
        <v>23</v>
      </c>
    </row>
    <row r="198" spans="1:10" x14ac:dyDescent="0.3">
      <c r="A198" s="2" t="s">
        <v>223</v>
      </c>
      <c r="B198" s="2" t="s">
        <v>25</v>
      </c>
      <c r="C198" s="2" t="s">
        <v>43</v>
      </c>
      <c r="D198" s="2">
        <v>5</v>
      </c>
      <c r="E198" s="2">
        <v>7220972702</v>
      </c>
      <c r="F198" s="2" t="s">
        <v>13</v>
      </c>
      <c r="G198" s="2" t="s">
        <v>20</v>
      </c>
      <c r="H198" s="2" t="s">
        <v>21</v>
      </c>
      <c r="I198" s="2" t="s">
        <v>16</v>
      </c>
      <c r="J198" s="2" t="s">
        <v>22</v>
      </c>
    </row>
    <row r="199" spans="1:10" x14ac:dyDescent="0.3">
      <c r="A199" s="2" t="s">
        <v>224</v>
      </c>
      <c r="B199" s="2" t="s">
        <v>11</v>
      </c>
      <c r="C199" s="2" t="s">
        <v>26</v>
      </c>
      <c r="D199" s="2">
        <v>3</v>
      </c>
      <c r="E199" s="2">
        <v>8429504300</v>
      </c>
      <c r="F199" s="2" t="s">
        <v>19</v>
      </c>
      <c r="G199" s="2" t="s">
        <v>20</v>
      </c>
      <c r="H199" s="2" t="s">
        <v>21</v>
      </c>
      <c r="I199" s="2" t="s">
        <v>37</v>
      </c>
      <c r="J199" s="2" t="s">
        <v>17</v>
      </c>
    </row>
    <row r="200" spans="1:10" x14ac:dyDescent="0.3">
      <c r="A200" s="2" t="s">
        <v>225</v>
      </c>
      <c r="B200" s="2" t="s">
        <v>32</v>
      </c>
      <c r="C200" s="2" t="s">
        <v>26</v>
      </c>
      <c r="D200" s="2">
        <v>7</v>
      </c>
      <c r="E200" s="2">
        <v>7295585678</v>
      </c>
      <c r="F200" s="2" t="s">
        <v>19</v>
      </c>
      <c r="G200" s="2" t="s">
        <v>14</v>
      </c>
      <c r="H200" s="2" t="s">
        <v>15</v>
      </c>
      <c r="I200" s="2" t="s">
        <v>27</v>
      </c>
      <c r="J200" s="2" t="s">
        <v>17</v>
      </c>
    </row>
    <row r="201" spans="1:10" x14ac:dyDescent="0.3">
      <c r="A201" s="2" t="s">
        <v>226</v>
      </c>
      <c r="B201" s="2" t="s">
        <v>35</v>
      </c>
      <c r="C201" s="2" t="s">
        <v>26</v>
      </c>
      <c r="D201" s="2">
        <v>1</v>
      </c>
      <c r="E201" s="2">
        <v>8083959508</v>
      </c>
      <c r="F201" s="2" t="s">
        <v>19</v>
      </c>
      <c r="G201" s="2" t="s">
        <v>20</v>
      </c>
      <c r="H201" s="2" t="s">
        <v>15</v>
      </c>
      <c r="I201" s="2" t="s">
        <v>22</v>
      </c>
      <c r="J201" s="2" t="s">
        <v>22</v>
      </c>
    </row>
    <row r="202" spans="1:10" x14ac:dyDescent="0.3">
      <c r="A202" s="2" t="s">
        <v>227</v>
      </c>
      <c r="B202" s="2" t="s">
        <v>32</v>
      </c>
      <c r="C202" s="2" t="s">
        <v>36</v>
      </c>
      <c r="D202" s="2">
        <v>7</v>
      </c>
      <c r="E202" s="2">
        <v>8407487849</v>
      </c>
      <c r="F202" s="2" t="s">
        <v>19</v>
      </c>
      <c r="G202" s="2" t="s">
        <v>14</v>
      </c>
      <c r="H202" s="2" t="s">
        <v>15</v>
      </c>
      <c r="I202" s="2" t="s">
        <v>22</v>
      </c>
      <c r="J202" s="2" t="s">
        <v>23</v>
      </c>
    </row>
    <row r="203" spans="1:10" x14ac:dyDescent="0.3">
      <c r="A203" s="2" t="s">
        <v>228</v>
      </c>
      <c r="B203" s="2" t="s">
        <v>32</v>
      </c>
      <c r="C203" s="2" t="s">
        <v>43</v>
      </c>
      <c r="D203" s="2">
        <v>7</v>
      </c>
      <c r="E203" s="2">
        <v>8386575048</v>
      </c>
      <c r="F203" s="2" t="s">
        <v>19</v>
      </c>
      <c r="G203" s="2" t="s">
        <v>20</v>
      </c>
      <c r="H203" s="2" t="s">
        <v>21</v>
      </c>
      <c r="I203" s="2" t="s">
        <v>37</v>
      </c>
      <c r="J203" s="2" t="s">
        <v>23</v>
      </c>
    </row>
    <row r="204" spans="1:10" x14ac:dyDescent="0.3">
      <c r="A204" s="2" t="s">
        <v>229</v>
      </c>
      <c r="B204" s="2" t="s">
        <v>11</v>
      </c>
      <c r="C204" s="2" t="s">
        <v>12</v>
      </c>
      <c r="D204" s="2">
        <v>3</v>
      </c>
      <c r="E204" s="2">
        <v>7959427548</v>
      </c>
      <c r="F204" s="2" t="s">
        <v>19</v>
      </c>
      <c r="G204" s="2" t="s">
        <v>20</v>
      </c>
      <c r="H204" s="2" t="s">
        <v>21</v>
      </c>
      <c r="I204" s="2" t="s">
        <v>27</v>
      </c>
      <c r="J204" s="2" t="s">
        <v>17</v>
      </c>
    </row>
    <row r="205" spans="1:10" x14ac:dyDescent="0.3">
      <c r="A205" s="2" t="s">
        <v>230</v>
      </c>
      <c r="B205" s="2" t="s">
        <v>32</v>
      </c>
      <c r="C205" s="2" t="s">
        <v>43</v>
      </c>
      <c r="D205" s="2">
        <v>7</v>
      </c>
      <c r="E205" s="2">
        <v>9650489619</v>
      </c>
      <c r="F205" s="2" t="s">
        <v>13</v>
      </c>
      <c r="G205" s="2" t="s">
        <v>20</v>
      </c>
      <c r="H205" s="2" t="s">
        <v>21</v>
      </c>
      <c r="I205" s="2" t="s">
        <v>37</v>
      </c>
      <c r="J205" s="2" t="s">
        <v>23</v>
      </c>
    </row>
    <row r="206" spans="1:10" x14ac:dyDescent="0.3">
      <c r="A206" s="2" t="s">
        <v>231</v>
      </c>
      <c r="B206" s="2" t="s">
        <v>35</v>
      </c>
      <c r="C206" s="2" t="s">
        <v>26</v>
      </c>
      <c r="D206" s="2">
        <v>1</v>
      </c>
      <c r="E206" s="2">
        <v>7266693099</v>
      </c>
      <c r="F206" s="2" t="s">
        <v>13</v>
      </c>
      <c r="G206" s="2" t="s">
        <v>14</v>
      </c>
      <c r="H206" s="2" t="s">
        <v>15</v>
      </c>
      <c r="I206" s="2" t="s">
        <v>16</v>
      </c>
      <c r="J206" s="2" t="s">
        <v>17</v>
      </c>
    </row>
    <row r="207" spans="1:10" x14ac:dyDescent="0.3">
      <c r="A207" s="2" t="s">
        <v>232</v>
      </c>
      <c r="B207" s="2" t="s">
        <v>32</v>
      </c>
      <c r="C207" s="2" t="s">
        <v>36</v>
      </c>
      <c r="D207" s="2">
        <v>7</v>
      </c>
      <c r="E207" s="2">
        <v>6967100195</v>
      </c>
      <c r="F207" s="2" t="s">
        <v>19</v>
      </c>
      <c r="G207" s="2" t="s">
        <v>20</v>
      </c>
      <c r="H207" s="2" t="s">
        <v>21</v>
      </c>
      <c r="I207" s="2" t="s">
        <v>22</v>
      </c>
      <c r="J207" s="2" t="s">
        <v>22</v>
      </c>
    </row>
    <row r="208" spans="1:10" x14ac:dyDescent="0.3">
      <c r="A208" s="2" t="s">
        <v>233</v>
      </c>
      <c r="B208" s="2" t="s">
        <v>35</v>
      </c>
      <c r="C208" s="2" t="s">
        <v>43</v>
      </c>
      <c r="D208" s="2">
        <v>1</v>
      </c>
      <c r="E208" s="2">
        <v>8363850369</v>
      </c>
      <c r="F208" s="2" t="s">
        <v>13</v>
      </c>
      <c r="G208" s="2" t="s">
        <v>20</v>
      </c>
      <c r="H208" s="2" t="s">
        <v>21</v>
      </c>
      <c r="I208" s="2" t="s">
        <v>37</v>
      </c>
      <c r="J208" s="2" t="s">
        <v>17</v>
      </c>
    </row>
    <row r="209" spans="1:10" x14ac:dyDescent="0.3">
      <c r="A209" s="2" t="s">
        <v>234</v>
      </c>
      <c r="B209" s="2" t="s">
        <v>11</v>
      </c>
      <c r="C209" s="2" t="s">
        <v>33</v>
      </c>
      <c r="D209" s="2">
        <v>3</v>
      </c>
      <c r="E209" s="2">
        <v>6866298228</v>
      </c>
      <c r="F209" s="2" t="s">
        <v>13</v>
      </c>
      <c r="G209" s="2" t="s">
        <v>20</v>
      </c>
      <c r="H209" s="2" t="s">
        <v>15</v>
      </c>
      <c r="I209" s="2" t="s">
        <v>41</v>
      </c>
      <c r="J209" s="2" t="s">
        <v>22</v>
      </c>
    </row>
    <row r="210" spans="1:10" x14ac:dyDescent="0.3">
      <c r="A210" s="2" t="s">
        <v>235</v>
      </c>
      <c r="B210" s="2" t="s">
        <v>32</v>
      </c>
      <c r="C210" s="2" t="s">
        <v>33</v>
      </c>
      <c r="D210" s="2">
        <v>7</v>
      </c>
      <c r="E210" s="2">
        <v>6267426911</v>
      </c>
      <c r="F210" s="2" t="s">
        <v>13</v>
      </c>
      <c r="G210" s="2" t="s">
        <v>20</v>
      </c>
      <c r="H210" s="2" t="s">
        <v>15</v>
      </c>
      <c r="I210" s="2" t="s">
        <v>41</v>
      </c>
      <c r="J210" s="2" t="s">
        <v>22</v>
      </c>
    </row>
    <row r="211" spans="1:10" x14ac:dyDescent="0.3">
      <c r="A211" s="2" t="s">
        <v>236</v>
      </c>
      <c r="B211" s="2" t="s">
        <v>11</v>
      </c>
      <c r="C211" s="2" t="s">
        <v>33</v>
      </c>
      <c r="D211" s="2">
        <v>3</v>
      </c>
      <c r="E211" s="2">
        <v>7222501355</v>
      </c>
      <c r="F211" s="2" t="s">
        <v>19</v>
      </c>
      <c r="G211" s="2" t="s">
        <v>14</v>
      </c>
      <c r="H211" s="2" t="s">
        <v>21</v>
      </c>
      <c r="I211" s="2" t="s">
        <v>27</v>
      </c>
      <c r="J211" s="2" t="s">
        <v>22</v>
      </c>
    </row>
    <row r="212" spans="1:10" x14ac:dyDescent="0.3">
      <c r="A212" s="2" t="s">
        <v>237</v>
      </c>
      <c r="B212" s="2" t="s">
        <v>25</v>
      </c>
      <c r="C212" s="2" t="s">
        <v>43</v>
      </c>
      <c r="D212" s="2">
        <v>5</v>
      </c>
      <c r="E212" s="2">
        <v>9611732855</v>
      </c>
      <c r="F212" s="2" t="s">
        <v>19</v>
      </c>
      <c r="G212" s="2" t="s">
        <v>14</v>
      </c>
      <c r="H212" s="2" t="s">
        <v>15</v>
      </c>
      <c r="I212" s="2" t="s">
        <v>37</v>
      </c>
      <c r="J212" s="2" t="s">
        <v>23</v>
      </c>
    </row>
    <row r="213" spans="1:10" x14ac:dyDescent="0.3">
      <c r="A213" s="2" t="s">
        <v>238</v>
      </c>
      <c r="B213" s="2" t="s">
        <v>25</v>
      </c>
      <c r="C213" s="2" t="s">
        <v>43</v>
      </c>
      <c r="D213" s="2">
        <v>5</v>
      </c>
      <c r="E213" s="2">
        <v>9725796636</v>
      </c>
      <c r="F213" s="2" t="s">
        <v>19</v>
      </c>
      <c r="G213" s="2" t="s">
        <v>14</v>
      </c>
      <c r="H213" s="2" t="s">
        <v>21</v>
      </c>
      <c r="I213" s="2" t="s">
        <v>16</v>
      </c>
      <c r="J213" s="2" t="s">
        <v>23</v>
      </c>
    </row>
    <row r="214" spans="1:10" x14ac:dyDescent="0.3">
      <c r="A214" s="2" t="s">
        <v>239</v>
      </c>
      <c r="B214" s="2" t="s">
        <v>32</v>
      </c>
      <c r="C214" s="2" t="s">
        <v>26</v>
      </c>
      <c r="D214" s="2">
        <v>7</v>
      </c>
      <c r="E214" s="2">
        <v>9502345108</v>
      </c>
      <c r="F214" s="2" t="s">
        <v>19</v>
      </c>
      <c r="G214" s="2" t="s">
        <v>14</v>
      </c>
      <c r="H214" s="2" t="s">
        <v>21</v>
      </c>
      <c r="I214" s="2" t="s">
        <v>27</v>
      </c>
      <c r="J214" s="2" t="s">
        <v>17</v>
      </c>
    </row>
    <row r="215" spans="1:10" x14ac:dyDescent="0.3">
      <c r="A215" s="2" t="s">
        <v>240</v>
      </c>
      <c r="B215" s="2" t="s">
        <v>32</v>
      </c>
      <c r="C215" s="2" t="s">
        <v>43</v>
      </c>
      <c r="D215" s="2">
        <v>7</v>
      </c>
      <c r="E215" s="2">
        <v>6626290114</v>
      </c>
      <c r="F215" s="2" t="s">
        <v>13</v>
      </c>
      <c r="G215" s="2" t="s">
        <v>14</v>
      </c>
      <c r="H215" s="2" t="s">
        <v>15</v>
      </c>
      <c r="I215" s="2" t="s">
        <v>27</v>
      </c>
      <c r="J215" s="2" t="s">
        <v>23</v>
      </c>
    </row>
    <row r="216" spans="1:10" x14ac:dyDescent="0.3">
      <c r="A216" s="2" t="s">
        <v>241</v>
      </c>
      <c r="B216" s="2" t="s">
        <v>11</v>
      </c>
      <c r="C216" s="2" t="s">
        <v>26</v>
      </c>
      <c r="D216" s="2">
        <v>3</v>
      </c>
      <c r="E216" s="2">
        <v>8514209100</v>
      </c>
      <c r="F216" s="2" t="s">
        <v>19</v>
      </c>
      <c r="G216" s="2" t="s">
        <v>20</v>
      </c>
      <c r="H216" s="2" t="s">
        <v>21</v>
      </c>
      <c r="I216" s="2" t="s">
        <v>22</v>
      </c>
      <c r="J216" s="2" t="s">
        <v>22</v>
      </c>
    </row>
    <row r="217" spans="1:10" x14ac:dyDescent="0.3">
      <c r="A217" s="2" t="s">
        <v>242</v>
      </c>
      <c r="B217" s="2" t="s">
        <v>35</v>
      </c>
      <c r="C217" s="2" t="s">
        <v>36</v>
      </c>
      <c r="D217" s="2">
        <v>1</v>
      </c>
      <c r="E217" s="2">
        <v>7997041169</v>
      </c>
      <c r="F217" s="2" t="s">
        <v>13</v>
      </c>
      <c r="G217" s="2" t="s">
        <v>14</v>
      </c>
      <c r="H217" s="2" t="s">
        <v>15</v>
      </c>
      <c r="I217" s="2" t="s">
        <v>16</v>
      </c>
      <c r="J217" s="2" t="s">
        <v>23</v>
      </c>
    </row>
    <row r="218" spans="1:10" x14ac:dyDescent="0.3">
      <c r="A218" s="2" t="s">
        <v>243</v>
      </c>
      <c r="B218" s="2" t="s">
        <v>35</v>
      </c>
      <c r="C218" s="2" t="s">
        <v>26</v>
      </c>
      <c r="D218" s="2">
        <v>1</v>
      </c>
      <c r="E218" s="2">
        <v>8892986939</v>
      </c>
      <c r="F218" s="2" t="s">
        <v>19</v>
      </c>
      <c r="G218" s="2" t="s">
        <v>14</v>
      </c>
      <c r="H218" s="2" t="s">
        <v>21</v>
      </c>
      <c r="I218" s="2" t="s">
        <v>16</v>
      </c>
      <c r="J218" s="2" t="s">
        <v>17</v>
      </c>
    </row>
    <row r="219" spans="1:10" x14ac:dyDescent="0.3">
      <c r="A219" s="2" t="s">
        <v>244</v>
      </c>
      <c r="B219" s="2" t="s">
        <v>32</v>
      </c>
      <c r="C219" s="2" t="s">
        <v>33</v>
      </c>
      <c r="D219" s="2">
        <v>7</v>
      </c>
      <c r="E219" s="2">
        <v>7811731818</v>
      </c>
      <c r="F219" s="2" t="s">
        <v>19</v>
      </c>
      <c r="G219" s="2" t="s">
        <v>20</v>
      </c>
      <c r="H219" s="2" t="s">
        <v>15</v>
      </c>
      <c r="I219" s="2" t="s">
        <v>29</v>
      </c>
      <c r="J219" s="2" t="s">
        <v>22</v>
      </c>
    </row>
    <row r="220" spans="1:10" x14ac:dyDescent="0.3">
      <c r="A220" s="2" t="s">
        <v>245</v>
      </c>
      <c r="B220" s="2" t="s">
        <v>32</v>
      </c>
      <c r="C220" s="2" t="s">
        <v>36</v>
      </c>
      <c r="D220" s="2">
        <v>7</v>
      </c>
      <c r="E220" s="2">
        <v>6442387570</v>
      </c>
      <c r="F220" s="2" t="s">
        <v>19</v>
      </c>
      <c r="G220" s="2" t="s">
        <v>20</v>
      </c>
      <c r="H220" s="2" t="s">
        <v>15</v>
      </c>
      <c r="I220" s="2" t="s">
        <v>22</v>
      </c>
      <c r="J220" s="2" t="s">
        <v>17</v>
      </c>
    </row>
    <row r="221" spans="1:10" x14ac:dyDescent="0.3">
      <c r="A221" s="2" t="s">
        <v>246</v>
      </c>
      <c r="B221" s="2" t="s">
        <v>32</v>
      </c>
      <c r="C221" s="2" t="s">
        <v>33</v>
      </c>
      <c r="D221" s="2">
        <v>7</v>
      </c>
      <c r="E221" s="2">
        <v>7503032656</v>
      </c>
      <c r="F221" s="2" t="s">
        <v>19</v>
      </c>
      <c r="G221" s="2" t="s">
        <v>14</v>
      </c>
      <c r="H221" s="2" t="s">
        <v>15</v>
      </c>
      <c r="I221" s="2" t="s">
        <v>27</v>
      </c>
      <c r="J221" s="2" t="s">
        <v>23</v>
      </c>
    </row>
    <row r="222" spans="1:10" x14ac:dyDescent="0.3">
      <c r="A222" s="2" t="s">
        <v>247</v>
      </c>
      <c r="B222" s="2" t="s">
        <v>11</v>
      </c>
      <c r="C222" s="2" t="s">
        <v>26</v>
      </c>
      <c r="D222" s="2">
        <v>3</v>
      </c>
      <c r="E222" s="2">
        <v>8696706768</v>
      </c>
      <c r="F222" s="2" t="s">
        <v>13</v>
      </c>
      <c r="G222" s="2" t="s">
        <v>14</v>
      </c>
      <c r="H222" s="2" t="s">
        <v>21</v>
      </c>
      <c r="I222" s="2" t="s">
        <v>27</v>
      </c>
      <c r="J222" s="2" t="s">
        <v>22</v>
      </c>
    </row>
    <row r="223" spans="1:10" x14ac:dyDescent="0.3">
      <c r="A223" s="2" t="s">
        <v>248</v>
      </c>
      <c r="B223" s="2" t="s">
        <v>32</v>
      </c>
      <c r="C223" s="2" t="s">
        <v>33</v>
      </c>
      <c r="D223" s="2">
        <v>7</v>
      </c>
      <c r="E223" s="2">
        <v>6760935768</v>
      </c>
      <c r="F223" s="2" t="s">
        <v>19</v>
      </c>
      <c r="G223" s="2" t="s">
        <v>14</v>
      </c>
      <c r="H223" s="2" t="s">
        <v>15</v>
      </c>
      <c r="I223" s="2" t="s">
        <v>22</v>
      </c>
      <c r="J223" s="2" t="s">
        <v>22</v>
      </c>
    </row>
    <row r="224" spans="1:10" x14ac:dyDescent="0.3">
      <c r="A224" s="2" t="s">
        <v>249</v>
      </c>
      <c r="B224" s="2" t="s">
        <v>35</v>
      </c>
      <c r="C224" s="2" t="s">
        <v>33</v>
      </c>
      <c r="D224" s="2">
        <v>1</v>
      </c>
      <c r="E224" s="2">
        <v>9543400801</v>
      </c>
      <c r="F224" s="2" t="s">
        <v>13</v>
      </c>
      <c r="G224" s="2" t="s">
        <v>14</v>
      </c>
      <c r="H224" s="2" t="s">
        <v>15</v>
      </c>
      <c r="I224" s="2" t="s">
        <v>16</v>
      </c>
      <c r="J224" s="2" t="s">
        <v>17</v>
      </c>
    </row>
    <row r="225" spans="1:10" x14ac:dyDescent="0.3">
      <c r="A225" s="2" t="s">
        <v>250</v>
      </c>
      <c r="B225" s="2" t="s">
        <v>32</v>
      </c>
      <c r="C225" s="2" t="s">
        <v>43</v>
      </c>
      <c r="D225" s="2">
        <v>7</v>
      </c>
      <c r="E225" s="2">
        <v>8008795602</v>
      </c>
      <c r="F225" s="2" t="s">
        <v>19</v>
      </c>
      <c r="G225" s="2" t="s">
        <v>14</v>
      </c>
      <c r="H225" s="2" t="s">
        <v>15</v>
      </c>
      <c r="I225" s="2" t="s">
        <v>22</v>
      </c>
      <c r="J225" s="2" t="s">
        <v>17</v>
      </c>
    </row>
    <row r="226" spans="1:10" x14ac:dyDescent="0.3">
      <c r="A226" s="2" t="s">
        <v>251</v>
      </c>
      <c r="B226" s="2" t="s">
        <v>32</v>
      </c>
      <c r="C226" s="2" t="s">
        <v>33</v>
      </c>
      <c r="D226" s="2">
        <v>7</v>
      </c>
      <c r="E226" s="2">
        <v>7354403246</v>
      </c>
      <c r="F226" s="2" t="s">
        <v>19</v>
      </c>
      <c r="G226" s="2" t="s">
        <v>20</v>
      </c>
      <c r="H226" s="2" t="s">
        <v>15</v>
      </c>
      <c r="I226" s="2" t="s">
        <v>22</v>
      </c>
      <c r="J226" s="2" t="s">
        <v>17</v>
      </c>
    </row>
    <row r="227" spans="1:10" x14ac:dyDescent="0.3">
      <c r="A227" s="2" t="s">
        <v>252</v>
      </c>
      <c r="B227" s="2" t="s">
        <v>32</v>
      </c>
      <c r="C227" s="2" t="s">
        <v>12</v>
      </c>
      <c r="D227" s="2">
        <v>7</v>
      </c>
      <c r="E227" s="2">
        <v>6774563101</v>
      </c>
      <c r="F227" s="2" t="s">
        <v>13</v>
      </c>
      <c r="G227" s="2" t="s">
        <v>20</v>
      </c>
      <c r="H227" s="2" t="s">
        <v>15</v>
      </c>
      <c r="I227" s="2" t="s">
        <v>22</v>
      </c>
      <c r="J227" s="2" t="s">
        <v>23</v>
      </c>
    </row>
    <row r="228" spans="1:10" x14ac:dyDescent="0.3">
      <c r="A228" s="2" t="s">
        <v>253</v>
      </c>
      <c r="B228" s="2" t="s">
        <v>32</v>
      </c>
      <c r="C228" s="2" t="s">
        <v>43</v>
      </c>
      <c r="D228" s="2">
        <v>7</v>
      </c>
      <c r="E228" s="2">
        <v>6942766830</v>
      </c>
      <c r="F228" s="2" t="s">
        <v>13</v>
      </c>
      <c r="G228" s="2" t="s">
        <v>14</v>
      </c>
      <c r="H228" s="2" t="s">
        <v>21</v>
      </c>
      <c r="I228" s="2" t="s">
        <v>37</v>
      </c>
      <c r="J228" s="2" t="s">
        <v>22</v>
      </c>
    </row>
    <row r="229" spans="1:10" x14ac:dyDescent="0.3">
      <c r="A229" s="2" t="s">
        <v>254</v>
      </c>
      <c r="B229" s="2" t="s">
        <v>11</v>
      </c>
      <c r="C229" s="2" t="s">
        <v>33</v>
      </c>
      <c r="D229" s="2">
        <v>3</v>
      </c>
      <c r="E229" s="2">
        <v>6119945810</v>
      </c>
      <c r="F229" s="2" t="s">
        <v>19</v>
      </c>
      <c r="G229" s="2" t="s">
        <v>14</v>
      </c>
      <c r="H229" s="2" t="s">
        <v>21</v>
      </c>
      <c r="I229" s="2" t="s">
        <v>22</v>
      </c>
      <c r="J229" s="2" t="s">
        <v>23</v>
      </c>
    </row>
    <row r="230" spans="1:10" x14ac:dyDescent="0.3">
      <c r="A230" s="2" t="s">
        <v>255</v>
      </c>
      <c r="B230" s="2" t="s">
        <v>25</v>
      </c>
      <c r="C230" s="2" t="s">
        <v>12</v>
      </c>
      <c r="D230" s="2">
        <v>5</v>
      </c>
      <c r="E230" s="2">
        <v>6063974507</v>
      </c>
      <c r="F230" s="2" t="s">
        <v>19</v>
      </c>
      <c r="G230" s="2" t="s">
        <v>14</v>
      </c>
      <c r="H230" s="2" t="s">
        <v>15</v>
      </c>
      <c r="I230" s="2" t="s">
        <v>37</v>
      </c>
      <c r="J230" s="2" t="s">
        <v>22</v>
      </c>
    </row>
    <row r="231" spans="1:10" x14ac:dyDescent="0.3">
      <c r="A231" s="2" t="s">
        <v>256</v>
      </c>
      <c r="B231" s="2" t="s">
        <v>35</v>
      </c>
      <c r="C231" s="2" t="s">
        <v>43</v>
      </c>
      <c r="D231" s="2">
        <v>1</v>
      </c>
      <c r="E231" s="2">
        <v>8182528183</v>
      </c>
      <c r="F231" s="2" t="s">
        <v>13</v>
      </c>
      <c r="G231" s="2" t="s">
        <v>14</v>
      </c>
      <c r="H231" s="2" t="s">
        <v>21</v>
      </c>
      <c r="I231" s="2" t="s">
        <v>22</v>
      </c>
      <c r="J231" s="2" t="s">
        <v>23</v>
      </c>
    </row>
    <row r="232" spans="1:10" x14ac:dyDescent="0.3">
      <c r="A232" s="2" t="s">
        <v>257</v>
      </c>
      <c r="B232" s="2" t="s">
        <v>35</v>
      </c>
      <c r="C232" s="2" t="s">
        <v>26</v>
      </c>
      <c r="D232" s="2">
        <v>1</v>
      </c>
      <c r="E232" s="2">
        <v>9082299989</v>
      </c>
      <c r="F232" s="2" t="s">
        <v>13</v>
      </c>
      <c r="G232" s="2" t="s">
        <v>14</v>
      </c>
      <c r="H232" s="2" t="s">
        <v>15</v>
      </c>
      <c r="I232" s="2" t="s">
        <v>22</v>
      </c>
      <c r="J232" s="2" t="s">
        <v>22</v>
      </c>
    </row>
    <row r="233" spans="1:10" x14ac:dyDescent="0.3">
      <c r="A233" s="2" t="s">
        <v>258</v>
      </c>
      <c r="B233" s="2" t="s">
        <v>25</v>
      </c>
      <c r="C233" s="2" t="s">
        <v>12</v>
      </c>
      <c r="D233" s="2">
        <v>5</v>
      </c>
      <c r="E233" s="2">
        <v>7256217471</v>
      </c>
      <c r="F233" s="2" t="s">
        <v>13</v>
      </c>
      <c r="G233" s="2" t="s">
        <v>14</v>
      </c>
      <c r="H233" s="2" t="s">
        <v>21</v>
      </c>
      <c r="I233" s="2" t="s">
        <v>22</v>
      </c>
      <c r="J233" s="2" t="s">
        <v>23</v>
      </c>
    </row>
    <row r="234" spans="1:10" x14ac:dyDescent="0.3">
      <c r="A234" s="2" t="s">
        <v>259</v>
      </c>
      <c r="B234" s="2" t="s">
        <v>11</v>
      </c>
      <c r="C234" s="2" t="s">
        <v>12</v>
      </c>
      <c r="D234" s="2">
        <v>3</v>
      </c>
      <c r="E234" s="2">
        <v>7112911090</v>
      </c>
      <c r="F234" s="2" t="s">
        <v>19</v>
      </c>
      <c r="G234" s="2" t="s">
        <v>20</v>
      </c>
      <c r="H234" s="2" t="s">
        <v>21</v>
      </c>
      <c r="I234" s="2" t="s">
        <v>41</v>
      </c>
      <c r="J234" s="2" t="s">
        <v>23</v>
      </c>
    </row>
    <row r="235" spans="1:10" x14ac:dyDescent="0.3">
      <c r="A235" s="2" t="s">
        <v>260</v>
      </c>
      <c r="B235" s="2" t="s">
        <v>25</v>
      </c>
      <c r="C235" s="2" t="s">
        <v>43</v>
      </c>
      <c r="D235" s="2">
        <v>5</v>
      </c>
      <c r="E235" s="2">
        <v>7615308856</v>
      </c>
      <c r="F235" s="2" t="s">
        <v>19</v>
      </c>
      <c r="G235" s="2" t="s">
        <v>14</v>
      </c>
      <c r="H235" s="2" t="s">
        <v>21</v>
      </c>
      <c r="I235" s="2" t="s">
        <v>41</v>
      </c>
      <c r="J235" s="2" t="s">
        <v>23</v>
      </c>
    </row>
    <row r="236" spans="1:10" x14ac:dyDescent="0.3">
      <c r="A236" s="2" t="s">
        <v>261</v>
      </c>
      <c r="B236" s="2" t="s">
        <v>25</v>
      </c>
      <c r="C236" s="2" t="s">
        <v>33</v>
      </c>
      <c r="D236" s="2">
        <v>5</v>
      </c>
      <c r="E236" s="2">
        <v>9847899395</v>
      </c>
      <c r="F236" s="2" t="s">
        <v>19</v>
      </c>
      <c r="G236" s="2" t="s">
        <v>14</v>
      </c>
      <c r="H236" s="2" t="s">
        <v>15</v>
      </c>
      <c r="I236" s="2" t="s">
        <v>37</v>
      </c>
      <c r="J236" s="2" t="s">
        <v>22</v>
      </c>
    </row>
    <row r="237" spans="1:10" x14ac:dyDescent="0.3">
      <c r="A237" s="2" t="s">
        <v>262</v>
      </c>
      <c r="B237" s="2" t="s">
        <v>11</v>
      </c>
      <c r="C237" s="2" t="s">
        <v>33</v>
      </c>
      <c r="D237" s="2">
        <v>3</v>
      </c>
      <c r="E237" s="2">
        <v>7902422598</v>
      </c>
      <c r="F237" s="2" t="s">
        <v>19</v>
      </c>
      <c r="G237" s="2" t="s">
        <v>14</v>
      </c>
      <c r="H237" s="2" t="s">
        <v>15</v>
      </c>
      <c r="I237" s="2" t="s">
        <v>22</v>
      </c>
      <c r="J237" s="2" t="s">
        <v>23</v>
      </c>
    </row>
    <row r="238" spans="1:10" x14ac:dyDescent="0.3">
      <c r="A238" s="2" t="s">
        <v>263</v>
      </c>
      <c r="B238" s="2" t="s">
        <v>35</v>
      </c>
      <c r="C238" s="2" t="s">
        <v>12</v>
      </c>
      <c r="D238" s="2">
        <v>1</v>
      </c>
      <c r="E238" s="2">
        <v>6570307637</v>
      </c>
      <c r="F238" s="2" t="s">
        <v>13</v>
      </c>
      <c r="G238" s="2" t="s">
        <v>14</v>
      </c>
      <c r="H238" s="2" t="s">
        <v>21</v>
      </c>
      <c r="I238" s="2" t="s">
        <v>37</v>
      </c>
      <c r="J238" s="2" t="s">
        <v>17</v>
      </c>
    </row>
    <row r="239" spans="1:10" x14ac:dyDescent="0.3">
      <c r="A239" s="2" t="s">
        <v>264</v>
      </c>
      <c r="B239" s="2" t="s">
        <v>32</v>
      </c>
      <c r="C239" s="2" t="s">
        <v>12</v>
      </c>
      <c r="D239" s="2">
        <v>7</v>
      </c>
      <c r="E239" s="2">
        <v>6538891921</v>
      </c>
      <c r="F239" s="2" t="s">
        <v>19</v>
      </c>
      <c r="G239" s="2" t="s">
        <v>20</v>
      </c>
      <c r="H239" s="2" t="s">
        <v>21</v>
      </c>
      <c r="I239" s="2" t="s">
        <v>22</v>
      </c>
      <c r="J239" s="2" t="s">
        <v>17</v>
      </c>
    </row>
    <row r="240" spans="1:10" x14ac:dyDescent="0.3">
      <c r="A240" s="2" t="s">
        <v>265</v>
      </c>
      <c r="B240" s="2" t="s">
        <v>11</v>
      </c>
      <c r="C240" s="2" t="s">
        <v>12</v>
      </c>
      <c r="D240" s="2">
        <v>3</v>
      </c>
      <c r="E240" s="2">
        <v>6764981615</v>
      </c>
      <c r="F240" s="2" t="s">
        <v>19</v>
      </c>
      <c r="G240" s="2" t="s">
        <v>14</v>
      </c>
      <c r="H240" s="2" t="s">
        <v>21</v>
      </c>
      <c r="I240" s="2" t="s">
        <v>37</v>
      </c>
      <c r="J240" s="2" t="s">
        <v>22</v>
      </c>
    </row>
    <row r="241" spans="1:10" x14ac:dyDescent="0.3">
      <c r="A241" s="2" t="s">
        <v>127</v>
      </c>
      <c r="B241" s="2" t="s">
        <v>25</v>
      </c>
      <c r="C241" s="2" t="s">
        <v>26</v>
      </c>
      <c r="D241" s="2">
        <v>5</v>
      </c>
      <c r="E241" s="2">
        <v>6897919819</v>
      </c>
      <c r="F241" s="2" t="s">
        <v>19</v>
      </c>
      <c r="G241" s="2" t="s">
        <v>20</v>
      </c>
      <c r="H241" s="2" t="s">
        <v>15</v>
      </c>
      <c r="I241" s="2" t="s">
        <v>41</v>
      </c>
      <c r="J241" s="2" t="s">
        <v>22</v>
      </c>
    </row>
    <row r="242" spans="1:10" x14ac:dyDescent="0.3">
      <c r="A242" s="2" t="s">
        <v>266</v>
      </c>
      <c r="B242" s="2" t="s">
        <v>25</v>
      </c>
      <c r="C242" s="2" t="s">
        <v>12</v>
      </c>
      <c r="D242" s="2">
        <v>5</v>
      </c>
      <c r="E242" s="2">
        <v>7147300176</v>
      </c>
      <c r="F242" s="2" t="s">
        <v>19</v>
      </c>
      <c r="G242" s="2" t="s">
        <v>20</v>
      </c>
      <c r="H242" s="2" t="s">
        <v>15</v>
      </c>
      <c r="I242" s="2" t="s">
        <v>22</v>
      </c>
      <c r="J242" s="2" t="s">
        <v>23</v>
      </c>
    </row>
    <row r="243" spans="1:10" x14ac:dyDescent="0.3">
      <c r="A243" s="2" t="s">
        <v>267</v>
      </c>
      <c r="B243" s="2" t="s">
        <v>25</v>
      </c>
      <c r="C243" s="2" t="s">
        <v>43</v>
      </c>
      <c r="D243" s="2">
        <v>5</v>
      </c>
      <c r="E243" s="2">
        <v>9668041763</v>
      </c>
      <c r="F243" s="2" t="s">
        <v>13</v>
      </c>
      <c r="G243" s="2" t="s">
        <v>14</v>
      </c>
      <c r="H243" s="2" t="s">
        <v>15</v>
      </c>
      <c r="I243" s="2" t="s">
        <v>37</v>
      </c>
      <c r="J243" s="2" t="s">
        <v>22</v>
      </c>
    </row>
    <row r="244" spans="1:10" x14ac:dyDescent="0.3">
      <c r="A244" s="2" t="s">
        <v>268</v>
      </c>
      <c r="B244" s="2" t="s">
        <v>32</v>
      </c>
      <c r="C244" s="2" t="s">
        <v>12</v>
      </c>
      <c r="D244" s="2">
        <v>7</v>
      </c>
      <c r="E244" s="2">
        <v>7826892025</v>
      </c>
      <c r="F244" s="2" t="s">
        <v>13</v>
      </c>
      <c r="G244" s="2" t="s">
        <v>20</v>
      </c>
      <c r="H244" s="2" t="s">
        <v>15</v>
      </c>
      <c r="I244" s="2" t="s">
        <v>16</v>
      </c>
      <c r="J244" s="2" t="s">
        <v>22</v>
      </c>
    </row>
    <row r="245" spans="1:10" x14ac:dyDescent="0.3">
      <c r="A245" s="2" t="s">
        <v>269</v>
      </c>
      <c r="B245" s="2" t="s">
        <v>32</v>
      </c>
      <c r="C245" s="2" t="s">
        <v>26</v>
      </c>
      <c r="D245" s="2">
        <v>7</v>
      </c>
      <c r="E245" s="2">
        <v>8003475837</v>
      </c>
      <c r="F245" s="2" t="s">
        <v>19</v>
      </c>
      <c r="G245" s="2" t="s">
        <v>20</v>
      </c>
      <c r="H245" s="2" t="s">
        <v>15</v>
      </c>
      <c r="I245" s="2" t="s">
        <v>41</v>
      </c>
      <c r="J245" s="2" t="s">
        <v>23</v>
      </c>
    </row>
    <row r="246" spans="1:10" x14ac:dyDescent="0.3">
      <c r="A246" s="2" t="s">
        <v>270</v>
      </c>
      <c r="B246" s="2" t="s">
        <v>32</v>
      </c>
      <c r="C246" s="2" t="s">
        <v>43</v>
      </c>
      <c r="D246" s="2">
        <v>7</v>
      </c>
      <c r="E246" s="2">
        <v>8705613636</v>
      </c>
      <c r="F246" s="2" t="s">
        <v>19</v>
      </c>
      <c r="G246" s="2" t="s">
        <v>20</v>
      </c>
      <c r="H246" s="2" t="s">
        <v>21</v>
      </c>
      <c r="I246" s="2" t="s">
        <v>16</v>
      </c>
      <c r="J246" s="2" t="s">
        <v>22</v>
      </c>
    </row>
    <row r="247" spans="1:10" x14ac:dyDescent="0.3">
      <c r="A247" s="2" t="s">
        <v>271</v>
      </c>
      <c r="B247" s="2" t="s">
        <v>25</v>
      </c>
      <c r="C247" s="2" t="s">
        <v>33</v>
      </c>
      <c r="D247" s="2">
        <v>5</v>
      </c>
      <c r="E247" s="2">
        <v>6118847180</v>
      </c>
      <c r="F247" s="2" t="s">
        <v>13</v>
      </c>
      <c r="G247" s="2" t="s">
        <v>14</v>
      </c>
      <c r="H247" s="2" t="s">
        <v>15</v>
      </c>
      <c r="I247" s="2" t="s">
        <v>37</v>
      </c>
      <c r="J247" s="2" t="s">
        <v>17</v>
      </c>
    </row>
    <row r="248" spans="1:10" x14ac:dyDescent="0.3">
      <c r="A248" s="2" t="s">
        <v>272</v>
      </c>
      <c r="B248" s="2" t="s">
        <v>11</v>
      </c>
      <c r="C248" s="2" t="s">
        <v>12</v>
      </c>
      <c r="D248" s="2">
        <v>3</v>
      </c>
      <c r="E248" s="2">
        <v>9905412979</v>
      </c>
      <c r="F248" s="2" t="s">
        <v>13</v>
      </c>
      <c r="G248" s="2" t="s">
        <v>20</v>
      </c>
      <c r="H248" s="2" t="s">
        <v>15</v>
      </c>
      <c r="I248" s="2" t="s">
        <v>41</v>
      </c>
      <c r="J248" s="2" t="s">
        <v>22</v>
      </c>
    </row>
    <row r="249" spans="1:10" x14ac:dyDescent="0.3">
      <c r="A249" s="2" t="s">
        <v>273</v>
      </c>
      <c r="B249" s="2" t="s">
        <v>25</v>
      </c>
      <c r="C249" s="2" t="s">
        <v>33</v>
      </c>
      <c r="D249" s="2">
        <v>5</v>
      </c>
      <c r="E249" s="2">
        <v>7409594170</v>
      </c>
      <c r="F249" s="2" t="s">
        <v>13</v>
      </c>
      <c r="G249" s="2" t="s">
        <v>14</v>
      </c>
      <c r="H249" s="2" t="s">
        <v>15</v>
      </c>
      <c r="I249" s="2" t="s">
        <v>27</v>
      </c>
      <c r="J249" s="2" t="s">
        <v>22</v>
      </c>
    </row>
    <row r="250" spans="1:10" x14ac:dyDescent="0.3">
      <c r="A250" s="2" t="s">
        <v>274</v>
      </c>
      <c r="B250" s="2" t="s">
        <v>35</v>
      </c>
      <c r="C250" s="2" t="s">
        <v>26</v>
      </c>
      <c r="D250" s="2">
        <v>1</v>
      </c>
      <c r="E250" s="2">
        <v>6536982244</v>
      </c>
      <c r="F250" s="2" t="s">
        <v>13</v>
      </c>
      <c r="G250" s="2" t="s">
        <v>20</v>
      </c>
      <c r="H250" s="2" t="s">
        <v>21</v>
      </c>
      <c r="I250" s="2" t="s">
        <v>41</v>
      </c>
      <c r="J250" s="2" t="s">
        <v>22</v>
      </c>
    </row>
    <row r="251" spans="1:10" x14ac:dyDescent="0.3">
      <c r="A251" s="2" t="s">
        <v>275</v>
      </c>
      <c r="B251" s="2" t="s">
        <v>25</v>
      </c>
      <c r="C251" s="2" t="s">
        <v>33</v>
      </c>
      <c r="D251" s="2">
        <v>5</v>
      </c>
      <c r="E251" s="2">
        <v>7297304435</v>
      </c>
      <c r="F251" s="2" t="s">
        <v>13</v>
      </c>
      <c r="G251" s="2" t="s">
        <v>14</v>
      </c>
      <c r="H251" s="2" t="s">
        <v>21</v>
      </c>
      <c r="I251" s="2" t="s">
        <v>41</v>
      </c>
      <c r="J251" s="2" t="s">
        <v>17</v>
      </c>
    </row>
    <row r="252" spans="1:10" x14ac:dyDescent="0.3">
      <c r="A252" s="2" t="s">
        <v>276</v>
      </c>
      <c r="B252" s="2" t="s">
        <v>35</v>
      </c>
      <c r="C252" s="2" t="s">
        <v>12</v>
      </c>
      <c r="D252" s="2">
        <v>1</v>
      </c>
      <c r="E252" s="2">
        <v>9124302350</v>
      </c>
      <c r="F252" s="2" t="s">
        <v>13</v>
      </c>
      <c r="G252" s="2" t="s">
        <v>20</v>
      </c>
      <c r="H252" s="2" t="s">
        <v>15</v>
      </c>
      <c r="I252" s="2" t="s">
        <v>29</v>
      </c>
      <c r="J252" s="2" t="s">
        <v>17</v>
      </c>
    </row>
    <row r="253" spans="1:10" x14ac:dyDescent="0.3">
      <c r="A253" s="2" t="s">
        <v>277</v>
      </c>
      <c r="B253" s="2" t="s">
        <v>35</v>
      </c>
      <c r="C253" s="2" t="s">
        <v>26</v>
      </c>
      <c r="D253" s="2">
        <v>1</v>
      </c>
      <c r="E253" s="2">
        <v>9523962094</v>
      </c>
      <c r="F253" s="2" t="s">
        <v>13</v>
      </c>
      <c r="G253" s="2" t="s">
        <v>14</v>
      </c>
      <c r="H253" s="2" t="s">
        <v>15</v>
      </c>
      <c r="I253" s="2" t="s">
        <v>22</v>
      </c>
      <c r="J253" s="2" t="s">
        <v>22</v>
      </c>
    </row>
    <row r="254" spans="1:10" x14ac:dyDescent="0.3">
      <c r="A254" s="2" t="s">
        <v>278</v>
      </c>
      <c r="B254" s="2" t="s">
        <v>11</v>
      </c>
      <c r="C254" s="2" t="s">
        <v>12</v>
      </c>
      <c r="D254" s="2">
        <v>3</v>
      </c>
      <c r="E254" s="2">
        <v>7805019973</v>
      </c>
      <c r="F254" s="2" t="s">
        <v>13</v>
      </c>
      <c r="G254" s="2" t="s">
        <v>14</v>
      </c>
      <c r="H254" s="2" t="s">
        <v>21</v>
      </c>
      <c r="I254" s="2" t="s">
        <v>29</v>
      </c>
      <c r="J254" s="2" t="s">
        <v>23</v>
      </c>
    </row>
    <row r="255" spans="1:10" x14ac:dyDescent="0.3">
      <c r="A255" s="2" t="s">
        <v>279</v>
      </c>
      <c r="B255" s="2" t="s">
        <v>25</v>
      </c>
      <c r="C255" s="2" t="s">
        <v>43</v>
      </c>
      <c r="D255" s="2">
        <v>5</v>
      </c>
      <c r="E255" s="2">
        <v>8908711740</v>
      </c>
      <c r="F255" s="2" t="s">
        <v>19</v>
      </c>
      <c r="G255" s="2" t="s">
        <v>14</v>
      </c>
      <c r="H255" s="2" t="s">
        <v>21</v>
      </c>
      <c r="I255" s="2" t="s">
        <v>22</v>
      </c>
      <c r="J255" s="2" t="s">
        <v>23</v>
      </c>
    </row>
    <row r="256" spans="1:10" x14ac:dyDescent="0.3">
      <c r="A256" s="2" t="s">
        <v>280</v>
      </c>
      <c r="B256" s="2" t="s">
        <v>11</v>
      </c>
      <c r="C256" s="2" t="s">
        <v>36</v>
      </c>
      <c r="D256" s="2">
        <v>3</v>
      </c>
      <c r="E256" s="2">
        <v>9994241163</v>
      </c>
      <c r="F256" s="2" t="s">
        <v>19</v>
      </c>
      <c r="G256" s="2" t="s">
        <v>14</v>
      </c>
      <c r="H256" s="2" t="s">
        <v>21</v>
      </c>
      <c r="I256" s="2" t="s">
        <v>29</v>
      </c>
      <c r="J256" s="2" t="s">
        <v>22</v>
      </c>
    </row>
    <row r="257" spans="1:10" x14ac:dyDescent="0.3">
      <c r="A257" s="2" t="s">
        <v>281</v>
      </c>
      <c r="B257" s="2" t="s">
        <v>32</v>
      </c>
      <c r="C257" s="2" t="s">
        <v>12</v>
      </c>
      <c r="D257" s="2">
        <v>7</v>
      </c>
      <c r="E257" s="2">
        <v>7351683503</v>
      </c>
      <c r="F257" s="2" t="s">
        <v>13</v>
      </c>
      <c r="G257" s="2" t="s">
        <v>20</v>
      </c>
      <c r="H257" s="2" t="s">
        <v>21</v>
      </c>
      <c r="I257" s="2" t="s">
        <v>16</v>
      </c>
      <c r="J257" s="2" t="s">
        <v>17</v>
      </c>
    </row>
    <row r="258" spans="1:10" x14ac:dyDescent="0.3">
      <c r="A258" s="2" t="s">
        <v>282</v>
      </c>
      <c r="B258" s="2" t="s">
        <v>11</v>
      </c>
      <c r="C258" s="2" t="s">
        <v>36</v>
      </c>
      <c r="D258" s="2">
        <v>3</v>
      </c>
      <c r="E258" s="2">
        <v>8080619526</v>
      </c>
      <c r="F258" s="2" t="s">
        <v>19</v>
      </c>
      <c r="G258" s="2" t="s">
        <v>20</v>
      </c>
      <c r="H258" s="2" t="s">
        <v>15</v>
      </c>
      <c r="I258" s="2" t="s">
        <v>27</v>
      </c>
      <c r="J258" s="2" t="s">
        <v>23</v>
      </c>
    </row>
    <row r="259" spans="1:10" x14ac:dyDescent="0.3">
      <c r="A259" s="2" t="s">
        <v>283</v>
      </c>
      <c r="B259" s="2" t="s">
        <v>32</v>
      </c>
      <c r="C259" s="2" t="s">
        <v>12</v>
      </c>
      <c r="D259" s="2">
        <v>7</v>
      </c>
      <c r="E259" s="2">
        <v>8523942137</v>
      </c>
      <c r="F259" s="2" t="s">
        <v>19</v>
      </c>
      <c r="G259" s="2" t="s">
        <v>20</v>
      </c>
      <c r="H259" s="2" t="s">
        <v>21</v>
      </c>
      <c r="I259" s="2" t="s">
        <v>22</v>
      </c>
      <c r="J259" s="2" t="s">
        <v>17</v>
      </c>
    </row>
    <row r="260" spans="1:10" x14ac:dyDescent="0.3">
      <c r="A260" s="2" t="s">
        <v>284</v>
      </c>
      <c r="B260" s="2" t="s">
        <v>35</v>
      </c>
      <c r="C260" s="2" t="s">
        <v>43</v>
      </c>
      <c r="D260" s="2">
        <v>1</v>
      </c>
      <c r="E260" s="2">
        <v>6880452593</v>
      </c>
      <c r="F260" s="2" t="s">
        <v>13</v>
      </c>
      <c r="G260" s="2" t="s">
        <v>20</v>
      </c>
      <c r="H260" s="2" t="s">
        <v>21</v>
      </c>
      <c r="I260" s="2" t="s">
        <v>41</v>
      </c>
      <c r="J260" s="2" t="s">
        <v>23</v>
      </c>
    </row>
    <row r="261" spans="1:10" x14ac:dyDescent="0.3">
      <c r="A261" s="2" t="s">
        <v>285</v>
      </c>
      <c r="B261" s="2" t="s">
        <v>25</v>
      </c>
      <c r="C261" s="2" t="s">
        <v>33</v>
      </c>
      <c r="D261" s="2">
        <v>5</v>
      </c>
      <c r="E261" s="2">
        <v>7528675887</v>
      </c>
      <c r="F261" s="2" t="s">
        <v>13</v>
      </c>
      <c r="G261" s="2" t="s">
        <v>14</v>
      </c>
      <c r="H261" s="2" t="s">
        <v>21</v>
      </c>
      <c r="I261" s="2" t="s">
        <v>37</v>
      </c>
      <c r="J261" s="2" t="s">
        <v>22</v>
      </c>
    </row>
    <row r="262" spans="1:10" x14ac:dyDescent="0.3">
      <c r="A262" s="2" t="s">
        <v>286</v>
      </c>
      <c r="B262" s="2" t="s">
        <v>32</v>
      </c>
      <c r="C262" s="2" t="s">
        <v>26</v>
      </c>
      <c r="D262" s="2">
        <v>7</v>
      </c>
      <c r="E262" s="2">
        <v>9975716753</v>
      </c>
      <c r="F262" s="2" t="s">
        <v>19</v>
      </c>
      <c r="G262" s="2" t="s">
        <v>20</v>
      </c>
      <c r="H262" s="2" t="s">
        <v>15</v>
      </c>
      <c r="I262" s="2" t="s">
        <v>37</v>
      </c>
      <c r="J262" s="2" t="s">
        <v>22</v>
      </c>
    </row>
    <row r="263" spans="1:10" x14ac:dyDescent="0.3">
      <c r="A263" s="2" t="s">
        <v>287</v>
      </c>
      <c r="B263" s="2" t="s">
        <v>25</v>
      </c>
      <c r="C263" s="2" t="s">
        <v>12</v>
      </c>
      <c r="D263" s="2">
        <v>5</v>
      </c>
      <c r="E263" s="2">
        <v>7782042637</v>
      </c>
      <c r="F263" s="2" t="s">
        <v>19</v>
      </c>
      <c r="G263" s="2" t="s">
        <v>14</v>
      </c>
      <c r="H263" s="2" t="s">
        <v>21</v>
      </c>
      <c r="I263" s="2" t="s">
        <v>41</v>
      </c>
      <c r="J263" s="2" t="s">
        <v>17</v>
      </c>
    </row>
    <row r="264" spans="1:10" x14ac:dyDescent="0.3">
      <c r="A264" s="2" t="s">
        <v>288</v>
      </c>
      <c r="B264" s="2" t="s">
        <v>11</v>
      </c>
      <c r="C264" s="2" t="s">
        <v>26</v>
      </c>
      <c r="D264" s="2">
        <v>3</v>
      </c>
      <c r="E264" s="2">
        <v>8200682061</v>
      </c>
      <c r="F264" s="2" t="s">
        <v>19</v>
      </c>
      <c r="G264" s="2" t="s">
        <v>20</v>
      </c>
      <c r="H264" s="2" t="s">
        <v>21</v>
      </c>
      <c r="I264" s="2" t="s">
        <v>22</v>
      </c>
      <c r="J264" s="2" t="s">
        <v>23</v>
      </c>
    </row>
    <row r="265" spans="1:10" x14ac:dyDescent="0.3">
      <c r="A265" s="2" t="s">
        <v>289</v>
      </c>
      <c r="B265" s="2" t="s">
        <v>25</v>
      </c>
      <c r="C265" s="2" t="s">
        <v>33</v>
      </c>
      <c r="D265" s="2">
        <v>5</v>
      </c>
      <c r="E265" s="2">
        <v>6951338106</v>
      </c>
      <c r="F265" s="2" t="s">
        <v>13</v>
      </c>
      <c r="G265" s="2" t="s">
        <v>20</v>
      </c>
      <c r="H265" s="2" t="s">
        <v>21</v>
      </c>
      <c r="I265" s="2" t="s">
        <v>22</v>
      </c>
      <c r="J265" s="2" t="s">
        <v>22</v>
      </c>
    </row>
    <row r="266" spans="1:10" x14ac:dyDescent="0.3">
      <c r="A266" s="2" t="s">
        <v>290</v>
      </c>
      <c r="B266" s="2" t="s">
        <v>35</v>
      </c>
      <c r="C266" s="2" t="s">
        <v>12</v>
      </c>
      <c r="D266" s="2">
        <v>1</v>
      </c>
      <c r="E266" s="2">
        <v>6934987009</v>
      </c>
      <c r="F266" s="2" t="s">
        <v>19</v>
      </c>
      <c r="G266" s="2" t="s">
        <v>20</v>
      </c>
      <c r="H266" s="2" t="s">
        <v>15</v>
      </c>
      <c r="I266" s="2" t="s">
        <v>22</v>
      </c>
      <c r="J266" s="2" t="s">
        <v>23</v>
      </c>
    </row>
    <row r="267" spans="1:10" x14ac:dyDescent="0.3">
      <c r="A267" s="2" t="s">
        <v>240</v>
      </c>
      <c r="B267" s="2" t="s">
        <v>35</v>
      </c>
      <c r="C267" s="2" t="s">
        <v>12</v>
      </c>
      <c r="D267" s="2">
        <v>1</v>
      </c>
      <c r="E267" s="2">
        <v>9886073664</v>
      </c>
      <c r="F267" s="2" t="s">
        <v>13</v>
      </c>
      <c r="G267" s="2" t="s">
        <v>20</v>
      </c>
      <c r="H267" s="2" t="s">
        <v>15</v>
      </c>
      <c r="I267" s="2" t="s">
        <v>22</v>
      </c>
      <c r="J267" s="2" t="s">
        <v>22</v>
      </c>
    </row>
    <row r="268" spans="1:10" x14ac:dyDescent="0.3">
      <c r="A268" s="2" t="s">
        <v>291</v>
      </c>
      <c r="B268" s="2" t="s">
        <v>32</v>
      </c>
      <c r="C268" s="2" t="s">
        <v>36</v>
      </c>
      <c r="D268" s="2">
        <v>7</v>
      </c>
      <c r="E268" s="2">
        <v>9013296970</v>
      </c>
      <c r="F268" s="2" t="s">
        <v>19</v>
      </c>
      <c r="G268" s="2" t="s">
        <v>20</v>
      </c>
      <c r="H268" s="2" t="s">
        <v>15</v>
      </c>
      <c r="I268" s="2" t="s">
        <v>16</v>
      </c>
      <c r="J268" s="2" t="s">
        <v>23</v>
      </c>
    </row>
    <row r="269" spans="1:10" x14ac:dyDescent="0.3">
      <c r="A269" s="2" t="s">
        <v>292</v>
      </c>
      <c r="B269" s="2" t="s">
        <v>25</v>
      </c>
      <c r="C269" s="2" t="s">
        <v>43</v>
      </c>
      <c r="D269" s="2">
        <v>5</v>
      </c>
      <c r="E269" s="2">
        <v>9239147624</v>
      </c>
      <c r="F269" s="2" t="s">
        <v>19</v>
      </c>
      <c r="G269" s="2" t="s">
        <v>14</v>
      </c>
      <c r="H269" s="2" t="s">
        <v>21</v>
      </c>
      <c r="I269" s="2" t="s">
        <v>41</v>
      </c>
      <c r="J269" s="2" t="s">
        <v>22</v>
      </c>
    </row>
    <row r="270" spans="1:10" x14ac:dyDescent="0.3">
      <c r="A270" s="2" t="s">
        <v>293</v>
      </c>
      <c r="B270" s="2" t="s">
        <v>32</v>
      </c>
      <c r="C270" s="2" t="s">
        <v>26</v>
      </c>
      <c r="D270" s="2">
        <v>7</v>
      </c>
      <c r="E270" s="2">
        <v>7453021693</v>
      </c>
      <c r="F270" s="2" t="s">
        <v>13</v>
      </c>
      <c r="G270" s="2" t="s">
        <v>20</v>
      </c>
      <c r="H270" s="2" t="s">
        <v>15</v>
      </c>
      <c r="I270" s="2" t="s">
        <v>29</v>
      </c>
      <c r="J270" s="2" t="s">
        <v>22</v>
      </c>
    </row>
    <row r="271" spans="1:10" x14ac:dyDescent="0.3">
      <c r="A271" s="2" t="s">
        <v>294</v>
      </c>
      <c r="B271" s="2" t="s">
        <v>25</v>
      </c>
      <c r="C271" s="2" t="s">
        <v>26</v>
      </c>
      <c r="D271" s="2">
        <v>5</v>
      </c>
      <c r="E271" s="2">
        <v>7315120205</v>
      </c>
      <c r="F271" s="2" t="s">
        <v>19</v>
      </c>
      <c r="G271" s="2" t="s">
        <v>14</v>
      </c>
      <c r="H271" s="2" t="s">
        <v>21</v>
      </c>
      <c r="I271" s="2" t="s">
        <v>22</v>
      </c>
      <c r="J271" s="2" t="s">
        <v>17</v>
      </c>
    </row>
    <row r="272" spans="1:10" x14ac:dyDescent="0.3">
      <c r="A272" s="2" t="s">
        <v>295</v>
      </c>
      <c r="B272" s="2" t="s">
        <v>35</v>
      </c>
      <c r="C272" s="2" t="s">
        <v>43</v>
      </c>
      <c r="D272" s="2">
        <v>1</v>
      </c>
      <c r="E272" s="2">
        <v>6653290332</v>
      </c>
      <c r="F272" s="2" t="s">
        <v>19</v>
      </c>
      <c r="G272" s="2" t="s">
        <v>14</v>
      </c>
      <c r="H272" s="2" t="s">
        <v>15</v>
      </c>
      <c r="I272" s="2" t="s">
        <v>37</v>
      </c>
      <c r="J272" s="2" t="s">
        <v>22</v>
      </c>
    </row>
    <row r="273" spans="1:10" x14ac:dyDescent="0.3">
      <c r="A273" s="2" t="s">
        <v>52</v>
      </c>
      <c r="B273" s="2" t="s">
        <v>32</v>
      </c>
      <c r="C273" s="2" t="s">
        <v>36</v>
      </c>
      <c r="D273" s="2">
        <v>7</v>
      </c>
      <c r="E273" s="2">
        <v>8933456313</v>
      </c>
      <c r="F273" s="2" t="s">
        <v>19</v>
      </c>
      <c r="G273" s="2" t="s">
        <v>14</v>
      </c>
      <c r="H273" s="2" t="s">
        <v>15</v>
      </c>
      <c r="I273" s="2" t="s">
        <v>16</v>
      </c>
      <c r="J273" s="2" t="s">
        <v>22</v>
      </c>
    </row>
    <row r="274" spans="1:10" x14ac:dyDescent="0.3">
      <c r="A274" s="2" t="s">
        <v>296</v>
      </c>
      <c r="B274" s="2" t="s">
        <v>11</v>
      </c>
      <c r="C274" s="2" t="s">
        <v>36</v>
      </c>
      <c r="D274" s="2">
        <v>3</v>
      </c>
      <c r="E274" s="2">
        <v>9012070733</v>
      </c>
      <c r="F274" s="2" t="s">
        <v>13</v>
      </c>
      <c r="G274" s="2" t="s">
        <v>20</v>
      </c>
      <c r="H274" s="2" t="s">
        <v>21</v>
      </c>
      <c r="I274" s="2" t="s">
        <v>22</v>
      </c>
      <c r="J274" s="2" t="s">
        <v>22</v>
      </c>
    </row>
    <row r="275" spans="1:10" x14ac:dyDescent="0.3">
      <c r="A275" s="2" t="s">
        <v>297</v>
      </c>
      <c r="B275" s="2" t="s">
        <v>32</v>
      </c>
      <c r="C275" s="2" t="s">
        <v>33</v>
      </c>
      <c r="D275" s="2">
        <v>7</v>
      </c>
      <c r="E275" s="2">
        <v>8780588741</v>
      </c>
      <c r="F275" s="2" t="s">
        <v>19</v>
      </c>
      <c r="G275" s="2" t="s">
        <v>20</v>
      </c>
      <c r="H275" s="2" t="s">
        <v>15</v>
      </c>
      <c r="I275" s="2" t="s">
        <v>22</v>
      </c>
      <c r="J275" s="2" t="s">
        <v>22</v>
      </c>
    </row>
    <row r="276" spans="1:10" x14ac:dyDescent="0.3">
      <c r="A276" s="2" t="s">
        <v>132</v>
      </c>
      <c r="B276" s="2" t="s">
        <v>35</v>
      </c>
      <c r="C276" s="2" t="s">
        <v>43</v>
      </c>
      <c r="D276" s="2">
        <v>1</v>
      </c>
      <c r="E276" s="2">
        <v>6873896121</v>
      </c>
      <c r="F276" s="2" t="s">
        <v>19</v>
      </c>
      <c r="G276" s="2" t="s">
        <v>20</v>
      </c>
      <c r="H276" s="2" t="s">
        <v>21</v>
      </c>
      <c r="I276" s="2" t="s">
        <v>27</v>
      </c>
      <c r="J276" s="2" t="s">
        <v>23</v>
      </c>
    </row>
    <row r="277" spans="1:10" x14ac:dyDescent="0.3">
      <c r="A277" s="2" t="s">
        <v>298</v>
      </c>
      <c r="B277" s="2" t="s">
        <v>25</v>
      </c>
      <c r="C277" s="2" t="s">
        <v>33</v>
      </c>
      <c r="D277" s="2">
        <v>5</v>
      </c>
      <c r="E277" s="2">
        <v>6175040360</v>
      </c>
      <c r="F277" s="2" t="s">
        <v>13</v>
      </c>
      <c r="G277" s="2" t="s">
        <v>14</v>
      </c>
      <c r="H277" s="2" t="s">
        <v>15</v>
      </c>
      <c r="I277" s="2" t="s">
        <v>22</v>
      </c>
      <c r="J277" s="2" t="s">
        <v>23</v>
      </c>
    </row>
    <row r="278" spans="1:10" x14ac:dyDescent="0.3">
      <c r="A278" s="2" t="s">
        <v>299</v>
      </c>
      <c r="B278" s="2" t="s">
        <v>25</v>
      </c>
      <c r="C278" s="2" t="s">
        <v>33</v>
      </c>
      <c r="D278" s="2">
        <v>5</v>
      </c>
      <c r="E278" s="2">
        <v>7833947819</v>
      </c>
      <c r="F278" s="2" t="s">
        <v>19</v>
      </c>
      <c r="G278" s="2" t="s">
        <v>14</v>
      </c>
      <c r="H278" s="2" t="s">
        <v>15</v>
      </c>
      <c r="I278" s="2" t="s">
        <v>16</v>
      </c>
      <c r="J278" s="2" t="s">
        <v>23</v>
      </c>
    </row>
    <row r="279" spans="1:10" x14ac:dyDescent="0.3">
      <c r="A279" s="2" t="s">
        <v>300</v>
      </c>
      <c r="B279" s="2" t="s">
        <v>25</v>
      </c>
      <c r="C279" s="2" t="s">
        <v>12</v>
      </c>
      <c r="D279" s="2">
        <v>5</v>
      </c>
      <c r="E279" s="2">
        <v>7508540175</v>
      </c>
      <c r="F279" s="2" t="s">
        <v>19</v>
      </c>
      <c r="G279" s="2" t="s">
        <v>20</v>
      </c>
      <c r="H279" s="2" t="s">
        <v>21</v>
      </c>
      <c r="I279" s="2" t="s">
        <v>29</v>
      </c>
      <c r="J279" s="2" t="s">
        <v>22</v>
      </c>
    </row>
    <row r="280" spans="1:10" x14ac:dyDescent="0.3">
      <c r="A280" s="2" t="s">
        <v>301</v>
      </c>
      <c r="B280" s="2" t="s">
        <v>32</v>
      </c>
      <c r="C280" s="2" t="s">
        <v>36</v>
      </c>
      <c r="D280" s="2">
        <v>7</v>
      </c>
      <c r="E280" s="2">
        <v>8022301658</v>
      </c>
      <c r="F280" s="2" t="s">
        <v>19</v>
      </c>
      <c r="G280" s="2" t="s">
        <v>20</v>
      </c>
      <c r="H280" s="2" t="s">
        <v>15</v>
      </c>
      <c r="I280" s="2" t="s">
        <v>22</v>
      </c>
      <c r="J280" s="2" t="s">
        <v>23</v>
      </c>
    </row>
    <row r="281" spans="1:10" x14ac:dyDescent="0.3">
      <c r="A281" s="2" t="s">
        <v>302</v>
      </c>
      <c r="B281" s="2" t="s">
        <v>25</v>
      </c>
      <c r="C281" s="2" t="s">
        <v>26</v>
      </c>
      <c r="D281" s="2">
        <v>5</v>
      </c>
      <c r="E281" s="2">
        <v>8843845156</v>
      </c>
      <c r="F281" s="2" t="s">
        <v>13</v>
      </c>
      <c r="G281" s="2" t="s">
        <v>20</v>
      </c>
      <c r="H281" s="2" t="s">
        <v>15</v>
      </c>
      <c r="I281" s="2" t="s">
        <v>27</v>
      </c>
      <c r="J281" s="2" t="s">
        <v>22</v>
      </c>
    </row>
    <row r="282" spans="1:10" x14ac:dyDescent="0.3">
      <c r="A282" s="2" t="s">
        <v>303</v>
      </c>
      <c r="B282" s="2" t="s">
        <v>25</v>
      </c>
      <c r="C282" s="2" t="s">
        <v>26</v>
      </c>
      <c r="D282" s="2">
        <v>5</v>
      </c>
      <c r="E282" s="2">
        <v>6539639903</v>
      </c>
      <c r="F282" s="2" t="s">
        <v>19</v>
      </c>
      <c r="G282" s="2" t="s">
        <v>14</v>
      </c>
      <c r="H282" s="2" t="s">
        <v>15</v>
      </c>
      <c r="I282" s="2" t="s">
        <v>22</v>
      </c>
      <c r="J282" s="2" t="s">
        <v>22</v>
      </c>
    </row>
    <row r="283" spans="1:10" x14ac:dyDescent="0.3">
      <c r="A283" s="2" t="s">
        <v>304</v>
      </c>
      <c r="B283" s="2" t="s">
        <v>11</v>
      </c>
      <c r="C283" s="2" t="s">
        <v>43</v>
      </c>
      <c r="D283" s="2">
        <v>3</v>
      </c>
      <c r="E283" s="2">
        <v>9219332602</v>
      </c>
      <c r="F283" s="2" t="s">
        <v>19</v>
      </c>
      <c r="G283" s="2" t="s">
        <v>20</v>
      </c>
      <c r="H283" s="2" t="s">
        <v>21</v>
      </c>
      <c r="I283" s="2" t="s">
        <v>29</v>
      </c>
      <c r="J283" s="2" t="s">
        <v>22</v>
      </c>
    </row>
    <row r="284" spans="1:10" x14ac:dyDescent="0.3">
      <c r="A284" s="2" t="s">
        <v>305</v>
      </c>
      <c r="B284" s="2" t="s">
        <v>25</v>
      </c>
      <c r="C284" s="2" t="s">
        <v>36</v>
      </c>
      <c r="D284" s="2">
        <v>5</v>
      </c>
      <c r="E284" s="2">
        <v>9250606038</v>
      </c>
      <c r="F284" s="2" t="s">
        <v>13</v>
      </c>
      <c r="G284" s="2" t="s">
        <v>14</v>
      </c>
      <c r="H284" s="2" t="s">
        <v>15</v>
      </c>
      <c r="I284" s="2" t="s">
        <v>37</v>
      </c>
      <c r="J284" s="2" t="s">
        <v>23</v>
      </c>
    </row>
    <row r="285" spans="1:10" x14ac:dyDescent="0.3">
      <c r="A285" s="2" t="s">
        <v>306</v>
      </c>
      <c r="B285" s="2" t="s">
        <v>32</v>
      </c>
      <c r="C285" s="2" t="s">
        <v>36</v>
      </c>
      <c r="D285" s="2">
        <v>7</v>
      </c>
      <c r="E285" s="2">
        <v>8751623627</v>
      </c>
      <c r="F285" s="2" t="s">
        <v>13</v>
      </c>
      <c r="G285" s="2" t="s">
        <v>14</v>
      </c>
      <c r="H285" s="2" t="s">
        <v>15</v>
      </c>
      <c r="I285" s="2" t="s">
        <v>16</v>
      </c>
      <c r="J285" s="2" t="s">
        <v>23</v>
      </c>
    </row>
    <row r="286" spans="1:10" x14ac:dyDescent="0.3">
      <c r="A286" s="2" t="s">
        <v>307</v>
      </c>
      <c r="B286" s="2" t="s">
        <v>11</v>
      </c>
      <c r="C286" s="2" t="s">
        <v>12</v>
      </c>
      <c r="D286" s="2">
        <v>3</v>
      </c>
      <c r="E286" s="2">
        <v>9581677026</v>
      </c>
      <c r="F286" s="2" t="s">
        <v>13</v>
      </c>
      <c r="G286" s="2" t="s">
        <v>14</v>
      </c>
      <c r="H286" s="2" t="s">
        <v>21</v>
      </c>
      <c r="I286" s="2" t="s">
        <v>22</v>
      </c>
      <c r="J286" s="2" t="s">
        <v>23</v>
      </c>
    </row>
    <row r="287" spans="1:10" x14ac:dyDescent="0.3">
      <c r="A287" s="2" t="s">
        <v>308</v>
      </c>
      <c r="B287" s="2" t="s">
        <v>35</v>
      </c>
      <c r="C287" s="2" t="s">
        <v>33</v>
      </c>
      <c r="D287" s="2">
        <v>1</v>
      </c>
      <c r="E287" s="2">
        <v>7591863235</v>
      </c>
      <c r="F287" s="2" t="s">
        <v>19</v>
      </c>
      <c r="G287" s="2" t="s">
        <v>20</v>
      </c>
      <c r="H287" s="2" t="s">
        <v>21</v>
      </c>
      <c r="I287" s="2" t="s">
        <v>22</v>
      </c>
      <c r="J287" s="2" t="s">
        <v>23</v>
      </c>
    </row>
    <row r="288" spans="1:10" x14ac:dyDescent="0.3">
      <c r="A288" s="2" t="s">
        <v>309</v>
      </c>
      <c r="B288" s="2" t="s">
        <v>11</v>
      </c>
      <c r="C288" s="2" t="s">
        <v>12</v>
      </c>
      <c r="D288" s="2">
        <v>3</v>
      </c>
      <c r="E288" s="2">
        <v>7571815436</v>
      </c>
      <c r="F288" s="2" t="s">
        <v>19</v>
      </c>
      <c r="G288" s="2" t="s">
        <v>14</v>
      </c>
      <c r="H288" s="2" t="s">
        <v>15</v>
      </c>
      <c r="I288" s="2" t="s">
        <v>22</v>
      </c>
      <c r="J288" s="2" t="s">
        <v>23</v>
      </c>
    </row>
    <row r="289" spans="1:10" x14ac:dyDescent="0.3">
      <c r="A289" s="2" t="s">
        <v>310</v>
      </c>
      <c r="B289" s="2" t="s">
        <v>35</v>
      </c>
      <c r="C289" s="2" t="s">
        <v>12</v>
      </c>
      <c r="D289" s="2">
        <v>1</v>
      </c>
      <c r="E289" s="2">
        <v>7820642372</v>
      </c>
      <c r="F289" s="2" t="s">
        <v>19</v>
      </c>
      <c r="G289" s="2" t="s">
        <v>14</v>
      </c>
      <c r="H289" s="2" t="s">
        <v>21</v>
      </c>
      <c r="I289" s="2" t="s">
        <v>37</v>
      </c>
      <c r="J289" s="2" t="s">
        <v>22</v>
      </c>
    </row>
    <row r="290" spans="1:10" x14ac:dyDescent="0.3">
      <c r="A290" s="2" t="s">
        <v>311</v>
      </c>
      <c r="B290" s="2" t="s">
        <v>35</v>
      </c>
      <c r="C290" s="2" t="s">
        <v>12</v>
      </c>
      <c r="D290" s="2">
        <v>1</v>
      </c>
      <c r="E290" s="2">
        <v>6214259466</v>
      </c>
      <c r="F290" s="2" t="s">
        <v>13</v>
      </c>
      <c r="G290" s="2" t="s">
        <v>14</v>
      </c>
      <c r="H290" s="2" t="s">
        <v>15</v>
      </c>
      <c r="I290" s="2" t="s">
        <v>22</v>
      </c>
      <c r="J290" s="2" t="s">
        <v>23</v>
      </c>
    </row>
    <row r="291" spans="1:10" x14ac:dyDescent="0.3">
      <c r="A291" s="2" t="s">
        <v>312</v>
      </c>
      <c r="B291" s="2" t="s">
        <v>32</v>
      </c>
      <c r="C291" s="2" t="s">
        <v>43</v>
      </c>
      <c r="D291" s="2">
        <v>7</v>
      </c>
      <c r="E291" s="2">
        <v>6138272229</v>
      </c>
      <c r="F291" s="2" t="s">
        <v>13</v>
      </c>
      <c r="G291" s="2" t="s">
        <v>20</v>
      </c>
      <c r="H291" s="2" t="s">
        <v>15</v>
      </c>
      <c r="I291" s="2" t="s">
        <v>29</v>
      </c>
      <c r="J291" s="2" t="s">
        <v>22</v>
      </c>
    </row>
    <row r="292" spans="1:10" x14ac:dyDescent="0.3">
      <c r="A292" s="2" t="s">
        <v>313</v>
      </c>
      <c r="B292" s="2" t="s">
        <v>32</v>
      </c>
      <c r="C292" s="2" t="s">
        <v>43</v>
      </c>
      <c r="D292" s="2">
        <v>7</v>
      </c>
      <c r="E292" s="2">
        <v>8808322626</v>
      </c>
      <c r="F292" s="2" t="s">
        <v>19</v>
      </c>
      <c r="G292" s="2" t="s">
        <v>14</v>
      </c>
      <c r="H292" s="2" t="s">
        <v>15</v>
      </c>
      <c r="I292" s="2" t="s">
        <v>16</v>
      </c>
      <c r="J292" s="2" t="s">
        <v>22</v>
      </c>
    </row>
    <row r="293" spans="1:10" x14ac:dyDescent="0.3">
      <c r="A293" s="2" t="s">
        <v>314</v>
      </c>
      <c r="B293" s="2" t="s">
        <v>35</v>
      </c>
      <c r="C293" s="2" t="s">
        <v>12</v>
      </c>
      <c r="D293" s="2">
        <v>1</v>
      </c>
      <c r="E293" s="2">
        <v>7224698432</v>
      </c>
      <c r="F293" s="2" t="s">
        <v>19</v>
      </c>
      <c r="G293" s="2" t="s">
        <v>14</v>
      </c>
      <c r="H293" s="2" t="s">
        <v>21</v>
      </c>
      <c r="I293" s="2" t="s">
        <v>41</v>
      </c>
      <c r="J293" s="2" t="s">
        <v>22</v>
      </c>
    </row>
    <row r="294" spans="1:10" x14ac:dyDescent="0.3">
      <c r="A294" s="2" t="s">
        <v>315</v>
      </c>
      <c r="B294" s="2" t="s">
        <v>32</v>
      </c>
      <c r="C294" s="2" t="s">
        <v>26</v>
      </c>
      <c r="D294" s="2">
        <v>7</v>
      </c>
      <c r="E294" s="2">
        <v>9222471765</v>
      </c>
      <c r="F294" s="2" t="s">
        <v>19</v>
      </c>
      <c r="G294" s="2" t="s">
        <v>20</v>
      </c>
      <c r="H294" s="2" t="s">
        <v>21</v>
      </c>
      <c r="I294" s="2" t="s">
        <v>37</v>
      </c>
      <c r="J294" s="2" t="s">
        <v>22</v>
      </c>
    </row>
    <row r="295" spans="1:10" x14ac:dyDescent="0.3">
      <c r="A295" s="2" t="s">
        <v>316</v>
      </c>
      <c r="B295" s="2" t="s">
        <v>32</v>
      </c>
      <c r="C295" s="2" t="s">
        <v>12</v>
      </c>
      <c r="D295" s="2">
        <v>7</v>
      </c>
      <c r="E295" s="2">
        <v>9631014275</v>
      </c>
      <c r="F295" s="2" t="s">
        <v>13</v>
      </c>
      <c r="G295" s="2" t="s">
        <v>20</v>
      </c>
      <c r="H295" s="2" t="s">
        <v>21</v>
      </c>
      <c r="I295" s="2" t="s">
        <v>29</v>
      </c>
      <c r="J295" s="2" t="s">
        <v>22</v>
      </c>
    </row>
    <row r="296" spans="1:10" x14ac:dyDescent="0.3">
      <c r="A296" s="2" t="s">
        <v>317</v>
      </c>
      <c r="B296" s="2" t="s">
        <v>11</v>
      </c>
      <c r="C296" s="2" t="s">
        <v>33</v>
      </c>
      <c r="D296" s="2">
        <v>3</v>
      </c>
      <c r="E296" s="2">
        <v>9017213082</v>
      </c>
      <c r="F296" s="2" t="s">
        <v>13</v>
      </c>
      <c r="G296" s="2" t="s">
        <v>20</v>
      </c>
      <c r="H296" s="2" t="s">
        <v>21</v>
      </c>
      <c r="I296" s="2" t="s">
        <v>22</v>
      </c>
      <c r="J296" s="2" t="s">
        <v>22</v>
      </c>
    </row>
    <row r="297" spans="1:10" x14ac:dyDescent="0.3">
      <c r="A297" s="2" t="s">
        <v>318</v>
      </c>
      <c r="B297" s="2" t="s">
        <v>32</v>
      </c>
      <c r="C297" s="2" t="s">
        <v>26</v>
      </c>
      <c r="D297" s="2">
        <v>7</v>
      </c>
      <c r="E297" s="2">
        <v>9585524674</v>
      </c>
      <c r="F297" s="2" t="s">
        <v>19</v>
      </c>
      <c r="G297" s="2" t="s">
        <v>20</v>
      </c>
      <c r="H297" s="2" t="s">
        <v>21</v>
      </c>
      <c r="I297" s="2" t="s">
        <v>22</v>
      </c>
      <c r="J297" s="2" t="s">
        <v>22</v>
      </c>
    </row>
    <row r="298" spans="1:10" x14ac:dyDescent="0.3">
      <c r="A298" s="2" t="s">
        <v>319</v>
      </c>
      <c r="B298" s="2" t="s">
        <v>35</v>
      </c>
      <c r="C298" s="2" t="s">
        <v>43</v>
      </c>
      <c r="D298" s="2">
        <v>1</v>
      </c>
      <c r="E298" s="2">
        <v>9319981861</v>
      </c>
      <c r="F298" s="2" t="s">
        <v>19</v>
      </c>
      <c r="G298" s="2" t="s">
        <v>20</v>
      </c>
      <c r="H298" s="2" t="s">
        <v>21</v>
      </c>
      <c r="I298" s="2" t="s">
        <v>41</v>
      </c>
      <c r="J298" s="2" t="s">
        <v>23</v>
      </c>
    </row>
    <row r="299" spans="1:10" x14ac:dyDescent="0.3">
      <c r="A299" s="2" t="s">
        <v>320</v>
      </c>
      <c r="B299" s="2" t="s">
        <v>25</v>
      </c>
      <c r="C299" s="2" t="s">
        <v>33</v>
      </c>
      <c r="D299" s="2">
        <v>5</v>
      </c>
      <c r="E299" s="2">
        <v>9041231436</v>
      </c>
      <c r="F299" s="2" t="s">
        <v>13</v>
      </c>
      <c r="G299" s="2" t="s">
        <v>14</v>
      </c>
      <c r="H299" s="2" t="s">
        <v>21</v>
      </c>
      <c r="I299" s="2" t="s">
        <v>37</v>
      </c>
      <c r="J299" s="2" t="s">
        <v>22</v>
      </c>
    </row>
    <row r="300" spans="1:10" x14ac:dyDescent="0.3">
      <c r="A300" s="2" t="s">
        <v>321</v>
      </c>
      <c r="B300" s="2" t="s">
        <v>35</v>
      </c>
      <c r="C300" s="2" t="s">
        <v>33</v>
      </c>
      <c r="D300" s="2">
        <v>1</v>
      </c>
      <c r="E300" s="2">
        <v>8565900630</v>
      </c>
      <c r="F300" s="2" t="s">
        <v>19</v>
      </c>
      <c r="G300" s="2" t="s">
        <v>14</v>
      </c>
      <c r="H300" s="2" t="s">
        <v>15</v>
      </c>
      <c r="I300" s="2" t="s">
        <v>37</v>
      </c>
      <c r="J300" s="2" t="s">
        <v>22</v>
      </c>
    </row>
    <row r="301" spans="1:10" x14ac:dyDescent="0.3">
      <c r="A301" s="2" t="s">
        <v>322</v>
      </c>
      <c r="B301" s="2" t="s">
        <v>32</v>
      </c>
      <c r="C301" s="2" t="s">
        <v>12</v>
      </c>
      <c r="D301" s="2">
        <v>7</v>
      </c>
      <c r="E301" s="2">
        <v>6909456424</v>
      </c>
      <c r="F301" s="2" t="s">
        <v>19</v>
      </c>
      <c r="G301" s="2" t="s">
        <v>20</v>
      </c>
      <c r="H301" s="2" t="s">
        <v>15</v>
      </c>
      <c r="I301" s="2" t="s">
        <v>16</v>
      </c>
      <c r="J301" s="2" t="s">
        <v>22</v>
      </c>
    </row>
    <row r="302" spans="1:10" x14ac:dyDescent="0.3">
      <c r="A302" s="2" t="s">
        <v>323</v>
      </c>
      <c r="B302" s="2" t="s">
        <v>11</v>
      </c>
      <c r="C302" s="2" t="s">
        <v>36</v>
      </c>
      <c r="D302" s="2">
        <v>3</v>
      </c>
      <c r="E302" s="2">
        <v>9985286187</v>
      </c>
      <c r="F302" s="2" t="s">
        <v>13</v>
      </c>
      <c r="G302" s="2" t="s">
        <v>14</v>
      </c>
      <c r="H302" s="2" t="s">
        <v>21</v>
      </c>
      <c r="I302" s="2" t="s">
        <v>22</v>
      </c>
      <c r="J302" s="2" t="s">
        <v>17</v>
      </c>
    </row>
    <row r="303" spans="1:10" x14ac:dyDescent="0.3">
      <c r="A303" s="2" t="s">
        <v>324</v>
      </c>
      <c r="B303" s="2" t="s">
        <v>32</v>
      </c>
      <c r="C303" s="2" t="s">
        <v>12</v>
      </c>
      <c r="D303" s="2">
        <v>7</v>
      </c>
      <c r="E303" s="2">
        <v>9950282483</v>
      </c>
      <c r="F303" s="2" t="s">
        <v>13</v>
      </c>
      <c r="G303" s="2" t="s">
        <v>20</v>
      </c>
      <c r="H303" s="2" t="s">
        <v>15</v>
      </c>
      <c r="I303" s="2" t="s">
        <v>29</v>
      </c>
      <c r="J303" s="2" t="s">
        <v>22</v>
      </c>
    </row>
    <row r="304" spans="1:10" x14ac:dyDescent="0.3">
      <c r="A304" s="2" t="s">
        <v>325</v>
      </c>
      <c r="B304" s="2" t="s">
        <v>25</v>
      </c>
      <c r="C304" s="2" t="s">
        <v>26</v>
      </c>
      <c r="D304" s="2">
        <v>5</v>
      </c>
      <c r="E304" s="2">
        <v>6501595760</v>
      </c>
      <c r="F304" s="2" t="s">
        <v>19</v>
      </c>
      <c r="G304" s="2" t="s">
        <v>20</v>
      </c>
      <c r="H304" s="2" t="s">
        <v>21</v>
      </c>
      <c r="I304" s="2" t="s">
        <v>37</v>
      </c>
      <c r="J304" s="2" t="s">
        <v>22</v>
      </c>
    </row>
    <row r="305" spans="1:10" x14ac:dyDescent="0.3">
      <c r="A305" s="2" t="s">
        <v>326</v>
      </c>
      <c r="B305" s="2" t="s">
        <v>35</v>
      </c>
      <c r="C305" s="2" t="s">
        <v>36</v>
      </c>
      <c r="D305" s="2">
        <v>1</v>
      </c>
      <c r="E305" s="2">
        <v>6491679736</v>
      </c>
      <c r="F305" s="2" t="s">
        <v>19</v>
      </c>
      <c r="G305" s="2" t="s">
        <v>20</v>
      </c>
      <c r="H305" s="2" t="s">
        <v>15</v>
      </c>
      <c r="I305" s="2" t="s">
        <v>22</v>
      </c>
      <c r="J305" s="2" t="s">
        <v>22</v>
      </c>
    </row>
    <row r="306" spans="1:10" x14ac:dyDescent="0.3">
      <c r="A306" s="2" t="s">
        <v>327</v>
      </c>
      <c r="B306" s="2" t="s">
        <v>11</v>
      </c>
      <c r="C306" s="2" t="s">
        <v>43</v>
      </c>
      <c r="D306" s="2">
        <v>3</v>
      </c>
      <c r="E306" s="2">
        <v>8170221149</v>
      </c>
      <c r="F306" s="2" t="s">
        <v>19</v>
      </c>
      <c r="G306" s="2" t="s">
        <v>20</v>
      </c>
      <c r="H306" s="2" t="s">
        <v>21</v>
      </c>
      <c r="I306" s="2" t="s">
        <v>37</v>
      </c>
      <c r="J306" s="2" t="s">
        <v>23</v>
      </c>
    </row>
    <row r="307" spans="1:10" x14ac:dyDescent="0.3">
      <c r="A307" s="2" t="s">
        <v>328</v>
      </c>
      <c r="B307" s="2" t="s">
        <v>35</v>
      </c>
      <c r="C307" s="2" t="s">
        <v>26</v>
      </c>
      <c r="D307" s="2">
        <v>1</v>
      </c>
      <c r="E307" s="2">
        <v>9419907098</v>
      </c>
      <c r="F307" s="2" t="s">
        <v>13</v>
      </c>
      <c r="G307" s="2" t="s">
        <v>14</v>
      </c>
      <c r="H307" s="2" t="s">
        <v>21</v>
      </c>
      <c r="I307" s="2" t="s">
        <v>41</v>
      </c>
      <c r="J307" s="2" t="s">
        <v>23</v>
      </c>
    </row>
    <row r="308" spans="1:10" x14ac:dyDescent="0.3">
      <c r="A308" s="2" t="s">
        <v>329</v>
      </c>
      <c r="B308" s="2" t="s">
        <v>35</v>
      </c>
      <c r="C308" s="2" t="s">
        <v>26</v>
      </c>
      <c r="D308" s="2">
        <v>1</v>
      </c>
      <c r="E308" s="2">
        <v>8231986838</v>
      </c>
      <c r="F308" s="2" t="s">
        <v>13</v>
      </c>
      <c r="G308" s="2" t="s">
        <v>14</v>
      </c>
      <c r="H308" s="2" t="s">
        <v>15</v>
      </c>
      <c r="I308" s="2" t="s">
        <v>22</v>
      </c>
      <c r="J308" s="2" t="s">
        <v>22</v>
      </c>
    </row>
    <row r="309" spans="1:10" x14ac:dyDescent="0.3">
      <c r="A309" s="2" t="s">
        <v>330</v>
      </c>
      <c r="B309" s="2" t="s">
        <v>11</v>
      </c>
      <c r="C309" s="2" t="s">
        <v>12</v>
      </c>
      <c r="D309" s="2">
        <v>3</v>
      </c>
      <c r="E309" s="2">
        <v>9015229272</v>
      </c>
      <c r="F309" s="2" t="s">
        <v>13</v>
      </c>
      <c r="G309" s="2" t="s">
        <v>14</v>
      </c>
      <c r="H309" s="2" t="s">
        <v>21</v>
      </c>
      <c r="I309" s="2" t="s">
        <v>41</v>
      </c>
      <c r="J309" s="2" t="s">
        <v>22</v>
      </c>
    </row>
    <row r="310" spans="1:10" x14ac:dyDescent="0.3">
      <c r="A310" s="2" t="s">
        <v>331</v>
      </c>
      <c r="B310" s="2" t="s">
        <v>35</v>
      </c>
      <c r="C310" s="2" t="s">
        <v>26</v>
      </c>
      <c r="D310" s="2">
        <v>1</v>
      </c>
      <c r="E310" s="2">
        <v>7589063584</v>
      </c>
      <c r="F310" s="2" t="s">
        <v>13</v>
      </c>
      <c r="G310" s="2" t="s">
        <v>14</v>
      </c>
      <c r="H310" s="2" t="s">
        <v>21</v>
      </c>
      <c r="I310" s="2" t="s">
        <v>22</v>
      </c>
      <c r="J310" s="2" t="s">
        <v>17</v>
      </c>
    </row>
    <row r="311" spans="1:10" x14ac:dyDescent="0.3">
      <c r="A311" s="2" t="s">
        <v>332</v>
      </c>
      <c r="B311" s="2" t="s">
        <v>32</v>
      </c>
      <c r="C311" s="2" t="s">
        <v>36</v>
      </c>
      <c r="D311" s="2">
        <v>7</v>
      </c>
      <c r="E311" s="2">
        <v>8885132052</v>
      </c>
      <c r="F311" s="2" t="s">
        <v>19</v>
      </c>
      <c r="G311" s="2" t="s">
        <v>20</v>
      </c>
      <c r="H311" s="2" t="s">
        <v>15</v>
      </c>
      <c r="I311" s="2" t="s">
        <v>41</v>
      </c>
      <c r="J311" s="2" t="s">
        <v>23</v>
      </c>
    </row>
    <row r="312" spans="1:10" x14ac:dyDescent="0.3">
      <c r="A312" s="2" t="s">
        <v>333</v>
      </c>
      <c r="B312" s="2" t="s">
        <v>32</v>
      </c>
      <c r="C312" s="2" t="s">
        <v>26</v>
      </c>
      <c r="D312" s="2">
        <v>7</v>
      </c>
      <c r="E312" s="2">
        <v>9703709139</v>
      </c>
      <c r="F312" s="2" t="s">
        <v>13</v>
      </c>
      <c r="G312" s="2" t="s">
        <v>20</v>
      </c>
      <c r="H312" s="2" t="s">
        <v>21</v>
      </c>
      <c r="I312" s="2" t="s">
        <v>41</v>
      </c>
      <c r="J312" s="2" t="s">
        <v>23</v>
      </c>
    </row>
    <row r="313" spans="1:10" x14ac:dyDescent="0.3">
      <c r="A313" s="2" t="s">
        <v>334</v>
      </c>
      <c r="B313" s="2" t="s">
        <v>32</v>
      </c>
      <c r="C313" s="2" t="s">
        <v>43</v>
      </c>
      <c r="D313" s="2">
        <v>7</v>
      </c>
      <c r="E313" s="2">
        <v>7901230518</v>
      </c>
      <c r="F313" s="2" t="s">
        <v>13</v>
      </c>
      <c r="G313" s="2" t="s">
        <v>20</v>
      </c>
      <c r="H313" s="2" t="s">
        <v>21</v>
      </c>
      <c r="I313" s="2" t="s">
        <v>29</v>
      </c>
      <c r="J313" s="2" t="s">
        <v>22</v>
      </c>
    </row>
    <row r="314" spans="1:10" x14ac:dyDescent="0.3">
      <c r="A314" s="2" t="s">
        <v>335</v>
      </c>
      <c r="B314" s="2" t="s">
        <v>35</v>
      </c>
      <c r="C314" s="2" t="s">
        <v>12</v>
      </c>
      <c r="D314" s="2">
        <v>1</v>
      </c>
      <c r="E314" s="2">
        <v>6881513688</v>
      </c>
      <c r="F314" s="2" t="s">
        <v>19</v>
      </c>
      <c r="G314" s="2" t="s">
        <v>14</v>
      </c>
      <c r="H314" s="2" t="s">
        <v>21</v>
      </c>
      <c r="I314" s="2" t="s">
        <v>22</v>
      </c>
      <c r="J314" s="2" t="s">
        <v>17</v>
      </c>
    </row>
    <row r="315" spans="1:10" x14ac:dyDescent="0.3">
      <c r="A315" s="2" t="s">
        <v>336</v>
      </c>
      <c r="B315" s="2" t="s">
        <v>25</v>
      </c>
      <c r="C315" s="2" t="s">
        <v>33</v>
      </c>
      <c r="D315" s="2">
        <v>5</v>
      </c>
      <c r="E315" s="2">
        <v>9108905407</v>
      </c>
      <c r="F315" s="2" t="s">
        <v>19</v>
      </c>
      <c r="G315" s="2" t="s">
        <v>14</v>
      </c>
      <c r="H315" s="2" t="s">
        <v>21</v>
      </c>
      <c r="I315" s="2" t="s">
        <v>41</v>
      </c>
      <c r="J315" s="2" t="s">
        <v>22</v>
      </c>
    </row>
    <row r="316" spans="1:10" x14ac:dyDescent="0.3">
      <c r="A316" s="2" t="s">
        <v>337</v>
      </c>
      <c r="B316" s="2" t="s">
        <v>35</v>
      </c>
      <c r="C316" s="2" t="s">
        <v>12</v>
      </c>
      <c r="D316" s="2">
        <v>1</v>
      </c>
      <c r="E316" s="2">
        <v>9382482365</v>
      </c>
      <c r="F316" s="2" t="s">
        <v>19</v>
      </c>
      <c r="G316" s="2" t="s">
        <v>14</v>
      </c>
      <c r="H316" s="2" t="s">
        <v>15</v>
      </c>
      <c r="I316" s="2" t="s">
        <v>22</v>
      </c>
      <c r="J316" s="2" t="s">
        <v>23</v>
      </c>
    </row>
    <row r="317" spans="1:10" x14ac:dyDescent="0.3">
      <c r="A317" s="2" t="s">
        <v>338</v>
      </c>
      <c r="B317" s="2" t="s">
        <v>32</v>
      </c>
      <c r="C317" s="2" t="s">
        <v>12</v>
      </c>
      <c r="D317" s="2">
        <v>7</v>
      </c>
      <c r="E317" s="2">
        <v>9176378136</v>
      </c>
      <c r="F317" s="2" t="s">
        <v>13</v>
      </c>
      <c r="G317" s="2" t="s">
        <v>14</v>
      </c>
      <c r="H317" s="2" t="s">
        <v>15</v>
      </c>
      <c r="I317" s="2" t="s">
        <v>22</v>
      </c>
      <c r="J317" s="2" t="s">
        <v>23</v>
      </c>
    </row>
    <row r="318" spans="1:10" x14ac:dyDescent="0.3">
      <c r="A318" s="2" t="s">
        <v>339</v>
      </c>
      <c r="B318" s="2" t="s">
        <v>11</v>
      </c>
      <c r="C318" s="2" t="s">
        <v>43</v>
      </c>
      <c r="D318" s="2">
        <v>3</v>
      </c>
      <c r="E318" s="2">
        <v>8357282905</v>
      </c>
      <c r="F318" s="2" t="s">
        <v>13</v>
      </c>
      <c r="G318" s="2" t="s">
        <v>20</v>
      </c>
      <c r="H318" s="2" t="s">
        <v>21</v>
      </c>
      <c r="I318" s="2" t="s">
        <v>22</v>
      </c>
      <c r="J318" s="2" t="s">
        <v>22</v>
      </c>
    </row>
    <row r="319" spans="1:10" x14ac:dyDescent="0.3">
      <c r="A319" s="2" t="s">
        <v>340</v>
      </c>
      <c r="B319" s="2" t="s">
        <v>35</v>
      </c>
      <c r="C319" s="2" t="s">
        <v>26</v>
      </c>
      <c r="D319" s="2">
        <v>1</v>
      </c>
      <c r="E319" s="2">
        <v>8487440378</v>
      </c>
      <c r="F319" s="2" t="s">
        <v>19</v>
      </c>
      <c r="G319" s="2" t="s">
        <v>20</v>
      </c>
      <c r="H319" s="2" t="s">
        <v>21</v>
      </c>
      <c r="I319" s="2" t="s">
        <v>22</v>
      </c>
      <c r="J319" s="2" t="s">
        <v>22</v>
      </c>
    </row>
    <row r="320" spans="1:10" x14ac:dyDescent="0.3">
      <c r="A320" s="2" t="s">
        <v>341</v>
      </c>
      <c r="B320" s="2" t="s">
        <v>35</v>
      </c>
      <c r="C320" s="2" t="s">
        <v>26</v>
      </c>
      <c r="D320" s="2">
        <v>1</v>
      </c>
      <c r="E320" s="2">
        <v>7801236636</v>
      </c>
      <c r="F320" s="2" t="s">
        <v>19</v>
      </c>
      <c r="G320" s="2" t="s">
        <v>20</v>
      </c>
      <c r="H320" s="2" t="s">
        <v>21</v>
      </c>
      <c r="I320" s="2" t="s">
        <v>27</v>
      </c>
      <c r="J320" s="2" t="s">
        <v>23</v>
      </c>
    </row>
    <row r="321" spans="1:10" x14ac:dyDescent="0.3">
      <c r="A321" s="2" t="s">
        <v>342</v>
      </c>
      <c r="B321" s="2" t="s">
        <v>11</v>
      </c>
      <c r="C321" s="2" t="s">
        <v>26</v>
      </c>
      <c r="D321" s="2">
        <v>3</v>
      </c>
      <c r="E321" s="2">
        <v>6887661013</v>
      </c>
      <c r="F321" s="2" t="s">
        <v>13</v>
      </c>
      <c r="G321" s="2" t="s">
        <v>20</v>
      </c>
      <c r="H321" s="2" t="s">
        <v>15</v>
      </c>
      <c r="I321" s="2" t="s">
        <v>37</v>
      </c>
      <c r="J321" s="2" t="s">
        <v>22</v>
      </c>
    </row>
    <row r="322" spans="1:10" x14ac:dyDescent="0.3">
      <c r="A322" s="2" t="s">
        <v>343</v>
      </c>
      <c r="B322" s="2" t="s">
        <v>35</v>
      </c>
      <c r="C322" s="2" t="s">
        <v>12</v>
      </c>
      <c r="D322" s="2">
        <v>1</v>
      </c>
      <c r="E322" s="2">
        <v>7819681315</v>
      </c>
      <c r="F322" s="2" t="s">
        <v>19</v>
      </c>
      <c r="G322" s="2" t="s">
        <v>14</v>
      </c>
      <c r="H322" s="2" t="s">
        <v>15</v>
      </c>
      <c r="I322" s="2" t="s">
        <v>41</v>
      </c>
      <c r="J322" s="2" t="s">
        <v>22</v>
      </c>
    </row>
    <row r="323" spans="1:10" x14ac:dyDescent="0.3">
      <c r="A323" s="2" t="s">
        <v>344</v>
      </c>
      <c r="B323" s="2" t="s">
        <v>32</v>
      </c>
      <c r="C323" s="2" t="s">
        <v>12</v>
      </c>
      <c r="D323" s="2">
        <v>7</v>
      </c>
      <c r="E323" s="2">
        <v>8087335119</v>
      </c>
      <c r="F323" s="2" t="s">
        <v>13</v>
      </c>
      <c r="G323" s="2" t="s">
        <v>20</v>
      </c>
      <c r="H323" s="2" t="s">
        <v>21</v>
      </c>
      <c r="I323" s="2" t="s">
        <v>16</v>
      </c>
      <c r="J323" s="2" t="s">
        <v>22</v>
      </c>
    </row>
    <row r="324" spans="1:10" x14ac:dyDescent="0.3">
      <c r="A324" s="2" t="s">
        <v>345</v>
      </c>
      <c r="B324" s="2" t="s">
        <v>25</v>
      </c>
      <c r="C324" s="2" t="s">
        <v>33</v>
      </c>
      <c r="D324" s="2">
        <v>5</v>
      </c>
      <c r="E324" s="2">
        <v>7241865784</v>
      </c>
      <c r="F324" s="2" t="s">
        <v>19</v>
      </c>
      <c r="G324" s="2" t="s">
        <v>14</v>
      </c>
      <c r="H324" s="2" t="s">
        <v>21</v>
      </c>
      <c r="I324" s="2" t="s">
        <v>27</v>
      </c>
      <c r="J324" s="2" t="s">
        <v>22</v>
      </c>
    </row>
    <row r="325" spans="1:10" x14ac:dyDescent="0.3">
      <c r="A325" s="2" t="s">
        <v>346</v>
      </c>
      <c r="B325" s="2" t="s">
        <v>25</v>
      </c>
      <c r="C325" s="2" t="s">
        <v>12</v>
      </c>
      <c r="D325" s="2">
        <v>5</v>
      </c>
      <c r="E325" s="2">
        <v>8607035304</v>
      </c>
      <c r="F325" s="2" t="s">
        <v>19</v>
      </c>
      <c r="G325" s="2" t="s">
        <v>20</v>
      </c>
      <c r="H325" s="2" t="s">
        <v>21</v>
      </c>
      <c r="I325" s="2" t="s">
        <v>27</v>
      </c>
      <c r="J325" s="2" t="s">
        <v>22</v>
      </c>
    </row>
    <row r="326" spans="1:10" x14ac:dyDescent="0.3">
      <c r="A326" s="2" t="s">
        <v>347</v>
      </c>
      <c r="B326" s="2" t="s">
        <v>32</v>
      </c>
      <c r="C326" s="2" t="s">
        <v>43</v>
      </c>
      <c r="D326" s="2">
        <v>7</v>
      </c>
      <c r="E326" s="2">
        <v>9360091103</v>
      </c>
      <c r="F326" s="2" t="s">
        <v>19</v>
      </c>
      <c r="G326" s="2" t="s">
        <v>20</v>
      </c>
      <c r="H326" s="2" t="s">
        <v>21</v>
      </c>
      <c r="I326" s="2" t="s">
        <v>16</v>
      </c>
      <c r="J326" s="2" t="s">
        <v>22</v>
      </c>
    </row>
    <row r="327" spans="1:10" x14ac:dyDescent="0.3">
      <c r="A327" s="2" t="s">
        <v>348</v>
      </c>
      <c r="B327" s="2" t="s">
        <v>32</v>
      </c>
      <c r="C327" s="2" t="s">
        <v>36</v>
      </c>
      <c r="D327" s="2">
        <v>7</v>
      </c>
      <c r="E327" s="2">
        <v>9935742634</v>
      </c>
      <c r="F327" s="2" t="s">
        <v>13</v>
      </c>
      <c r="G327" s="2" t="s">
        <v>14</v>
      </c>
      <c r="H327" s="2" t="s">
        <v>21</v>
      </c>
      <c r="I327" s="2" t="s">
        <v>22</v>
      </c>
      <c r="J327" s="2" t="s">
        <v>22</v>
      </c>
    </row>
    <row r="328" spans="1:10" x14ac:dyDescent="0.3">
      <c r="A328" s="2" t="s">
        <v>349</v>
      </c>
      <c r="B328" s="2" t="s">
        <v>32</v>
      </c>
      <c r="C328" s="2" t="s">
        <v>36</v>
      </c>
      <c r="D328" s="2">
        <v>7</v>
      </c>
      <c r="E328" s="2">
        <v>9330981780</v>
      </c>
      <c r="F328" s="2" t="s">
        <v>19</v>
      </c>
      <c r="G328" s="2" t="s">
        <v>20</v>
      </c>
      <c r="H328" s="2" t="s">
        <v>15</v>
      </c>
      <c r="I328" s="2" t="s">
        <v>22</v>
      </c>
      <c r="J328" s="2" t="s">
        <v>17</v>
      </c>
    </row>
    <row r="329" spans="1:10" x14ac:dyDescent="0.3">
      <c r="A329" s="2" t="s">
        <v>350</v>
      </c>
      <c r="B329" s="2" t="s">
        <v>25</v>
      </c>
      <c r="C329" s="2" t="s">
        <v>33</v>
      </c>
      <c r="D329" s="2">
        <v>5</v>
      </c>
      <c r="E329" s="2">
        <v>9655386925</v>
      </c>
      <c r="F329" s="2" t="s">
        <v>19</v>
      </c>
      <c r="G329" s="2" t="s">
        <v>20</v>
      </c>
      <c r="H329" s="2" t="s">
        <v>15</v>
      </c>
      <c r="I329" s="2" t="s">
        <v>22</v>
      </c>
      <c r="J329" s="2" t="s">
        <v>22</v>
      </c>
    </row>
    <row r="330" spans="1:10" x14ac:dyDescent="0.3">
      <c r="A330" s="2" t="s">
        <v>351</v>
      </c>
      <c r="B330" s="2" t="s">
        <v>11</v>
      </c>
      <c r="C330" s="2" t="s">
        <v>26</v>
      </c>
      <c r="D330" s="2">
        <v>3</v>
      </c>
      <c r="E330" s="2">
        <v>7748109259</v>
      </c>
      <c r="F330" s="2" t="s">
        <v>13</v>
      </c>
      <c r="G330" s="2" t="s">
        <v>20</v>
      </c>
      <c r="H330" s="2" t="s">
        <v>15</v>
      </c>
      <c r="I330" s="2" t="s">
        <v>41</v>
      </c>
      <c r="J330" s="2" t="s">
        <v>22</v>
      </c>
    </row>
    <row r="331" spans="1:10" x14ac:dyDescent="0.3">
      <c r="A331" s="2" t="s">
        <v>352</v>
      </c>
      <c r="B331" s="2" t="s">
        <v>35</v>
      </c>
      <c r="C331" s="2" t="s">
        <v>36</v>
      </c>
      <c r="D331" s="2">
        <v>1</v>
      </c>
      <c r="E331" s="2">
        <v>9957198283</v>
      </c>
      <c r="F331" s="2" t="s">
        <v>13</v>
      </c>
      <c r="G331" s="2" t="s">
        <v>20</v>
      </c>
      <c r="H331" s="2" t="s">
        <v>21</v>
      </c>
      <c r="I331" s="2" t="s">
        <v>22</v>
      </c>
      <c r="J331" s="2" t="s">
        <v>22</v>
      </c>
    </row>
    <row r="332" spans="1:10" x14ac:dyDescent="0.3">
      <c r="A332" s="2" t="s">
        <v>353</v>
      </c>
      <c r="B332" s="2" t="s">
        <v>25</v>
      </c>
      <c r="C332" s="2" t="s">
        <v>36</v>
      </c>
      <c r="D332" s="2">
        <v>5</v>
      </c>
      <c r="E332" s="2">
        <v>8940121225</v>
      </c>
      <c r="F332" s="2" t="s">
        <v>19</v>
      </c>
      <c r="G332" s="2" t="s">
        <v>14</v>
      </c>
      <c r="H332" s="2" t="s">
        <v>21</v>
      </c>
      <c r="I332" s="2" t="s">
        <v>29</v>
      </c>
      <c r="J332" s="2" t="s">
        <v>22</v>
      </c>
    </row>
    <row r="333" spans="1:10" x14ac:dyDescent="0.3">
      <c r="A333" s="2" t="s">
        <v>354</v>
      </c>
      <c r="B333" s="2" t="s">
        <v>25</v>
      </c>
      <c r="C333" s="2" t="s">
        <v>12</v>
      </c>
      <c r="D333" s="2">
        <v>5</v>
      </c>
      <c r="E333" s="2">
        <v>8782081790</v>
      </c>
      <c r="F333" s="2" t="s">
        <v>13</v>
      </c>
      <c r="G333" s="2" t="s">
        <v>20</v>
      </c>
      <c r="H333" s="2" t="s">
        <v>15</v>
      </c>
      <c r="I333" s="2" t="s">
        <v>22</v>
      </c>
      <c r="J333" s="2" t="s">
        <v>23</v>
      </c>
    </row>
    <row r="334" spans="1:10" x14ac:dyDescent="0.3">
      <c r="A334" s="2" t="s">
        <v>355</v>
      </c>
      <c r="B334" s="2" t="s">
        <v>35</v>
      </c>
      <c r="C334" s="2" t="s">
        <v>43</v>
      </c>
      <c r="D334" s="2">
        <v>1</v>
      </c>
      <c r="E334" s="2">
        <v>9576395488</v>
      </c>
      <c r="F334" s="2" t="s">
        <v>13</v>
      </c>
      <c r="G334" s="2" t="s">
        <v>20</v>
      </c>
      <c r="H334" s="2" t="s">
        <v>15</v>
      </c>
      <c r="I334" s="2" t="s">
        <v>22</v>
      </c>
      <c r="J334" s="2" t="s">
        <v>17</v>
      </c>
    </row>
    <row r="335" spans="1:10" x14ac:dyDescent="0.3">
      <c r="A335" s="2" t="s">
        <v>356</v>
      </c>
      <c r="B335" s="2" t="s">
        <v>11</v>
      </c>
      <c r="C335" s="2" t="s">
        <v>33</v>
      </c>
      <c r="D335" s="2">
        <v>3</v>
      </c>
      <c r="E335" s="2">
        <v>6505490679</v>
      </c>
      <c r="F335" s="2" t="s">
        <v>13</v>
      </c>
      <c r="G335" s="2" t="s">
        <v>20</v>
      </c>
      <c r="H335" s="2" t="s">
        <v>21</v>
      </c>
      <c r="I335" s="2" t="s">
        <v>22</v>
      </c>
      <c r="J335" s="2" t="s">
        <v>22</v>
      </c>
    </row>
    <row r="336" spans="1:10" x14ac:dyDescent="0.3">
      <c r="A336" s="2" t="s">
        <v>357</v>
      </c>
      <c r="B336" s="2" t="s">
        <v>35</v>
      </c>
      <c r="C336" s="2" t="s">
        <v>26</v>
      </c>
      <c r="D336" s="2">
        <v>1</v>
      </c>
      <c r="E336" s="2">
        <v>9284636166</v>
      </c>
      <c r="F336" s="2" t="s">
        <v>19</v>
      </c>
      <c r="G336" s="2" t="s">
        <v>20</v>
      </c>
      <c r="H336" s="2" t="s">
        <v>21</v>
      </c>
      <c r="I336" s="2" t="s">
        <v>41</v>
      </c>
      <c r="J336" s="2" t="s">
        <v>22</v>
      </c>
    </row>
    <row r="337" spans="1:10" x14ac:dyDescent="0.3">
      <c r="A337" s="2" t="s">
        <v>358</v>
      </c>
      <c r="B337" s="2" t="s">
        <v>11</v>
      </c>
      <c r="C337" s="2" t="s">
        <v>12</v>
      </c>
      <c r="D337" s="2">
        <v>3</v>
      </c>
      <c r="E337" s="2">
        <v>8762525544</v>
      </c>
      <c r="F337" s="2" t="s">
        <v>19</v>
      </c>
      <c r="G337" s="2" t="s">
        <v>20</v>
      </c>
      <c r="H337" s="2" t="s">
        <v>15</v>
      </c>
      <c r="I337" s="2" t="s">
        <v>41</v>
      </c>
      <c r="J337" s="2" t="s">
        <v>22</v>
      </c>
    </row>
    <row r="338" spans="1:10" x14ac:dyDescent="0.3">
      <c r="A338" s="2" t="s">
        <v>359</v>
      </c>
      <c r="B338" s="2" t="s">
        <v>35</v>
      </c>
      <c r="C338" s="2" t="s">
        <v>26</v>
      </c>
      <c r="D338" s="2">
        <v>1</v>
      </c>
      <c r="E338" s="2">
        <v>6274514568</v>
      </c>
      <c r="F338" s="2" t="s">
        <v>19</v>
      </c>
      <c r="G338" s="2" t="s">
        <v>14</v>
      </c>
      <c r="H338" s="2" t="s">
        <v>21</v>
      </c>
      <c r="I338" s="2" t="s">
        <v>29</v>
      </c>
      <c r="J338" s="2" t="s">
        <v>22</v>
      </c>
    </row>
    <row r="339" spans="1:10" x14ac:dyDescent="0.3">
      <c r="A339" s="2" t="s">
        <v>176</v>
      </c>
      <c r="B339" s="2" t="s">
        <v>32</v>
      </c>
      <c r="C339" s="2" t="s">
        <v>36</v>
      </c>
      <c r="D339" s="2">
        <v>7</v>
      </c>
      <c r="E339" s="2">
        <v>9799634476</v>
      </c>
      <c r="F339" s="2" t="s">
        <v>13</v>
      </c>
      <c r="G339" s="2" t="s">
        <v>20</v>
      </c>
      <c r="H339" s="2" t="s">
        <v>15</v>
      </c>
      <c r="I339" s="2" t="s">
        <v>41</v>
      </c>
      <c r="J339" s="2" t="s">
        <v>22</v>
      </c>
    </row>
    <row r="340" spans="1:10" x14ac:dyDescent="0.3">
      <c r="A340" s="2" t="s">
        <v>360</v>
      </c>
      <c r="B340" s="2" t="s">
        <v>25</v>
      </c>
      <c r="C340" s="2" t="s">
        <v>36</v>
      </c>
      <c r="D340" s="2">
        <v>5</v>
      </c>
      <c r="E340" s="2">
        <v>7310759000</v>
      </c>
      <c r="F340" s="2" t="s">
        <v>19</v>
      </c>
      <c r="G340" s="2" t="s">
        <v>20</v>
      </c>
      <c r="H340" s="2" t="s">
        <v>21</v>
      </c>
      <c r="I340" s="2" t="s">
        <v>22</v>
      </c>
      <c r="J340" s="2" t="s">
        <v>23</v>
      </c>
    </row>
    <row r="341" spans="1:10" x14ac:dyDescent="0.3">
      <c r="A341" s="2" t="s">
        <v>361</v>
      </c>
      <c r="B341" s="2" t="s">
        <v>35</v>
      </c>
      <c r="C341" s="2" t="s">
        <v>26</v>
      </c>
      <c r="D341" s="2">
        <v>1</v>
      </c>
      <c r="E341" s="2">
        <v>8980177303</v>
      </c>
      <c r="F341" s="2" t="s">
        <v>13</v>
      </c>
      <c r="G341" s="2" t="s">
        <v>20</v>
      </c>
      <c r="H341" s="2" t="s">
        <v>15</v>
      </c>
      <c r="I341" s="2" t="s">
        <v>27</v>
      </c>
      <c r="J341" s="2" t="s">
        <v>22</v>
      </c>
    </row>
    <row r="342" spans="1:10" x14ac:dyDescent="0.3">
      <c r="A342" s="2" t="s">
        <v>362</v>
      </c>
      <c r="B342" s="2" t="s">
        <v>35</v>
      </c>
      <c r="C342" s="2" t="s">
        <v>43</v>
      </c>
      <c r="D342" s="2">
        <v>1</v>
      </c>
      <c r="E342" s="2">
        <v>9377927796</v>
      </c>
      <c r="F342" s="2" t="s">
        <v>13</v>
      </c>
      <c r="G342" s="2" t="s">
        <v>20</v>
      </c>
      <c r="H342" s="2" t="s">
        <v>15</v>
      </c>
      <c r="I342" s="2" t="s">
        <v>27</v>
      </c>
      <c r="J342" s="2" t="s">
        <v>22</v>
      </c>
    </row>
    <row r="343" spans="1:10" x14ac:dyDescent="0.3">
      <c r="A343" s="2" t="s">
        <v>363</v>
      </c>
      <c r="B343" s="2" t="s">
        <v>35</v>
      </c>
      <c r="C343" s="2" t="s">
        <v>26</v>
      </c>
      <c r="D343" s="2">
        <v>1</v>
      </c>
      <c r="E343" s="2">
        <v>9292138042</v>
      </c>
      <c r="F343" s="2" t="s">
        <v>13</v>
      </c>
      <c r="G343" s="2" t="s">
        <v>14</v>
      </c>
      <c r="H343" s="2" t="s">
        <v>21</v>
      </c>
      <c r="I343" s="2" t="s">
        <v>29</v>
      </c>
      <c r="J343" s="2" t="s">
        <v>22</v>
      </c>
    </row>
    <row r="344" spans="1:10" x14ac:dyDescent="0.3">
      <c r="A344" s="2" t="s">
        <v>364</v>
      </c>
      <c r="B344" s="2" t="s">
        <v>25</v>
      </c>
      <c r="C344" s="2" t="s">
        <v>33</v>
      </c>
      <c r="D344" s="2">
        <v>5</v>
      </c>
      <c r="E344" s="2">
        <v>9790828308</v>
      </c>
      <c r="F344" s="2" t="s">
        <v>13</v>
      </c>
      <c r="G344" s="2" t="s">
        <v>20</v>
      </c>
      <c r="H344" s="2" t="s">
        <v>21</v>
      </c>
      <c r="I344" s="2" t="s">
        <v>22</v>
      </c>
      <c r="J344" s="2" t="s">
        <v>23</v>
      </c>
    </row>
    <row r="345" spans="1:10" x14ac:dyDescent="0.3">
      <c r="A345" s="2" t="s">
        <v>365</v>
      </c>
      <c r="B345" s="2" t="s">
        <v>32</v>
      </c>
      <c r="C345" s="2" t="s">
        <v>43</v>
      </c>
      <c r="D345" s="2">
        <v>7</v>
      </c>
      <c r="E345" s="2">
        <v>6163066985</v>
      </c>
      <c r="F345" s="2" t="s">
        <v>19</v>
      </c>
      <c r="G345" s="2" t="s">
        <v>14</v>
      </c>
      <c r="H345" s="2" t="s">
        <v>15</v>
      </c>
      <c r="I345" s="2" t="s">
        <v>27</v>
      </c>
      <c r="J345" s="2" t="s">
        <v>22</v>
      </c>
    </row>
    <row r="346" spans="1:10" x14ac:dyDescent="0.3">
      <c r="A346" s="2" t="s">
        <v>366</v>
      </c>
      <c r="B346" s="2" t="s">
        <v>35</v>
      </c>
      <c r="C346" s="2" t="s">
        <v>43</v>
      </c>
      <c r="D346" s="2">
        <v>1</v>
      </c>
      <c r="E346" s="2">
        <v>9133319189</v>
      </c>
      <c r="F346" s="2" t="s">
        <v>13</v>
      </c>
      <c r="G346" s="2" t="s">
        <v>14</v>
      </c>
      <c r="H346" s="2" t="s">
        <v>15</v>
      </c>
      <c r="I346" s="2" t="s">
        <v>22</v>
      </c>
      <c r="J346" s="2" t="s">
        <v>22</v>
      </c>
    </row>
    <row r="347" spans="1:10" x14ac:dyDescent="0.3">
      <c r="A347" s="2" t="s">
        <v>367</v>
      </c>
      <c r="B347" s="2" t="s">
        <v>32</v>
      </c>
      <c r="C347" s="2" t="s">
        <v>43</v>
      </c>
      <c r="D347" s="2">
        <v>7</v>
      </c>
      <c r="E347" s="2">
        <v>6532481726</v>
      </c>
      <c r="F347" s="2" t="s">
        <v>13</v>
      </c>
      <c r="G347" s="2" t="s">
        <v>14</v>
      </c>
      <c r="H347" s="2" t="s">
        <v>15</v>
      </c>
      <c r="I347" s="2" t="s">
        <v>22</v>
      </c>
      <c r="J347" s="2" t="s">
        <v>23</v>
      </c>
    </row>
    <row r="348" spans="1:10" x14ac:dyDescent="0.3">
      <c r="A348" s="2" t="s">
        <v>368</v>
      </c>
      <c r="B348" s="2" t="s">
        <v>32</v>
      </c>
      <c r="C348" s="2" t="s">
        <v>26</v>
      </c>
      <c r="D348" s="2">
        <v>7</v>
      </c>
      <c r="E348" s="2">
        <v>7216116614</v>
      </c>
      <c r="F348" s="2" t="s">
        <v>19</v>
      </c>
      <c r="G348" s="2" t="s">
        <v>14</v>
      </c>
      <c r="H348" s="2" t="s">
        <v>21</v>
      </c>
      <c r="I348" s="2" t="s">
        <v>22</v>
      </c>
      <c r="J348" s="2" t="s">
        <v>17</v>
      </c>
    </row>
    <row r="349" spans="1:10" x14ac:dyDescent="0.3">
      <c r="A349" s="2" t="s">
        <v>369</v>
      </c>
      <c r="B349" s="2" t="s">
        <v>35</v>
      </c>
      <c r="C349" s="2" t="s">
        <v>43</v>
      </c>
      <c r="D349" s="2">
        <v>1</v>
      </c>
      <c r="E349" s="2">
        <v>6222297119</v>
      </c>
      <c r="F349" s="2" t="s">
        <v>19</v>
      </c>
      <c r="G349" s="2" t="s">
        <v>14</v>
      </c>
      <c r="H349" s="2" t="s">
        <v>15</v>
      </c>
      <c r="I349" s="2" t="s">
        <v>27</v>
      </c>
      <c r="J349" s="2" t="s">
        <v>22</v>
      </c>
    </row>
    <row r="350" spans="1:10" x14ac:dyDescent="0.3">
      <c r="A350" s="2" t="s">
        <v>370</v>
      </c>
      <c r="B350" s="2" t="s">
        <v>11</v>
      </c>
      <c r="C350" s="2" t="s">
        <v>43</v>
      </c>
      <c r="D350" s="2">
        <v>3</v>
      </c>
      <c r="E350" s="2">
        <v>8846475206</v>
      </c>
      <c r="F350" s="2" t="s">
        <v>13</v>
      </c>
      <c r="G350" s="2" t="s">
        <v>14</v>
      </c>
      <c r="H350" s="2" t="s">
        <v>15</v>
      </c>
      <c r="I350" s="2" t="s">
        <v>22</v>
      </c>
      <c r="J350" s="2" t="s">
        <v>22</v>
      </c>
    </row>
    <row r="351" spans="1:10" x14ac:dyDescent="0.3">
      <c r="A351" s="2" t="s">
        <v>371</v>
      </c>
      <c r="B351" s="2" t="s">
        <v>35</v>
      </c>
      <c r="C351" s="2" t="s">
        <v>36</v>
      </c>
      <c r="D351" s="2">
        <v>1</v>
      </c>
      <c r="E351" s="2">
        <v>8203381060</v>
      </c>
      <c r="F351" s="2" t="s">
        <v>19</v>
      </c>
      <c r="G351" s="2" t="s">
        <v>20</v>
      </c>
      <c r="H351" s="2" t="s">
        <v>21</v>
      </c>
      <c r="I351" s="2" t="s">
        <v>37</v>
      </c>
      <c r="J351" s="2" t="s">
        <v>23</v>
      </c>
    </row>
    <row r="352" spans="1:10" x14ac:dyDescent="0.3">
      <c r="A352" s="2" t="s">
        <v>372</v>
      </c>
      <c r="B352" s="2" t="s">
        <v>11</v>
      </c>
      <c r="C352" s="2" t="s">
        <v>26</v>
      </c>
      <c r="D352" s="2">
        <v>3</v>
      </c>
      <c r="E352" s="2">
        <v>6564524489</v>
      </c>
      <c r="F352" s="2" t="s">
        <v>13</v>
      </c>
      <c r="G352" s="2" t="s">
        <v>14</v>
      </c>
      <c r="H352" s="2" t="s">
        <v>21</v>
      </c>
      <c r="I352" s="2" t="s">
        <v>22</v>
      </c>
      <c r="J352" s="2" t="s">
        <v>23</v>
      </c>
    </row>
    <row r="353" spans="1:10" x14ac:dyDescent="0.3">
      <c r="A353" s="2" t="s">
        <v>373</v>
      </c>
      <c r="B353" s="2" t="s">
        <v>11</v>
      </c>
      <c r="C353" s="2" t="s">
        <v>26</v>
      </c>
      <c r="D353" s="2">
        <v>3</v>
      </c>
      <c r="E353" s="2">
        <v>9702794458</v>
      </c>
      <c r="F353" s="2" t="s">
        <v>19</v>
      </c>
      <c r="G353" s="2" t="s">
        <v>14</v>
      </c>
      <c r="H353" s="2" t="s">
        <v>15</v>
      </c>
      <c r="I353" s="2" t="s">
        <v>37</v>
      </c>
      <c r="J353" s="2" t="s">
        <v>17</v>
      </c>
    </row>
    <row r="354" spans="1:10" x14ac:dyDescent="0.3">
      <c r="A354" s="2" t="s">
        <v>374</v>
      </c>
      <c r="B354" s="2" t="s">
        <v>35</v>
      </c>
      <c r="C354" s="2" t="s">
        <v>33</v>
      </c>
      <c r="D354" s="2">
        <v>1</v>
      </c>
      <c r="E354" s="2">
        <v>9197694366</v>
      </c>
      <c r="F354" s="2" t="s">
        <v>19</v>
      </c>
      <c r="G354" s="2" t="s">
        <v>14</v>
      </c>
      <c r="H354" s="2" t="s">
        <v>15</v>
      </c>
      <c r="I354" s="2" t="s">
        <v>41</v>
      </c>
      <c r="J354" s="2" t="s">
        <v>23</v>
      </c>
    </row>
    <row r="355" spans="1:10" x14ac:dyDescent="0.3">
      <c r="A355" s="2" t="s">
        <v>375</v>
      </c>
      <c r="B355" s="2" t="s">
        <v>32</v>
      </c>
      <c r="C355" s="2" t="s">
        <v>26</v>
      </c>
      <c r="D355" s="2">
        <v>7</v>
      </c>
      <c r="E355" s="2">
        <v>7882395101</v>
      </c>
      <c r="F355" s="2" t="s">
        <v>19</v>
      </c>
      <c r="G355" s="2" t="s">
        <v>14</v>
      </c>
      <c r="H355" s="2" t="s">
        <v>21</v>
      </c>
      <c r="I355" s="2" t="s">
        <v>16</v>
      </c>
      <c r="J355" s="2" t="s">
        <v>23</v>
      </c>
    </row>
    <row r="356" spans="1:10" x14ac:dyDescent="0.3">
      <c r="A356" s="2" t="s">
        <v>376</v>
      </c>
      <c r="B356" s="2" t="s">
        <v>11</v>
      </c>
      <c r="C356" s="2" t="s">
        <v>26</v>
      </c>
      <c r="D356" s="2">
        <v>3</v>
      </c>
      <c r="E356" s="2">
        <v>9878298998</v>
      </c>
      <c r="F356" s="2" t="s">
        <v>13</v>
      </c>
      <c r="G356" s="2" t="s">
        <v>14</v>
      </c>
      <c r="H356" s="2" t="s">
        <v>15</v>
      </c>
      <c r="I356" s="2" t="s">
        <v>22</v>
      </c>
      <c r="J356" s="2" t="s">
        <v>22</v>
      </c>
    </row>
    <row r="357" spans="1:10" x14ac:dyDescent="0.3">
      <c r="A357" s="2" t="s">
        <v>377</v>
      </c>
      <c r="B357" s="2" t="s">
        <v>35</v>
      </c>
      <c r="C357" s="2" t="s">
        <v>12</v>
      </c>
      <c r="D357" s="2">
        <v>1</v>
      </c>
      <c r="E357" s="2">
        <v>7321579557</v>
      </c>
      <c r="F357" s="2" t="s">
        <v>19</v>
      </c>
      <c r="G357" s="2" t="s">
        <v>20</v>
      </c>
      <c r="H357" s="2" t="s">
        <v>15</v>
      </c>
      <c r="I357" s="2" t="s">
        <v>22</v>
      </c>
      <c r="J357" s="2" t="s">
        <v>17</v>
      </c>
    </row>
    <row r="358" spans="1:10" x14ac:dyDescent="0.3">
      <c r="A358" s="2" t="s">
        <v>378</v>
      </c>
      <c r="B358" s="2" t="s">
        <v>25</v>
      </c>
      <c r="C358" s="2" t="s">
        <v>43</v>
      </c>
      <c r="D358" s="2">
        <v>5</v>
      </c>
      <c r="E358" s="2">
        <v>9319351231</v>
      </c>
      <c r="F358" s="2" t="s">
        <v>13</v>
      </c>
      <c r="G358" s="2" t="s">
        <v>20</v>
      </c>
      <c r="H358" s="2" t="s">
        <v>15</v>
      </c>
      <c r="I358" s="2" t="s">
        <v>29</v>
      </c>
      <c r="J358" s="2" t="s">
        <v>17</v>
      </c>
    </row>
    <row r="359" spans="1:10" x14ac:dyDescent="0.3">
      <c r="A359" s="2" t="s">
        <v>379</v>
      </c>
      <c r="B359" s="2" t="s">
        <v>25</v>
      </c>
      <c r="C359" s="2" t="s">
        <v>26</v>
      </c>
      <c r="D359" s="2">
        <v>5</v>
      </c>
      <c r="E359" s="2">
        <v>8854114255</v>
      </c>
      <c r="F359" s="2" t="s">
        <v>19</v>
      </c>
      <c r="G359" s="2" t="s">
        <v>14</v>
      </c>
      <c r="H359" s="2" t="s">
        <v>21</v>
      </c>
      <c r="I359" s="2" t="s">
        <v>22</v>
      </c>
      <c r="J359" s="2" t="s">
        <v>23</v>
      </c>
    </row>
    <row r="360" spans="1:10" x14ac:dyDescent="0.3">
      <c r="A360" s="2" t="s">
        <v>380</v>
      </c>
      <c r="B360" s="2" t="s">
        <v>25</v>
      </c>
      <c r="C360" s="2" t="s">
        <v>43</v>
      </c>
      <c r="D360" s="2">
        <v>5</v>
      </c>
      <c r="E360" s="2">
        <v>8487251900</v>
      </c>
      <c r="F360" s="2" t="s">
        <v>13</v>
      </c>
      <c r="G360" s="2" t="s">
        <v>20</v>
      </c>
      <c r="H360" s="2" t="s">
        <v>21</v>
      </c>
      <c r="I360" s="2" t="s">
        <v>22</v>
      </c>
      <c r="J360" s="2" t="s">
        <v>17</v>
      </c>
    </row>
    <row r="361" spans="1:10" x14ac:dyDescent="0.3">
      <c r="A361" s="2" t="s">
        <v>381</v>
      </c>
      <c r="B361" s="2" t="s">
        <v>25</v>
      </c>
      <c r="C361" s="2" t="s">
        <v>26</v>
      </c>
      <c r="D361" s="2">
        <v>5</v>
      </c>
      <c r="E361" s="2">
        <v>9557479819</v>
      </c>
      <c r="F361" s="2" t="s">
        <v>13</v>
      </c>
      <c r="G361" s="2" t="s">
        <v>20</v>
      </c>
      <c r="H361" s="2" t="s">
        <v>15</v>
      </c>
      <c r="I361" s="2" t="s">
        <v>41</v>
      </c>
      <c r="J361" s="2" t="s">
        <v>17</v>
      </c>
    </row>
    <row r="362" spans="1:10" x14ac:dyDescent="0.3">
      <c r="A362" s="2" t="s">
        <v>382</v>
      </c>
      <c r="B362" s="2" t="s">
        <v>25</v>
      </c>
      <c r="C362" s="2" t="s">
        <v>36</v>
      </c>
      <c r="D362" s="2">
        <v>5</v>
      </c>
      <c r="E362" s="2">
        <v>6041006304</v>
      </c>
      <c r="F362" s="2" t="s">
        <v>13</v>
      </c>
      <c r="G362" s="2" t="s">
        <v>14</v>
      </c>
      <c r="H362" s="2" t="s">
        <v>21</v>
      </c>
      <c r="I362" s="2" t="s">
        <v>22</v>
      </c>
      <c r="J362" s="2" t="s">
        <v>22</v>
      </c>
    </row>
    <row r="363" spans="1:10" x14ac:dyDescent="0.3">
      <c r="A363" s="2" t="s">
        <v>383</v>
      </c>
      <c r="B363" s="2" t="s">
        <v>11</v>
      </c>
      <c r="C363" s="2" t="s">
        <v>33</v>
      </c>
      <c r="D363" s="2">
        <v>3</v>
      </c>
      <c r="E363" s="2">
        <v>9691792161</v>
      </c>
      <c r="F363" s="2" t="s">
        <v>19</v>
      </c>
      <c r="G363" s="2" t="s">
        <v>14</v>
      </c>
      <c r="H363" s="2" t="s">
        <v>21</v>
      </c>
      <c r="I363" s="2" t="s">
        <v>27</v>
      </c>
      <c r="J363" s="2" t="s">
        <v>22</v>
      </c>
    </row>
    <row r="364" spans="1:10" x14ac:dyDescent="0.3">
      <c r="A364" s="2" t="s">
        <v>384</v>
      </c>
      <c r="B364" s="2" t="s">
        <v>35</v>
      </c>
      <c r="C364" s="2" t="s">
        <v>26</v>
      </c>
      <c r="D364" s="2">
        <v>1</v>
      </c>
      <c r="E364" s="2">
        <v>9755508431</v>
      </c>
      <c r="F364" s="2" t="s">
        <v>19</v>
      </c>
      <c r="G364" s="2" t="s">
        <v>20</v>
      </c>
      <c r="H364" s="2" t="s">
        <v>21</v>
      </c>
      <c r="I364" s="2" t="s">
        <v>37</v>
      </c>
      <c r="J364" s="2" t="s">
        <v>23</v>
      </c>
    </row>
    <row r="365" spans="1:10" x14ac:dyDescent="0.3">
      <c r="A365" s="2" t="s">
        <v>385</v>
      </c>
      <c r="B365" s="2" t="s">
        <v>11</v>
      </c>
      <c r="C365" s="2" t="s">
        <v>36</v>
      </c>
      <c r="D365" s="2">
        <v>3</v>
      </c>
      <c r="E365" s="2">
        <v>9537716519</v>
      </c>
      <c r="F365" s="2" t="s">
        <v>13</v>
      </c>
      <c r="G365" s="2" t="s">
        <v>20</v>
      </c>
      <c r="H365" s="2" t="s">
        <v>21</v>
      </c>
      <c r="I365" s="2" t="s">
        <v>29</v>
      </c>
      <c r="J365" s="2" t="s">
        <v>17</v>
      </c>
    </row>
    <row r="366" spans="1:10" x14ac:dyDescent="0.3">
      <c r="A366" s="2" t="s">
        <v>386</v>
      </c>
      <c r="B366" s="2" t="s">
        <v>32</v>
      </c>
      <c r="C366" s="2" t="s">
        <v>36</v>
      </c>
      <c r="D366" s="2">
        <v>7</v>
      </c>
      <c r="E366" s="2">
        <v>9720218003</v>
      </c>
      <c r="F366" s="2" t="s">
        <v>13</v>
      </c>
      <c r="G366" s="2" t="s">
        <v>20</v>
      </c>
      <c r="H366" s="2" t="s">
        <v>21</v>
      </c>
      <c r="I366" s="2" t="s">
        <v>37</v>
      </c>
      <c r="J366" s="2" t="s">
        <v>22</v>
      </c>
    </row>
    <row r="367" spans="1:10" x14ac:dyDescent="0.3">
      <c r="A367" s="2" t="s">
        <v>387</v>
      </c>
      <c r="B367" s="2" t="s">
        <v>32</v>
      </c>
      <c r="C367" s="2" t="s">
        <v>26</v>
      </c>
      <c r="D367" s="2">
        <v>7</v>
      </c>
      <c r="E367" s="2">
        <v>8780053545</v>
      </c>
      <c r="F367" s="2" t="s">
        <v>13</v>
      </c>
      <c r="G367" s="2" t="s">
        <v>20</v>
      </c>
      <c r="H367" s="2" t="s">
        <v>21</v>
      </c>
      <c r="I367" s="2" t="s">
        <v>16</v>
      </c>
      <c r="J367" s="2" t="s">
        <v>23</v>
      </c>
    </row>
    <row r="368" spans="1:10" x14ac:dyDescent="0.3">
      <c r="A368" s="2" t="s">
        <v>388</v>
      </c>
      <c r="B368" s="2" t="s">
        <v>25</v>
      </c>
      <c r="C368" s="2" t="s">
        <v>43</v>
      </c>
      <c r="D368" s="2">
        <v>5</v>
      </c>
      <c r="E368" s="2">
        <v>6978398514</v>
      </c>
      <c r="F368" s="2" t="s">
        <v>13</v>
      </c>
      <c r="G368" s="2" t="s">
        <v>20</v>
      </c>
      <c r="H368" s="2" t="s">
        <v>15</v>
      </c>
      <c r="I368" s="2" t="s">
        <v>29</v>
      </c>
      <c r="J368" s="2" t="s">
        <v>17</v>
      </c>
    </row>
    <row r="369" spans="1:10" x14ac:dyDescent="0.3">
      <c r="A369" s="2" t="s">
        <v>389</v>
      </c>
      <c r="B369" s="2" t="s">
        <v>11</v>
      </c>
      <c r="C369" s="2" t="s">
        <v>26</v>
      </c>
      <c r="D369" s="2">
        <v>3</v>
      </c>
      <c r="E369" s="2">
        <v>8261889901</v>
      </c>
      <c r="F369" s="2" t="s">
        <v>19</v>
      </c>
      <c r="G369" s="2" t="s">
        <v>20</v>
      </c>
      <c r="H369" s="2" t="s">
        <v>15</v>
      </c>
      <c r="I369" s="2" t="s">
        <v>29</v>
      </c>
      <c r="J369" s="2" t="s">
        <v>23</v>
      </c>
    </row>
    <row r="370" spans="1:10" x14ac:dyDescent="0.3">
      <c r="A370" s="2" t="s">
        <v>390</v>
      </c>
      <c r="B370" s="2" t="s">
        <v>11</v>
      </c>
      <c r="C370" s="2" t="s">
        <v>36</v>
      </c>
      <c r="D370" s="2">
        <v>3</v>
      </c>
      <c r="E370" s="2">
        <v>9759899733</v>
      </c>
      <c r="F370" s="2" t="s">
        <v>13</v>
      </c>
      <c r="G370" s="2" t="s">
        <v>14</v>
      </c>
      <c r="H370" s="2" t="s">
        <v>21</v>
      </c>
      <c r="I370" s="2" t="s">
        <v>22</v>
      </c>
      <c r="J370" s="2" t="s">
        <v>22</v>
      </c>
    </row>
    <row r="371" spans="1:10" x14ac:dyDescent="0.3">
      <c r="A371" s="2" t="s">
        <v>391</v>
      </c>
      <c r="B371" s="2" t="s">
        <v>25</v>
      </c>
      <c r="C371" s="2" t="s">
        <v>12</v>
      </c>
      <c r="D371" s="2">
        <v>5</v>
      </c>
      <c r="E371" s="2">
        <v>6357350529</v>
      </c>
      <c r="F371" s="2" t="s">
        <v>13</v>
      </c>
      <c r="G371" s="2" t="s">
        <v>14</v>
      </c>
      <c r="H371" s="2" t="s">
        <v>21</v>
      </c>
      <c r="I371" s="2" t="s">
        <v>27</v>
      </c>
      <c r="J371" s="2" t="s">
        <v>23</v>
      </c>
    </row>
    <row r="372" spans="1:10" x14ac:dyDescent="0.3">
      <c r="A372" s="2" t="s">
        <v>392</v>
      </c>
      <c r="B372" s="2" t="s">
        <v>32</v>
      </c>
      <c r="C372" s="2" t="s">
        <v>43</v>
      </c>
      <c r="D372" s="2">
        <v>7</v>
      </c>
      <c r="E372" s="2">
        <v>7774394963</v>
      </c>
      <c r="F372" s="2" t="s">
        <v>13</v>
      </c>
      <c r="G372" s="2" t="s">
        <v>14</v>
      </c>
      <c r="H372" s="2" t="s">
        <v>15</v>
      </c>
      <c r="I372" s="2" t="s">
        <v>22</v>
      </c>
      <c r="J372" s="2" t="s">
        <v>23</v>
      </c>
    </row>
    <row r="373" spans="1:10" x14ac:dyDescent="0.3">
      <c r="A373" s="2" t="s">
        <v>393</v>
      </c>
      <c r="B373" s="2" t="s">
        <v>11</v>
      </c>
      <c r="C373" s="2" t="s">
        <v>26</v>
      </c>
      <c r="D373" s="2">
        <v>3</v>
      </c>
      <c r="E373" s="2">
        <v>6410931184</v>
      </c>
      <c r="F373" s="2" t="s">
        <v>13</v>
      </c>
      <c r="G373" s="2" t="s">
        <v>20</v>
      </c>
      <c r="H373" s="2" t="s">
        <v>15</v>
      </c>
      <c r="I373" s="2" t="s">
        <v>27</v>
      </c>
      <c r="J373" s="2" t="s">
        <v>23</v>
      </c>
    </row>
    <row r="374" spans="1:10" x14ac:dyDescent="0.3">
      <c r="A374" s="2" t="s">
        <v>272</v>
      </c>
      <c r="B374" s="2" t="s">
        <v>11</v>
      </c>
      <c r="C374" s="2" t="s">
        <v>36</v>
      </c>
      <c r="D374" s="2">
        <v>3</v>
      </c>
      <c r="E374" s="2">
        <v>8777180060</v>
      </c>
      <c r="F374" s="2" t="s">
        <v>13</v>
      </c>
      <c r="G374" s="2" t="s">
        <v>14</v>
      </c>
      <c r="H374" s="2" t="s">
        <v>21</v>
      </c>
      <c r="I374" s="2" t="s">
        <v>41</v>
      </c>
      <c r="J374" s="2" t="s">
        <v>23</v>
      </c>
    </row>
    <row r="375" spans="1:10" x14ac:dyDescent="0.3">
      <c r="A375" s="2" t="s">
        <v>394</v>
      </c>
      <c r="B375" s="2" t="s">
        <v>11</v>
      </c>
      <c r="C375" s="2" t="s">
        <v>33</v>
      </c>
      <c r="D375" s="2">
        <v>3</v>
      </c>
      <c r="E375" s="2">
        <v>9416409051</v>
      </c>
      <c r="F375" s="2" t="s">
        <v>13</v>
      </c>
      <c r="G375" s="2" t="s">
        <v>20</v>
      </c>
      <c r="H375" s="2" t="s">
        <v>21</v>
      </c>
      <c r="I375" s="2" t="s">
        <v>22</v>
      </c>
      <c r="J375" s="2" t="s">
        <v>22</v>
      </c>
    </row>
    <row r="376" spans="1:10" x14ac:dyDescent="0.3">
      <c r="A376" s="2" t="s">
        <v>395</v>
      </c>
      <c r="B376" s="2" t="s">
        <v>32</v>
      </c>
      <c r="C376" s="2" t="s">
        <v>26</v>
      </c>
      <c r="D376" s="2">
        <v>7</v>
      </c>
      <c r="E376" s="2">
        <v>6798462618</v>
      </c>
      <c r="F376" s="2" t="s">
        <v>19</v>
      </c>
      <c r="G376" s="2" t="s">
        <v>20</v>
      </c>
      <c r="H376" s="2" t="s">
        <v>21</v>
      </c>
      <c r="I376" s="2" t="s">
        <v>22</v>
      </c>
      <c r="J376" s="2" t="s">
        <v>17</v>
      </c>
    </row>
    <row r="377" spans="1:10" x14ac:dyDescent="0.3">
      <c r="A377" s="2" t="s">
        <v>396</v>
      </c>
      <c r="B377" s="2" t="s">
        <v>11</v>
      </c>
      <c r="C377" s="2" t="s">
        <v>43</v>
      </c>
      <c r="D377" s="2">
        <v>3</v>
      </c>
      <c r="E377" s="2">
        <v>9629823068</v>
      </c>
      <c r="F377" s="2" t="s">
        <v>19</v>
      </c>
      <c r="G377" s="2" t="s">
        <v>20</v>
      </c>
      <c r="H377" s="2" t="s">
        <v>21</v>
      </c>
      <c r="I377" s="2" t="s">
        <v>41</v>
      </c>
      <c r="J377" s="2" t="s">
        <v>22</v>
      </c>
    </row>
    <row r="378" spans="1:10" x14ac:dyDescent="0.3">
      <c r="A378" s="2" t="s">
        <v>397</v>
      </c>
      <c r="B378" s="2" t="s">
        <v>25</v>
      </c>
      <c r="C378" s="2" t="s">
        <v>26</v>
      </c>
      <c r="D378" s="2">
        <v>5</v>
      </c>
      <c r="E378" s="2">
        <v>7228048436</v>
      </c>
      <c r="F378" s="2" t="s">
        <v>19</v>
      </c>
      <c r="G378" s="2" t="s">
        <v>20</v>
      </c>
      <c r="H378" s="2" t="s">
        <v>21</v>
      </c>
      <c r="I378" s="2" t="s">
        <v>22</v>
      </c>
      <c r="J378" s="2" t="s">
        <v>23</v>
      </c>
    </row>
    <row r="379" spans="1:10" x14ac:dyDescent="0.3">
      <c r="A379" s="2" t="s">
        <v>398</v>
      </c>
      <c r="B379" s="2" t="s">
        <v>25</v>
      </c>
      <c r="C379" s="2" t="s">
        <v>26</v>
      </c>
      <c r="D379" s="2">
        <v>5</v>
      </c>
      <c r="E379" s="2">
        <v>8130968865</v>
      </c>
      <c r="F379" s="2" t="s">
        <v>19</v>
      </c>
      <c r="G379" s="2" t="s">
        <v>14</v>
      </c>
      <c r="H379" s="2" t="s">
        <v>15</v>
      </c>
      <c r="I379" s="2" t="s">
        <v>37</v>
      </c>
      <c r="J379" s="2" t="s">
        <v>23</v>
      </c>
    </row>
    <row r="380" spans="1:10" x14ac:dyDescent="0.3">
      <c r="A380" s="2" t="s">
        <v>399</v>
      </c>
      <c r="B380" s="2" t="s">
        <v>25</v>
      </c>
      <c r="C380" s="2" t="s">
        <v>36</v>
      </c>
      <c r="D380" s="2">
        <v>5</v>
      </c>
      <c r="E380" s="2">
        <v>9760540447</v>
      </c>
      <c r="F380" s="2" t="s">
        <v>19</v>
      </c>
      <c r="G380" s="2" t="s">
        <v>20</v>
      </c>
      <c r="H380" s="2" t="s">
        <v>21</v>
      </c>
      <c r="I380" s="2" t="s">
        <v>16</v>
      </c>
      <c r="J380" s="2" t="s">
        <v>17</v>
      </c>
    </row>
    <row r="381" spans="1:10" x14ac:dyDescent="0.3">
      <c r="A381" s="2" t="s">
        <v>400</v>
      </c>
      <c r="B381" s="2" t="s">
        <v>11</v>
      </c>
      <c r="C381" s="2" t="s">
        <v>26</v>
      </c>
      <c r="D381" s="2">
        <v>3</v>
      </c>
      <c r="E381" s="2">
        <v>6065208701</v>
      </c>
      <c r="F381" s="2" t="s">
        <v>19</v>
      </c>
      <c r="G381" s="2" t="s">
        <v>20</v>
      </c>
      <c r="H381" s="2" t="s">
        <v>15</v>
      </c>
      <c r="I381" s="2" t="s">
        <v>27</v>
      </c>
      <c r="J381" s="2" t="s">
        <v>22</v>
      </c>
    </row>
    <row r="382" spans="1:10" x14ac:dyDescent="0.3">
      <c r="A382" s="2" t="s">
        <v>401</v>
      </c>
      <c r="B382" s="2" t="s">
        <v>25</v>
      </c>
      <c r="C382" s="2" t="s">
        <v>26</v>
      </c>
      <c r="D382" s="2">
        <v>5</v>
      </c>
      <c r="E382" s="2">
        <v>9220126639</v>
      </c>
      <c r="F382" s="2" t="s">
        <v>19</v>
      </c>
      <c r="G382" s="2" t="s">
        <v>20</v>
      </c>
      <c r="H382" s="2" t="s">
        <v>21</v>
      </c>
      <c r="I382" s="2" t="s">
        <v>29</v>
      </c>
      <c r="J382" s="2" t="s">
        <v>22</v>
      </c>
    </row>
    <row r="383" spans="1:10" x14ac:dyDescent="0.3">
      <c r="A383" s="2" t="s">
        <v>172</v>
      </c>
      <c r="B383" s="2" t="s">
        <v>25</v>
      </c>
      <c r="C383" s="2" t="s">
        <v>33</v>
      </c>
      <c r="D383" s="2">
        <v>5</v>
      </c>
      <c r="E383" s="2">
        <v>6802897985</v>
      </c>
      <c r="F383" s="2" t="s">
        <v>13</v>
      </c>
      <c r="G383" s="2" t="s">
        <v>20</v>
      </c>
      <c r="H383" s="2" t="s">
        <v>15</v>
      </c>
      <c r="I383" s="2" t="s">
        <v>41</v>
      </c>
      <c r="J383" s="2" t="s">
        <v>22</v>
      </c>
    </row>
    <row r="384" spans="1:10" x14ac:dyDescent="0.3">
      <c r="A384" s="2" t="s">
        <v>402</v>
      </c>
      <c r="B384" s="2" t="s">
        <v>32</v>
      </c>
      <c r="C384" s="2" t="s">
        <v>12</v>
      </c>
      <c r="D384" s="2">
        <v>7</v>
      </c>
      <c r="E384" s="2">
        <v>6001798181</v>
      </c>
      <c r="F384" s="2" t="s">
        <v>13</v>
      </c>
      <c r="G384" s="2" t="s">
        <v>20</v>
      </c>
      <c r="H384" s="2" t="s">
        <v>15</v>
      </c>
      <c r="I384" s="2" t="s">
        <v>27</v>
      </c>
      <c r="J384" s="2" t="s">
        <v>23</v>
      </c>
    </row>
    <row r="385" spans="1:10" x14ac:dyDescent="0.3">
      <c r="A385" s="2" t="s">
        <v>403</v>
      </c>
      <c r="B385" s="2" t="s">
        <v>35</v>
      </c>
      <c r="C385" s="2" t="s">
        <v>43</v>
      </c>
      <c r="D385" s="2">
        <v>1</v>
      </c>
      <c r="E385" s="2">
        <v>6829011064</v>
      </c>
      <c r="F385" s="2" t="s">
        <v>13</v>
      </c>
      <c r="G385" s="2" t="s">
        <v>20</v>
      </c>
      <c r="H385" s="2" t="s">
        <v>21</v>
      </c>
      <c r="I385" s="2" t="s">
        <v>29</v>
      </c>
      <c r="J385" s="2" t="s">
        <v>22</v>
      </c>
    </row>
    <row r="386" spans="1:10" x14ac:dyDescent="0.3">
      <c r="A386" s="2" t="s">
        <v>404</v>
      </c>
      <c r="B386" s="2" t="s">
        <v>32</v>
      </c>
      <c r="C386" s="2" t="s">
        <v>33</v>
      </c>
      <c r="D386" s="2">
        <v>7</v>
      </c>
      <c r="E386" s="2">
        <v>7600235040</v>
      </c>
      <c r="F386" s="2" t="s">
        <v>19</v>
      </c>
      <c r="G386" s="2" t="s">
        <v>20</v>
      </c>
      <c r="H386" s="2" t="s">
        <v>15</v>
      </c>
      <c r="I386" s="2" t="s">
        <v>29</v>
      </c>
      <c r="J386" s="2" t="s">
        <v>22</v>
      </c>
    </row>
    <row r="387" spans="1:10" x14ac:dyDescent="0.3">
      <c r="A387" s="2" t="s">
        <v>405</v>
      </c>
      <c r="B387" s="2" t="s">
        <v>32</v>
      </c>
      <c r="C387" s="2" t="s">
        <v>43</v>
      </c>
      <c r="D387" s="2">
        <v>7</v>
      </c>
      <c r="E387" s="2">
        <v>8201362507</v>
      </c>
      <c r="F387" s="2" t="s">
        <v>19</v>
      </c>
      <c r="G387" s="2" t="s">
        <v>14</v>
      </c>
      <c r="H387" s="2" t="s">
        <v>21</v>
      </c>
      <c r="I387" s="2" t="s">
        <v>22</v>
      </c>
      <c r="J387" s="2" t="s">
        <v>17</v>
      </c>
    </row>
    <row r="388" spans="1:10" x14ac:dyDescent="0.3">
      <c r="A388" s="2" t="s">
        <v>245</v>
      </c>
      <c r="B388" s="2" t="s">
        <v>32</v>
      </c>
      <c r="C388" s="2" t="s">
        <v>12</v>
      </c>
      <c r="D388" s="2">
        <v>7</v>
      </c>
      <c r="E388" s="2">
        <v>9010963256</v>
      </c>
      <c r="F388" s="2" t="s">
        <v>19</v>
      </c>
      <c r="G388" s="2" t="s">
        <v>20</v>
      </c>
      <c r="H388" s="2" t="s">
        <v>21</v>
      </c>
      <c r="I388" s="2" t="s">
        <v>41</v>
      </c>
      <c r="J388" s="2" t="s">
        <v>23</v>
      </c>
    </row>
    <row r="389" spans="1:10" x14ac:dyDescent="0.3">
      <c r="A389" s="2" t="s">
        <v>406</v>
      </c>
      <c r="B389" s="2" t="s">
        <v>25</v>
      </c>
      <c r="C389" s="2" t="s">
        <v>12</v>
      </c>
      <c r="D389" s="2">
        <v>5</v>
      </c>
      <c r="E389" s="2">
        <v>7611044753</v>
      </c>
      <c r="F389" s="2" t="s">
        <v>19</v>
      </c>
      <c r="G389" s="2" t="s">
        <v>14</v>
      </c>
      <c r="H389" s="2" t="s">
        <v>15</v>
      </c>
      <c r="I389" s="2" t="s">
        <v>22</v>
      </c>
      <c r="J389" s="2" t="s">
        <v>17</v>
      </c>
    </row>
    <row r="390" spans="1:10" x14ac:dyDescent="0.3">
      <c r="A390" s="2" t="s">
        <v>407</v>
      </c>
      <c r="B390" s="2" t="s">
        <v>25</v>
      </c>
      <c r="C390" s="2" t="s">
        <v>12</v>
      </c>
      <c r="D390" s="2">
        <v>5</v>
      </c>
      <c r="E390" s="2">
        <v>7670512345</v>
      </c>
      <c r="F390" s="2" t="s">
        <v>13</v>
      </c>
      <c r="G390" s="2" t="s">
        <v>14</v>
      </c>
      <c r="H390" s="2" t="s">
        <v>15</v>
      </c>
      <c r="I390" s="2" t="s">
        <v>16</v>
      </c>
      <c r="J390" s="2" t="s">
        <v>22</v>
      </c>
    </row>
    <row r="391" spans="1:10" x14ac:dyDescent="0.3">
      <c r="A391" s="2" t="s">
        <v>386</v>
      </c>
      <c r="B391" s="2" t="s">
        <v>25</v>
      </c>
      <c r="C391" s="2" t="s">
        <v>12</v>
      </c>
      <c r="D391" s="2">
        <v>5</v>
      </c>
      <c r="E391" s="2">
        <v>7153814034</v>
      </c>
      <c r="F391" s="2" t="s">
        <v>13</v>
      </c>
      <c r="G391" s="2" t="s">
        <v>20</v>
      </c>
      <c r="H391" s="2" t="s">
        <v>21</v>
      </c>
      <c r="I391" s="2" t="s">
        <v>22</v>
      </c>
      <c r="J391" s="2" t="s">
        <v>17</v>
      </c>
    </row>
    <row r="392" spans="1:10" x14ac:dyDescent="0.3">
      <c r="A392" s="2" t="s">
        <v>408</v>
      </c>
      <c r="B392" s="2" t="s">
        <v>35</v>
      </c>
      <c r="C392" s="2" t="s">
        <v>43</v>
      </c>
      <c r="D392" s="2">
        <v>1</v>
      </c>
      <c r="E392" s="2">
        <v>8190064554</v>
      </c>
      <c r="F392" s="2" t="s">
        <v>19</v>
      </c>
      <c r="G392" s="2" t="s">
        <v>14</v>
      </c>
      <c r="H392" s="2" t="s">
        <v>21</v>
      </c>
      <c r="I392" s="2" t="s">
        <v>27</v>
      </c>
      <c r="J392" s="2" t="s">
        <v>23</v>
      </c>
    </row>
    <row r="393" spans="1:10" x14ac:dyDescent="0.3">
      <c r="A393" s="2" t="s">
        <v>409</v>
      </c>
      <c r="B393" s="2" t="s">
        <v>32</v>
      </c>
      <c r="C393" s="2" t="s">
        <v>33</v>
      </c>
      <c r="D393" s="2">
        <v>7</v>
      </c>
      <c r="E393" s="2">
        <v>7038530231</v>
      </c>
      <c r="F393" s="2" t="s">
        <v>19</v>
      </c>
      <c r="G393" s="2" t="s">
        <v>14</v>
      </c>
      <c r="H393" s="2" t="s">
        <v>15</v>
      </c>
      <c r="I393" s="2" t="s">
        <v>22</v>
      </c>
      <c r="J393" s="2" t="s">
        <v>22</v>
      </c>
    </row>
    <row r="394" spans="1:10" x14ac:dyDescent="0.3">
      <c r="A394" s="2" t="s">
        <v>410</v>
      </c>
      <c r="B394" s="2" t="s">
        <v>25</v>
      </c>
      <c r="C394" s="2" t="s">
        <v>12</v>
      </c>
      <c r="D394" s="2">
        <v>5</v>
      </c>
      <c r="E394" s="2">
        <v>6262370299</v>
      </c>
      <c r="F394" s="2" t="s">
        <v>19</v>
      </c>
      <c r="G394" s="2" t="s">
        <v>20</v>
      </c>
      <c r="H394" s="2" t="s">
        <v>15</v>
      </c>
      <c r="I394" s="2" t="s">
        <v>29</v>
      </c>
      <c r="J394" s="2" t="s">
        <v>17</v>
      </c>
    </row>
    <row r="395" spans="1:10" x14ac:dyDescent="0.3">
      <c r="A395" s="2" t="s">
        <v>411</v>
      </c>
      <c r="B395" s="2" t="s">
        <v>25</v>
      </c>
      <c r="C395" s="2" t="s">
        <v>26</v>
      </c>
      <c r="D395" s="2">
        <v>5</v>
      </c>
      <c r="E395" s="2">
        <v>9622874622</v>
      </c>
      <c r="F395" s="2" t="s">
        <v>13</v>
      </c>
      <c r="G395" s="2" t="s">
        <v>14</v>
      </c>
      <c r="H395" s="2" t="s">
        <v>21</v>
      </c>
      <c r="I395" s="2" t="s">
        <v>29</v>
      </c>
      <c r="J395" s="2" t="s">
        <v>22</v>
      </c>
    </row>
    <row r="396" spans="1:10" x14ac:dyDescent="0.3">
      <c r="A396" s="2" t="s">
        <v>412</v>
      </c>
      <c r="B396" s="2" t="s">
        <v>35</v>
      </c>
      <c r="C396" s="2" t="s">
        <v>36</v>
      </c>
      <c r="D396" s="2">
        <v>1</v>
      </c>
      <c r="E396" s="2">
        <v>8867280292</v>
      </c>
      <c r="F396" s="2" t="s">
        <v>13</v>
      </c>
      <c r="G396" s="2" t="s">
        <v>20</v>
      </c>
      <c r="H396" s="2" t="s">
        <v>21</v>
      </c>
      <c r="I396" s="2" t="s">
        <v>41</v>
      </c>
      <c r="J396" s="2" t="s">
        <v>17</v>
      </c>
    </row>
    <row r="397" spans="1:10" x14ac:dyDescent="0.3">
      <c r="A397" s="2" t="s">
        <v>413</v>
      </c>
      <c r="B397" s="2" t="s">
        <v>11</v>
      </c>
      <c r="C397" s="2" t="s">
        <v>26</v>
      </c>
      <c r="D397" s="2">
        <v>3</v>
      </c>
      <c r="E397" s="2">
        <v>6241582747</v>
      </c>
      <c r="F397" s="2" t="s">
        <v>19</v>
      </c>
      <c r="G397" s="2" t="s">
        <v>20</v>
      </c>
      <c r="H397" s="2" t="s">
        <v>15</v>
      </c>
      <c r="I397" s="2" t="s">
        <v>22</v>
      </c>
      <c r="J397" s="2" t="s">
        <v>22</v>
      </c>
    </row>
    <row r="398" spans="1:10" x14ac:dyDescent="0.3">
      <c r="A398" s="2" t="s">
        <v>414</v>
      </c>
      <c r="B398" s="2" t="s">
        <v>35</v>
      </c>
      <c r="C398" s="2" t="s">
        <v>26</v>
      </c>
      <c r="D398" s="2">
        <v>1</v>
      </c>
      <c r="E398" s="2">
        <v>7891554611</v>
      </c>
      <c r="F398" s="2" t="s">
        <v>19</v>
      </c>
      <c r="G398" s="2" t="s">
        <v>20</v>
      </c>
      <c r="H398" s="2" t="s">
        <v>15</v>
      </c>
      <c r="I398" s="2" t="s">
        <v>29</v>
      </c>
      <c r="J398" s="2" t="s">
        <v>23</v>
      </c>
    </row>
    <row r="399" spans="1:10" x14ac:dyDescent="0.3">
      <c r="A399" s="2" t="s">
        <v>256</v>
      </c>
      <c r="B399" s="2" t="s">
        <v>32</v>
      </c>
      <c r="C399" s="2" t="s">
        <v>33</v>
      </c>
      <c r="D399" s="2">
        <v>7</v>
      </c>
      <c r="E399" s="2">
        <v>8252917353</v>
      </c>
      <c r="F399" s="2" t="s">
        <v>19</v>
      </c>
      <c r="G399" s="2" t="s">
        <v>14</v>
      </c>
      <c r="H399" s="2" t="s">
        <v>21</v>
      </c>
      <c r="I399" s="2" t="s">
        <v>22</v>
      </c>
      <c r="J399" s="2" t="s">
        <v>23</v>
      </c>
    </row>
    <row r="400" spans="1:10" x14ac:dyDescent="0.3">
      <c r="A400" s="2" t="s">
        <v>415</v>
      </c>
      <c r="B400" s="2" t="s">
        <v>32</v>
      </c>
      <c r="C400" s="2" t="s">
        <v>12</v>
      </c>
      <c r="D400" s="2">
        <v>7</v>
      </c>
      <c r="E400" s="2">
        <v>6220533732</v>
      </c>
      <c r="F400" s="2" t="s">
        <v>19</v>
      </c>
      <c r="G400" s="2" t="s">
        <v>20</v>
      </c>
      <c r="H400" s="2" t="s">
        <v>21</v>
      </c>
      <c r="I400" s="2" t="s">
        <v>37</v>
      </c>
      <c r="J400" s="2" t="s">
        <v>22</v>
      </c>
    </row>
    <row r="401" spans="1:10" x14ac:dyDescent="0.3">
      <c r="A401" s="2" t="s">
        <v>416</v>
      </c>
      <c r="B401" s="2" t="s">
        <v>32</v>
      </c>
      <c r="C401" s="2" t="s">
        <v>43</v>
      </c>
      <c r="D401" s="2">
        <v>7</v>
      </c>
      <c r="E401" s="2">
        <v>9625590206</v>
      </c>
      <c r="F401" s="2" t="s">
        <v>19</v>
      </c>
      <c r="G401" s="2" t="s">
        <v>20</v>
      </c>
      <c r="H401" s="2" t="s">
        <v>21</v>
      </c>
      <c r="I401" s="2" t="s">
        <v>41</v>
      </c>
      <c r="J401" s="2" t="s">
        <v>23</v>
      </c>
    </row>
    <row r="402" spans="1:10" x14ac:dyDescent="0.3">
      <c r="A402" s="2" t="s">
        <v>417</v>
      </c>
      <c r="B402" s="2" t="s">
        <v>35</v>
      </c>
      <c r="C402" s="2" t="s">
        <v>33</v>
      </c>
      <c r="D402" s="2">
        <v>1</v>
      </c>
      <c r="E402" s="2">
        <v>6532686828</v>
      </c>
      <c r="F402" s="2" t="s">
        <v>19</v>
      </c>
      <c r="G402" s="2" t="s">
        <v>14</v>
      </c>
      <c r="H402" s="2" t="s">
        <v>21</v>
      </c>
      <c r="I402" s="2" t="s">
        <v>29</v>
      </c>
      <c r="J402" s="2" t="s">
        <v>22</v>
      </c>
    </row>
    <row r="403" spans="1:10" x14ac:dyDescent="0.3">
      <c r="A403" s="2" t="s">
        <v>418</v>
      </c>
      <c r="B403" s="2" t="s">
        <v>35</v>
      </c>
      <c r="C403" s="2" t="s">
        <v>12</v>
      </c>
      <c r="D403" s="2">
        <v>1</v>
      </c>
      <c r="E403" s="2">
        <v>8573092728</v>
      </c>
      <c r="F403" s="2" t="s">
        <v>19</v>
      </c>
      <c r="G403" s="2" t="s">
        <v>20</v>
      </c>
      <c r="H403" s="2" t="s">
        <v>21</v>
      </c>
      <c r="I403" s="2" t="s">
        <v>41</v>
      </c>
      <c r="J403" s="2" t="s">
        <v>22</v>
      </c>
    </row>
    <row r="404" spans="1:10" x14ac:dyDescent="0.3">
      <c r="A404" s="2" t="s">
        <v>419</v>
      </c>
      <c r="B404" s="2" t="s">
        <v>35</v>
      </c>
      <c r="C404" s="2" t="s">
        <v>33</v>
      </c>
      <c r="D404" s="2">
        <v>1</v>
      </c>
      <c r="E404" s="2">
        <v>6489472674</v>
      </c>
      <c r="F404" s="2" t="s">
        <v>19</v>
      </c>
      <c r="G404" s="2" t="s">
        <v>14</v>
      </c>
      <c r="H404" s="2" t="s">
        <v>21</v>
      </c>
      <c r="I404" s="2" t="s">
        <v>37</v>
      </c>
      <c r="J404" s="2" t="s">
        <v>22</v>
      </c>
    </row>
    <row r="405" spans="1:10" x14ac:dyDescent="0.3">
      <c r="A405" s="2" t="s">
        <v>420</v>
      </c>
      <c r="B405" s="2" t="s">
        <v>32</v>
      </c>
      <c r="C405" s="2" t="s">
        <v>36</v>
      </c>
      <c r="D405" s="2">
        <v>7</v>
      </c>
      <c r="E405" s="2">
        <v>8442835198</v>
      </c>
      <c r="F405" s="2" t="s">
        <v>13</v>
      </c>
      <c r="G405" s="2" t="s">
        <v>20</v>
      </c>
      <c r="H405" s="2" t="s">
        <v>15</v>
      </c>
      <c r="I405" s="2" t="s">
        <v>22</v>
      </c>
      <c r="J405" s="2" t="s">
        <v>17</v>
      </c>
    </row>
    <row r="406" spans="1:10" x14ac:dyDescent="0.3">
      <c r="A406" s="2" t="s">
        <v>276</v>
      </c>
      <c r="B406" s="2" t="s">
        <v>32</v>
      </c>
      <c r="C406" s="2" t="s">
        <v>12</v>
      </c>
      <c r="D406" s="2">
        <v>7</v>
      </c>
      <c r="E406" s="2">
        <v>7723902708</v>
      </c>
      <c r="F406" s="2" t="s">
        <v>19</v>
      </c>
      <c r="G406" s="2" t="s">
        <v>20</v>
      </c>
      <c r="H406" s="2" t="s">
        <v>15</v>
      </c>
      <c r="I406" s="2" t="s">
        <v>22</v>
      </c>
      <c r="J406" s="2" t="s">
        <v>22</v>
      </c>
    </row>
    <row r="407" spans="1:10" x14ac:dyDescent="0.3">
      <c r="A407" s="2" t="s">
        <v>421</v>
      </c>
      <c r="B407" s="2" t="s">
        <v>11</v>
      </c>
      <c r="C407" s="2" t="s">
        <v>12</v>
      </c>
      <c r="D407" s="2">
        <v>3</v>
      </c>
      <c r="E407" s="2">
        <v>8213058272</v>
      </c>
      <c r="F407" s="2" t="s">
        <v>19</v>
      </c>
      <c r="G407" s="2" t="s">
        <v>14</v>
      </c>
      <c r="H407" s="2" t="s">
        <v>15</v>
      </c>
      <c r="I407" s="2" t="s">
        <v>22</v>
      </c>
      <c r="J407" s="2" t="s">
        <v>17</v>
      </c>
    </row>
    <row r="408" spans="1:10" x14ac:dyDescent="0.3">
      <c r="A408" s="2" t="s">
        <v>422</v>
      </c>
      <c r="B408" s="2" t="s">
        <v>35</v>
      </c>
      <c r="C408" s="2" t="s">
        <v>26</v>
      </c>
      <c r="D408" s="2">
        <v>1</v>
      </c>
      <c r="E408" s="2">
        <v>6224064382</v>
      </c>
      <c r="F408" s="2" t="s">
        <v>13</v>
      </c>
      <c r="G408" s="2" t="s">
        <v>20</v>
      </c>
      <c r="H408" s="2" t="s">
        <v>15</v>
      </c>
      <c r="I408" s="2" t="s">
        <v>37</v>
      </c>
      <c r="J408" s="2" t="s">
        <v>22</v>
      </c>
    </row>
    <row r="409" spans="1:10" x14ac:dyDescent="0.3">
      <c r="A409" s="2" t="s">
        <v>423</v>
      </c>
      <c r="B409" s="2" t="s">
        <v>32</v>
      </c>
      <c r="C409" s="2" t="s">
        <v>36</v>
      </c>
      <c r="D409" s="2">
        <v>7</v>
      </c>
      <c r="E409" s="2">
        <v>6029120214</v>
      </c>
      <c r="F409" s="2" t="s">
        <v>13</v>
      </c>
      <c r="G409" s="2" t="s">
        <v>14</v>
      </c>
      <c r="H409" s="2" t="s">
        <v>21</v>
      </c>
      <c r="I409" s="2" t="s">
        <v>22</v>
      </c>
      <c r="J409" s="2" t="s">
        <v>22</v>
      </c>
    </row>
    <row r="410" spans="1:10" x14ac:dyDescent="0.3">
      <c r="A410" s="2" t="s">
        <v>424</v>
      </c>
      <c r="B410" s="2" t="s">
        <v>11</v>
      </c>
      <c r="C410" s="2" t="s">
        <v>26</v>
      </c>
      <c r="D410" s="2">
        <v>3</v>
      </c>
      <c r="E410" s="2">
        <v>7995892910</v>
      </c>
      <c r="F410" s="2" t="s">
        <v>19</v>
      </c>
      <c r="G410" s="2" t="s">
        <v>20</v>
      </c>
      <c r="H410" s="2" t="s">
        <v>15</v>
      </c>
      <c r="I410" s="2" t="s">
        <v>22</v>
      </c>
      <c r="J410" s="2" t="s">
        <v>23</v>
      </c>
    </row>
    <row r="411" spans="1:10" x14ac:dyDescent="0.3">
      <c r="A411" s="2" t="s">
        <v>425</v>
      </c>
      <c r="B411" s="2" t="s">
        <v>35</v>
      </c>
      <c r="C411" s="2" t="s">
        <v>26</v>
      </c>
      <c r="D411" s="2">
        <v>1</v>
      </c>
      <c r="E411" s="2">
        <v>6746780906</v>
      </c>
      <c r="F411" s="2" t="s">
        <v>19</v>
      </c>
      <c r="G411" s="2" t="s">
        <v>14</v>
      </c>
      <c r="H411" s="2" t="s">
        <v>15</v>
      </c>
      <c r="I411" s="2" t="s">
        <v>22</v>
      </c>
      <c r="J411" s="2" t="s">
        <v>22</v>
      </c>
    </row>
    <row r="412" spans="1:10" x14ac:dyDescent="0.3">
      <c r="A412" s="2" t="s">
        <v>426</v>
      </c>
      <c r="B412" s="2" t="s">
        <v>25</v>
      </c>
      <c r="C412" s="2" t="s">
        <v>36</v>
      </c>
      <c r="D412" s="2">
        <v>5</v>
      </c>
      <c r="E412" s="2">
        <v>6842400297</v>
      </c>
      <c r="F412" s="2" t="s">
        <v>13</v>
      </c>
      <c r="G412" s="2" t="s">
        <v>20</v>
      </c>
      <c r="H412" s="2" t="s">
        <v>21</v>
      </c>
      <c r="I412" s="2" t="s">
        <v>16</v>
      </c>
      <c r="J412" s="2" t="s">
        <v>22</v>
      </c>
    </row>
    <row r="413" spans="1:10" x14ac:dyDescent="0.3">
      <c r="A413" s="2" t="s">
        <v>427</v>
      </c>
      <c r="B413" s="2" t="s">
        <v>32</v>
      </c>
      <c r="C413" s="2" t="s">
        <v>43</v>
      </c>
      <c r="D413" s="2">
        <v>7</v>
      </c>
      <c r="E413" s="2">
        <v>8594447711</v>
      </c>
      <c r="F413" s="2" t="s">
        <v>13</v>
      </c>
      <c r="G413" s="2" t="s">
        <v>20</v>
      </c>
      <c r="H413" s="2" t="s">
        <v>21</v>
      </c>
      <c r="I413" s="2" t="s">
        <v>22</v>
      </c>
      <c r="J413" s="2" t="s">
        <v>17</v>
      </c>
    </row>
    <row r="414" spans="1:10" x14ac:dyDescent="0.3">
      <c r="A414" s="2" t="s">
        <v>428</v>
      </c>
      <c r="B414" s="2" t="s">
        <v>32</v>
      </c>
      <c r="C414" s="2" t="s">
        <v>36</v>
      </c>
      <c r="D414" s="2">
        <v>7</v>
      </c>
      <c r="E414" s="2">
        <v>6636125476</v>
      </c>
      <c r="F414" s="2" t="s">
        <v>13</v>
      </c>
      <c r="G414" s="2" t="s">
        <v>14</v>
      </c>
      <c r="H414" s="2" t="s">
        <v>15</v>
      </c>
      <c r="I414" s="2" t="s">
        <v>41</v>
      </c>
      <c r="J414" s="2" t="s">
        <v>22</v>
      </c>
    </row>
    <row r="415" spans="1:10" x14ac:dyDescent="0.3">
      <c r="A415" s="2" t="s">
        <v>429</v>
      </c>
      <c r="B415" s="2" t="s">
        <v>25</v>
      </c>
      <c r="C415" s="2" t="s">
        <v>12</v>
      </c>
      <c r="D415" s="2">
        <v>5</v>
      </c>
      <c r="E415" s="2">
        <v>7662718863</v>
      </c>
      <c r="F415" s="2" t="s">
        <v>19</v>
      </c>
      <c r="G415" s="2" t="s">
        <v>20</v>
      </c>
      <c r="H415" s="2" t="s">
        <v>21</v>
      </c>
      <c r="I415" s="2" t="s">
        <v>16</v>
      </c>
      <c r="J415" s="2" t="s">
        <v>22</v>
      </c>
    </row>
    <row r="416" spans="1:10" x14ac:dyDescent="0.3">
      <c r="A416" s="2" t="s">
        <v>430</v>
      </c>
      <c r="B416" s="2" t="s">
        <v>11</v>
      </c>
      <c r="C416" s="2" t="s">
        <v>12</v>
      </c>
      <c r="D416" s="2">
        <v>3</v>
      </c>
      <c r="E416" s="2">
        <v>6664080094</v>
      </c>
      <c r="F416" s="2" t="s">
        <v>19</v>
      </c>
      <c r="G416" s="2" t="s">
        <v>14</v>
      </c>
      <c r="H416" s="2" t="s">
        <v>15</v>
      </c>
      <c r="I416" s="2" t="s">
        <v>37</v>
      </c>
      <c r="J416" s="2" t="s">
        <v>23</v>
      </c>
    </row>
    <row r="417" spans="1:10" x14ac:dyDescent="0.3">
      <c r="A417" s="2" t="s">
        <v>431</v>
      </c>
      <c r="B417" s="2" t="s">
        <v>11</v>
      </c>
      <c r="C417" s="2" t="s">
        <v>26</v>
      </c>
      <c r="D417" s="2">
        <v>3</v>
      </c>
      <c r="E417" s="2">
        <v>8852790241</v>
      </c>
      <c r="F417" s="2" t="s">
        <v>19</v>
      </c>
      <c r="G417" s="2" t="s">
        <v>14</v>
      </c>
      <c r="H417" s="2" t="s">
        <v>15</v>
      </c>
      <c r="I417" s="2" t="s">
        <v>16</v>
      </c>
      <c r="J417" s="2" t="s">
        <v>23</v>
      </c>
    </row>
    <row r="418" spans="1:10" x14ac:dyDescent="0.3">
      <c r="A418" s="2" t="s">
        <v>432</v>
      </c>
      <c r="B418" s="2" t="s">
        <v>11</v>
      </c>
      <c r="C418" s="2" t="s">
        <v>12</v>
      </c>
      <c r="D418" s="2">
        <v>3</v>
      </c>
      <c r="E418" s="2">
        <v>6018481124</v>
      </c>
      <c r="F418" s="2" t="s">
        <v>19</v>
      </c>
      <c r="G418" s="2" t="s">
        <v>20</v>
      </c>
      <c r="H418" s="2" t="s">
        <v>15</v>
      </c>
      <c r="I418" s="2" t="s">
        <v>29</v>
      </c>
      <c r="J418" s="2" t="s">
        <v>23</v>
      </c>
    </row>
    <row r="419" spans="1:10" x14ac:dyDescent="0.3">
      <c r="A419" s="2" t="s">
        <v>433</v>
      </c>
      <c r="B419" s="2" t="s">
        <v>32</v>
      </c>
      <c r="C419" s="2" t="s">
        <v>26</v>
      </c>
      <c r="D419" s="2">
        <v>7</v>
      </c>
      <c r="E419" s="2">
        <v>7966532117</v>
      </c>
      <c r="F419" s="2" t="s">
        <v>19</v>
      </c>
      <c r="G419" s="2" t="s">
        <v>14</v>
      </c>
      <c r="H419" s="2" t="s">
        <v>21</v>
      </c>
      <c r="I419" s="2" t="s">
        <v>41</v>
      </c>
      <c r="J419" s="2" t="s">
        <v>22</v>
      </c>
    </row>
    <row r="420" spans="1:10" x14ac:dyDescent="0.3">
      <c r="A420" s="2" t="s">
        <v>434</v>
      </c>
      <c r="B420" s="2" t="s">
        <v>32</v>
      </c>
      <c r="C420" s="2" t="s">
        <v>12</v>
      </c>
      <c r="D420" s="2">
        <v>7</v>
      </c>
      <c r="E420" s="2">
        <v>7639041600</v>
      </c>
      <c r="F420" s="2" t="s">
        <v>13</v>
      </c>
      <c r="G420" s="2" t="s">
        <v>14</v>
      </c>
      <c r="H420" s="2" t="s">
        <v>21</v>
      </c>
      <c r="I420" s="2" t="s">
        <v>37</v>
      </c>
      <c r="J420" s="2" t="s">
        <v>22</v>
      </c>
    </row>
    <row r="421" spans="1:10" x14ac:dyDescent="0.3">
      <c r="A421" s="2" t="s">
        <v>435</v>
      </c>
      <c r="B421" s="2" t="s">
        <v>11</v>
      </c>
      <c r="C421" s="2" t="s">
        <v>36</v>
      </c>
      <c r="D421" s="2">
        <v>3</v>
      </c>
      <c r="E421" s="2">
        <v>8425499906</v>
      </c>
      <c r="F421" s="2" t="s">
        <v>13</v>
      </c>
      <c r="G421" s="2" t="s">
        <v>20</v>
      </c>
      <c r="H421" s="2" t="s">
        <v>15</v>
      </c>
      <c r="I421" s="2" t="s">
        <v>37</v>
      </c>
      <c r="J421" s="2" t="s">
        <v>22</v>
      </c>
    </row>
    <row r="422" spans="1:10" x14ac:dyDescent="0.3">
      <c r="A422" s="2" t="s">
        <v>436</v>
      </c>
      <c r="B422" s="2" t="s">
        <v>25</v>
      </c>
      <c r="C422" s="2" t="s">
        <v>43</v>
      </c>
      <c r="D422" s="2">
        <v>5</v>
      </c>
      <c r="E422" s="2">
        <v>8128479615</v>
      </c>
      <c r="F422" s="2" t="s">
        <v>19</v>
      </c>
      <c r="G422" s="2" t="s">
        <v>20</v>
      </c>
      <c r="H422" s="2" t="s">
        <v>15</v>
      </c>
      <c r="I422" s="2" t="s">
        <v>16</v>
      </c>
      <c r="J422" s="2" t="s">
        <v>22</v>
      </c>
    </row>
    <row r="423" spans="1:10" x14ac:dyDescent="0.3">
      <c r="A423" s="2" t="s">
        <v>437</v>
      </c>
      <c r="B423" s="2" t="s">
        <v>35</v>
      </c>
      <c r="C423" s="2" t="s">
        <v>36</v>
      </c>
      <c r="D423" s="2">
        <v>1</v>
      </c>
      <c r="E423" s="2">
        <v>7329081362</v>
      </c>
      <c r="F423" s="2" t="s">
        <v>13</v>
      </c>
      <c r="G423" s="2" t="s">
        <v>20</v>
      </c>
      <c r="H423" s="2" t="s">
        <v>21</v>
      </c>
      <c r="I423" s="2" t="s">
        <v>22</v>
      </c>
      <c r="J423" s="2" t="s">
        <v>17</v>
      </c>
    </row>
    <row r="424" spans="1:10" x14ac:dyDescent="0.3">
      <c r="A424" s="2" t="s">
        <v>438</v>
      </c>
      <c r="B424" s="2" t="s">
        <v>35</v>
      </c>
      <c r="C424" s="2" t="s">
        <v>12</v>
      </c>
      <c r="D424" s="2">
        <v>1</v>
      </c>
      <c r="E424" s="2">
        <v>9843720558</v>
      </c>
      <c r="F424" s="2" t="s">
        <v>19</v>
      </c>
      <c r="G424" s="2" t="s">
        <v>20</v>
      </c>
      <c r="H424" s="2" t="s">
        <v>21</v>
      </c>
      <c r="I424" s="2" t="s">
        <v>29</v>
      </c>
      <c r="J424" s="2" t="s">
        <v>23</v>
      </c>
    </row>
    <row r="425" spans="1:10" x14ac:dyDescent="0.3">
      <c r="A425" s="2" t="s">
        <v>439</v>
      </c>
      <c r="B425" s="2" t="s">
        <v>25</v>
      </c>
      <c r="C425" s="2" t="s">
        <v>43</v>
      </c>
      <c r="D425" s="2">
        <v>5</v>
      </c>
      <c r="E425" s="2">
        <v>7872958481</v>
      </c>
      <c r="F425" s="2" t="s">
        <v>13</v>
      </c>
      <c r="G425" s="2" t="s">
        <v>20</v>
      </c>
      <c r="H425" s="2" t="s">
        <v>21</v>
      </c>
      <c r="I425" s="2" t="s">
        <v>37</v>
      </c>
      <c r="J425" s="2" t="s">
        <v>17</v>
      </c>
    </row>
    <row r="426" spans="1:10" x14ac:dyDescent="0.3">
      <c r="A426" s="2" t="s">
        <v>342</v>
      </c>
      <c r="B426" s="2" t="s">
        <v>35</v>
      </c>
      <c r="C426" s="2" t="s">
        <v>12</v>
      </c>
      <c r="D426" s="2">
        <v>1</v>
      </c>
      <c r="E426" s="2">
        <v>7265529176</v>
      </c>
      <c r="F426" s="2" t="s">
        <v>19</v>
      </c>
      <c r="G426" s="2" t="s">
        <v>14</v>
      </c>
      <c r="H426" s="2" t="s">
        <v>21</v>
      </c>
      <c r="I426" s="2" t="s">
        <v>37</v>
      </c>
      <c r="J426" s="2" t="s">
        <v>22</v>
      </c>
    </row>
    <row r="427" spans="1:10" x14ac:dyDescent="0.3">
      <c r="A427" s="2" t="s">
        <v>440</v>
      </c>
      <c r="B427" s="2" t="s">
        <v>25</v>
      </c>
      <c r="C427" s="2" t="s">
        <v>12</v>
      </c>
      <c r="D427" s="2">
        <v>5</v>
      </c>
      <c r="E427" s="2">
        <v>7175138999</v>
      </c>
      <c r="F427" s="2" t="s">
        <v>19</v>
      </c>
      <c r="G427" s="2" t="s">
        <v>20</v>
      </c>
      <c r="H427" s="2" t="s">
        <v>21</v>
      </c>
      <c r="I427" s="2" t="s">
        <v>22</v>
      </c>
      <c r="J427" s="2" t="s">
        <v>17</v>
      </c>
    </row>
    <row r="428" spans="1:10" x14ac:dyDescent="0.3">
      <c r="A428" s="2" t="s">
        <v>164</v>
      </c>
      <c r="B428" s="2" t="s">
        <v>32</v>
      </c>
      <c r="C428" s="2" t="s">
        <v>33</v>
      </c>
      <c r="D428" s="2">
        <v>7</v>
      </c>
      <c r="E428" s="2">
        <v>6916929404</v>
      </c>
      <c r="F428" s="2" t="s">
        <v>19</v>
      </c>
      <c r="G428" s="2" t="s">
        <v>14</v>
      </c>
      <c r="H428" s="2" t="s">
        <v>21</v>
      </c>
      <c r="I428" s="2" t="s">
        <v>22</v>
      </c>
      <c r="J428" s="2" t="s">
        <v>22</v>
      </c>
    </row>
    <row r="429" spans="1:10" x14ac:dyDescent="0.3">
      <c r="A429" s="2" t="s">
        <v>441</v>
      </c>
      <c r="B429" s="2" t="s">
        <v>11</v>
      </c>
      <c r="C429" s="2" t="s">
        <v>43</v>
      </c>
      <c r="D429" s="2">
        <v>3</v>
      </c>
      <c r="E429" s="2">
        <v>7578639935</v>
      </c>
      <c r="F429" s="2" t="s">
        <v>13</v>
      </c>
      <c r="G429" s="2" t="s">
        <v>20</v>
      </c>
      <c r="H429" s="2" t="s">
        <v>21</v>
      </c>
      <c r="I429" s="2" t="s">
        <v>27</v>
      </c>
      <c r="J429" s="2" t="s">
        <v>23</v>
      </c>
    </row>
    <row r="430" spans="1:10" x14ac:dyDescent="0.3">
      <c r="A430" s="2" t="s">
        <v>442</v>
      </c>
      <c r="B430" s="2" t="s">
        <v>32</v>
      </c>
      <c r="C430" s="2" t="s">
        <v>43</v>
      </c>
      <c r="D430" s="2">
        <v>7</v>
      </c>
      <c r="E430" s="2">
        <v>7981115337</v>
      </c>
      <c r="F430" s="2" t="s">
        <v>13</v>
      </c>
      <c r="G430" s="2" t="s">
        <v>14</v>
      </c>
      <c r="H430" s="2" t="s">
        <v>21</v>
      </c>
      <c r="I430" s="2" t="s">
        <v>22</v>
      </c>
      <c r="J430" s="2" t="s">
        <v>22</v>
      </c>
    </row>
    <row r="431" spans="1:10" x14ac:dyDescent="0.3">
      <c r="A431" s="2" t="s">
        <v>443</v>
      </c>
      <c r="B431" s="2" t="s">
        <v>32</v>
      </c>
      <c r="C431" s="2" t="s">
        <v>43</v>
      </c>
      <c r="D431" s="2">
        <v>7</v>
      </c>
      <c r="E431" s="2">
        <v>6759915509</v>
      </c>
      <c r="F431" s="2" t="s">
        <v>13</v>
      </c>
      <c r="G431" s="2" t="s">
        <v>14</v>
      </c>
      <c r="H431" s="2" t="s">
        <v>21</v>
      </c>
      <c r="I431" s="2" t="s">
        <v>29</v>
      </c>
      <c r="J431" s="2" t="s">
        <v>22</v>
      </c>
    </row>
    <row r="432" spans="1:10" x14ac:dyDescent="0.3">
      <c r="A432" s="2" t="s">
        <v>444</v>
      </c>
      <c r="B432" s="2" t="s">
        <v>32</v>
      </c>
      <c r="C432" s="2" t="s">
        <v>43</v>
      </c>
      <c r="D432" s="2">
        <v>7</v>
      </c>
      <c r="E432" s="2">
        <v>6043371887</v>
      </c>
      <c r="F432" s="2" t="s">
        <v>13</v>
      </c>
      <c r="G432" s="2" t="s">
        <v>20</v>
      </c>
      <c r="H432" s="2" t="s">
        <v>21</v>
      </c>
      <c r="I432" s="2" t="s">
        <v>29</v>
      </c>
      <c r="J432" s="2" t="s">
        <v>17</v>
      </c>
    </row>
    <row r="433" spans="1:10" x14ac:dyDescent="0.3">
      <c r="A433" s="2" t="s">
        <v>445</v>
      </c>
      <c r="B433" s="2" t="s">
        <v>11</v>
      </c>
      <c r="C433" s="2" t="s">
        <v>26</v>
      </c>
      <c r="D433" s="2">
        <v>3</v>
      </c>
      <c r="E433" s="2">
        <v>7056373018</v>
      </c>
      <c r="F433" s="2" t="s">
        <v>19</v>
      </c>
      <c r="G433" s="2" t="s">
        <v>20</v>
      </c>
      <c r="H433" s="2" t="s">
        <v>15</v>
      </c>
      <c r="I433" s="2" t="s">
        <v>37</v>
      </c>
      <c r="J433" s="2" t="s">
        <v>23</v>
      </c>
    </row>
    <row r="434" spans="1:10" x14ac:dyDescent="0.3">
      <c r="A434" s="2" t="s">
        <v>446</v>
      </c>
      <c r="B434" s="2" t="s">
        <v>32</v>
      </c>
      <c r="C434" s="2" t="s">
        <v>36</v>
      </c>
      <c r="D434" s="2">
        <v>7</v>
      </c>
      <c r="E434" s="2">
        <v>9966393845</v>
      </c>
      <c r="F434" s="2" t="s">
        <v>19</v>
      </c>
      <c r="G434" s="2" t="s">
        <v>20</v>
      </c>
      <c r="H434" s="2" t="s">
        <v>15</v>
      </c>
      <c r="I434" s="2" t="s">
        <v>27</v>
      </c>
      <c r="J434" s="2" t="s">
        <v>22</v>
      </c>
    </row>
    <row r="435" spans="1:10" x14ac:dyDescent="0.3">
      <c r="A435" s="2" t="s">
        <v>447</v>
      </c>
      <c r="B435" s="2" t="s">
        <v>35</v>
      </c>
      <c r="C435" s="2" t="s">
        <v>12</v>
      </c>
      <c r="D435" s="2">
        <v>1</v>
      </c>
      <c r="E435" s="2">
        <v>8222071316</v>
      </c>
      <c r="F435" s="2" t="s">
        <v>19</v>
      </c>
      <c r="G435" s="2" t="s">
        <v>20</v>
      </c>
      <c r="H435" s="2" t="s">
        <v>21</v>
      </c>
      <c r="I435" s="2" t="s">
        <v>22</v>
      </c>
      <c r="J435" s="2" t="s">
        <v>22</v>
      </c>
    </row>
    <row r="436" spans="1:10" x14ac:dyDescent="0.3">
      <c r="A436" s="2" t="s">
        <v>448</v>
      </c>
      <c r="B436" s="2" t="s">
        <v>32</v>
      </c>
      <c r="C436" s="2" t="s">
        <v>33</v>
      </c>
      <c r="D436" s="2">
        <v>7</v>
      </c>
      <c r="E436" s="2">
        <v>8040119751</v>
      </c>
      <c r="F436" s="2" t="s">
        <v>13</v>
      </c>
      <c r="G436" s="2" t="s">
        <v>20</v>
      </c>
      <c r="H436" s="2" t="s">
        <v>15</v>
      </c>
      <c r="I436" s="2" t="s">
        <v>27</v>
      </c>
      <c r="J436" s="2" t="s">
        <v>22</v>
      </c>
    </row>
    <row r="437" spans="1:10" x14ac:dyDescent="0.3">
      <c r="A437" s="2" t="s">
        <v>449</v>
      </c>
      <c r="B437" s="2" t="s">
        <v>25</v>
      </c>
      <c r="C437" s="2" t="s">
        <v>33</v>
      </c>
      <c r="D437" s="2">
        <v>5</v>
      </c>
      <c r="E437" s="2">
        <v>8432055028</v>
      </c>
      <c r="F437" s="2" t="s">
        <v>19</v>
      </c>
      <c r="G437" s="2" t="s">
        <v>20</v>
      </c>
      <c r="H437" s="2" t="s">
        <v>15</v>
      </c>
      <c r="I437" s="2" t="s">
        <v>27</v>
      </c>
      <c r="J437" s="2" t="s">
        <v>22</v>
      </c>
    </row>
    <row r="438" spans="1:10" x14ac:dyDescent="0.3">
      <c r="A438" s="2" t="s">
        <v>450</v>
      </c>
      <c r="B438" s="2" t="s">
        <v>11</v>
      </c>
      <c r="C438" s="2" t="s">
        <v>36</v>
      </c>
      <c r="D438" s="2">
        <v>3</v>
      </c>
      <c r="E438" s="2">
        <v>7458810015</v>
      </c>
      <c r="F438" s="2" t="s">
        <v>19</v>
      </c>
      <c r="G438" s="2" t="s">
        <v>14</v>
      </c>
      <c r="H438" s="2" t="s">
        <v>21</v>
      </c>
      <c r="I438" s="2" t="s">
        <v>29</v>
      </c>
      <c r="J438" s="2" t="s">
        <v>22</v>
      </c>
    </row>
    <row r="439" spans="1:10" x14ac:dyDescent="0.3">
      <c r="A439" s="2" t="s">
        <v>451</v>
      </c>
      <c r="B439" s="2" t="s">
        <v>32</v>
      </c>
      <c r="C439" s="2" t="s">
        <v>12</v>
      </c>
      <c r="D439" s="2">
        <v>7</v>
      </c>
      <c r="E439" s="2">
        <v>7660936281</v>
      </c>
      <c r="F439" s="2" t="s">
        <v>19</v>
      </c>
      <c r="G439" s="2" t="s">
        <v>14</v>
      </c>
      <c r="H439" s="2" t="s">
        <v>15</v>
      </c>
      <c r="I439" s="2" t="s">
        <v>41</v>
      </c>
      <c r="J439" s="2" t="s">
        <v>23</v>
      </c>
    </row>
    <row r="440" spans="1:10" x14ac:dyDescent="0.3">
      <c r="A440" s="2" t="s">
        <v>452</v>
      </c>
      <c r="B440" s="2" t="s">
        <v>11</v>
      </c>
      <c r="C440" s="2" t="s">
        <v>26</v>
      </c>
      <c r="D440" s="2">
        <v>3</v>
      </c>
      <c r="E440" s="2">
        <v>9589950817</v>
      </c>
      <c r="F440" s="2" t="s">
        <v>19</v>
      </c>
      <c r="G440" s="2" t="s">
        <v>14</v>
      </c>
      <c r="H440" s="2" t="s">
        <v>15</v>
      </c>
      <c r="I440" s="2" t="s">
        <v>22</v>
      </c>
      <c r="J440" s="2" t="s">
        <v>17</v>
      </c>
    </row>
    <row r="441" spans="1:10" x14ac:dyDescent="0.3">
      <c r="A441" s="2" t="s">
        <v>453</v>
      </c>
      <c r="B441" s="2" t="s">
        <v>35</v>
      </c>
      <c r="C441" s="2" t="s">
        <v>33</v>
      </c>
      <c r="D441" s="2">
        <v>1</v>
      </c>
      <c r="E441" s="2">
        <v>6652375431</v>
      </c>
      <c r="F441" s="2" t="s">
        <v>19</v>
      </c>
      <c r="G441" s="2" t="s">
        <v>20</v>
      </c>
      <c r="H441" s="2" t="s">
        <v>15</v>
      </c>
      <c r="I441" s="2" t="s">
        <v>16</v>
      </c>
      <c r="J441" s="2" t="s">
        <v>22</v>
      </c>
    </row>
    <row r="442" spans="1:10" x14ac:dyDescent="0.3">
      <c r="A442" s="2" t="s">
        <v>454</v>
      </c>
      <c r="B442" s="2" t="s">
        <v>32</v>
      </c>
      <c r="C442" s="2" t="s">
        <v>33</v>
      </c>
      <c r="D442" s="2">
        <v>7</v>
      </c>
      <c r="E442" s="2">
        <v>8146157458</v>
      </c>
      <c r="F442" s="2" t="s">
        <v>19</v>
      </c>
      <c r="G442" s="2" t="s">
        <v>14</v>
      </c>
      <c r="H442" s="2" t="s">
        <v>15</v>
      </c>
      <c r="I442" s="2" t="s">
        <v>37</v>
      </c>
      <c r="J442" s="2" t="s">
        <v>23</v>
      </c>
    </row>
    <row r="443" spans="1:10" x14ac:dyDescent="0.3">
      <c r="A443" s="2" t="s">
        <v>455</v>
      </c>
      <c r="B443" s="2" t="s">
        <v>25</v>
      </c>
      <c r="C443" s="2" t="s">
        <v>36</v>
      </c>
      <c r="D443" s="2">
        <v>5</v>
      </c>
      <c r="E443" s="2">
        <v>7749961526</v>
      </c>
      <c r="F443" s="2" t="s">
        <v>13</v>
      </c>
      <c r="G443" s="2" t="s">
        <v>14</v>
      </c>
      <c r="H443" s="2" t="s">
        <v>21</v>
      </c>
      <c r="I443" s="2" t="s">
        <v>37</v>
      </c>
      <c r="J443" s="2" t="s">
        <v>22</v>
      </c>
    </row>
    <row r="444" spans="1:10" x14ac:dyDescent="0.3">
      <c r="A444" s="2" t="s">
        <v>456</v>
      </c>
      <c r="B444" s="2" t="s">
        <v>11</v>
      </c>
      <c r="C444" s="2" t="s">
        <v>12</v>
      </c>
      <c r="D444" s="2">
        <v>3</v>
      </c>
      <c r="E444" s="2">
        <v>8837328306</v>
      </c>
      <c r="F444" s="2" t="s">
        <v>19</v>
      </c>
      <c r="G444" s="2" t="s">
        <v>20</v>
      </c>
      <c r="H444" s="2" t="s">
        <v>15</v>
      </c>
      <c r="I444" s="2" t="s">
        <v>29</v>
      </c>
      <c r="J444" s="2" t="s">
        <v>23</v>
      </c>
    </row>
    <row r="445" spans="1:10" x14ac:dyDescent="0.3">
      <c r="A445" s="2" t="s">
        <v>457</v>
      </c>
      <c r="B445" s="2" t="s">
        <v>11</v>
      </c>
      <c r="C445" s="2" t="s">
        <v>12</v>
      </c>
      <c r="D445" s="2">
        <v>3</v>
      </c>
      <c r="E445" s="2">
        <v>7517974835</v>
      </c>
      <c r="F445" s="2" t="s">
        <v>13</v>
      </c>
      <c r="G445" s="2" t="s">
        <v>14</v>
      </c>
      <c r="H445" s="2" t="s">
        <v>15</v>
      </c>
      <c r="I445" s="2" t="s">
        <v>16</v>
      </c>
      <c r="J445" s="2" t="s">
        <v>22</v>
      </c>
    </row>
    <row r="446" spans="1:10" x14ac:dyDescent="0.3">
      <c r="A446" s="2" t="s">
        <v>458</v>
      </c>
      <c r="B446" s="2" t="s">
        <v>25</v>
      </c>
      <c r="C446" s="2" t="s">
        <v>12</v>
      </c>
      <c r="D446" s="2">
        <v>5</v>
      </c>
      <c r="E446" s="2">
        <v>9247984940</v>
      </c>
      <c r="F446" s="2" t="s">
        <v>19</v>
      </c>
      <c r="G446" s="2" t="s">
        <v>20</v>
      </c>
      <c r="H446" s="2" t="s">
        <v>21</v>
      </c>
      <c r="I446" s="2" t="s">
        <v>22</v>
      </c>
      <c r="J446" s="2" t="s">
        <v>22</v>
      </c>
    </row>
    <row r="447" spans="1:10" x14ac:dyDescent="0.3">
      <c r="A447" s="2" t="s">
        <v>459</v>
      </c>
      <c r="B447" s="2" t="s">
        <v>25</v>
      </c>
      <c r="C447" s="2" t="s">
        <v>26</v>
      </c>
      <c r="D447" s="2">
        <v>5</v>
      </c>
      <c r="E447" s="2">
        <v>7808483238</v>
      </c>
      <c r="F447" s="2" t="s">
        <v>13</v>
      </c>
      <c r="G447" s="2" t="s">
        <v>20</v>
      </c>
      <c r="H447" s="2" t="s">
        <v>21</v>
      </c>
      <c r="I447" s="2" t="s">
        <v>29</v>
      </c>
      <c r="J447" s="2" t="s">
        <v>22</v>
      </c>
    </row>
    <row r="448" spans="1:10" x14ac:dyDescent="0.3">
      <c r="A448" s="2" t="s">
        <v>460</v>
      </c>
      <c r="B448" s="2" t="s">
        <v>25</v>
      </c>
      <c r="C448" s="2" t="s">
        <v>43</v>
      </c>
      <c r="D448" s="2">
        <v>5</v>
      </c>
      <c r="E448" s="2">
        <v>9674474748</v>
      </c>
      <c r="F448" s="2" t="s">
        <v>13</v>
      </c>
      <c r="G448" s="2" t="s">
        <v>14</v>
      </c>
      <c r="H448" s="2" t="s">
        <v>21</v>
      </c>
      <c r="I448" s="2" t="s">
        <v>16</v>
      </c>
      <c r="J448" s="2" t="s">
        <v>22</v>
      </c>
    </row>
    <row r="449" spans="1:10" x14ac:dyDescent="0.3">
      <c r="A449" s="2" t="s">
        <v>461</v>
      </c>
      <c r="B449" s="2" t="s">
        <v>25</v>
      </c>
      <c r="C449" s="2" t="s">
        <v>43</v>
      </c>
      <c r="D449" s="2">
        <v>5</v>
      </c>
      <c r="E449" s="2">
        <v>6760706177</v>
      </c>
      <c r="F449" s="2" t="s">
        <v>19</v>
      </c>
      <c r="G449" s="2" t="s">
        <v>14</v>
      </c>
      <c r="H449" s="2" t="s">
        <v>21</v>
      </c>
      <c r="I449" s="2" t="s">
        <v>22</v>
      </c>
      <c r="J449" s="2" t="s">
        <v>22</v>
      </c>
    </row>
    <row r="450" spans="1:10" x14ac:dyDescent="0.3">
      <c r="A450" s="2" t="s">
        <v>462</v>
      </c>
      <c r="B450" s="2" t="s">
        <v>35</v>
      </c>
      <c r="C450" s="2" t="s">
        <v>33</v>
      </c>
      <c r="D450" s="2">
        <v>1</v>
      </c>
      <c r="E450" s="2">
        <v>6016851584</v>
      </c>
      <c r="F450" s="2" t="s">
        <v>19</v>
      </c>
      <c r="G450" s="2" t="s">
        <v>20</v>
      </c>
      <c r="H450" s="2" t="s">
        <v>15</v>
      </c>
      <c r="I450" s="2" t="s">
        <v>16</v>
      </c>
      <c r="J450" s="2" t="s">
        <v>22</v>
      </c>
    </row>
    <row r="451" spans="1:10" x14ac:dyDescent="0.3">
      <c r="A451" s="2" t="s">
        <v>463</v>
      </c>
      <c r="B451" s="2" t="s">
        <v>35</v>
      </c>
      <c r="C451" s="2" t="s">
        <v>33</v>
      </c>
      <c r="D451" s="2">
        <v>1</v>
      </c>
      <c r="E451" s="2">
        <v>6710324869</v>
      </c>
      <c r="F451" s="2" t="s">
        <v>13</v>
      </c>
      <c r="G451" s="2" t="s">
        <v>14</v>
      </c>
      <c r="H451" s="2" t="s">
        <v>21</v>
      </c>
      <c r="I451" s="2" t="s">
        <v>22</v>
      </c>
      <c r="J451" s="2" t="s">
        <v>17</v>
      </c>
    </row>
    <row r="452" spans="1:10" x14ac:dyDescent="0.3">
      <c r="A452" s="2" t="s">
        <v>464</v>
      </c>
      <c r="B452" s="2" t="s">
        <v>32</v>
      </c>
      <c r="C452" s="2" t="s">
        <v>33</v>
      </c>
      <c r="D452" s="2">
        <v>7</v>
      </c>
      <c r="E452" s="2">
        <v>9055636678</v>
      </c>
      <c r="F452" s="2" t="s">
        <v>13</v>
      </c>
      <c r="G452" s="2" t="s">
        <v>14</v>
      </c>
      <c r="H452" s="2" t="s">
        <v>21</v>
      </c>
      <c r="I452" s="2" t="s">
        <v>16</v>
      </c>
      <c r="J452" s="2" t="s">
        <v>22</v>
      </c>
    </row>
    <row r="453" spans="1:10" x14ac:dyDescent="0.3">
      <c r="A453" s="2" t="s">
        <v>465</v>
      </c>
      <c r="B453" s="2" t="s">
        <v>35</v>
      </c>
      <c r="C453" s="2" t="s">
        <v>33</v>
      </c>
      <c r="D453" s="2">
        <v>1</v>
      </c>
      <c r="E453" s="2">
        <v>6744800165</v>
      </c>
      <c r="F453" s="2" t="s">
        <v>19</v>
      </c>
      <c r="G453" s="2" t="s">
        <v>14</v>
      </c>
      <c r="H453" s="2" t="s">
        <v>21</v>
      </c>
      <c r="I453" s="2" t="s">
        <v>37</v>
      </c>
      <c r="J453" s="2" t="s">
        <v>17</v>
      </c>
    </row>
    <row r="454" spans="1:10" x14ac:dyDescent="0.3">
      <c r="A454" s="2" t="s">
        <v>466</v>
      </c>
      <c r="B454" s="2" t="s">
        <v>11</v>
      </c>
      <c r="C454" s="2" t="s">
        <v>12</v>
      </c>
      <c r="D454" s="2">
        <v>3</v>
      </c>
      <c r="E454" s="2">
        <v>8241218520</v>
      </c>
      <c r="F454" s="2" t="s">
        <v>13</v>
      </c>
      <c r="G454" s="2" t="s">
        <v>14</v>
      </c>
      <c r="H454" s="2" t="s">
        <v>15</v>
      </c>
      <c r="I454" s="2" t="s">
        <v>29</v>
      </c>
      <c r="J454" s="2" t="s">
        <v>23</v>
      </c>
    </row>
    <row r="455" spans="1:10" x14ac:dyDescent="0.3">
      <c r="A455" s="2" t="s">
        <v>467</v>
      </c>
      <c r="B455" s="2" t="s">
        <v>35</v>
      </c>
      <c r="C455" s="2" t="s">
        <v>43</v>
      </c>
      <c r="D455" s="2">
        <v>1</v>
      </c>
      <c r="E455" s="2">
        <v>6561378375</v>
      </c>
      <c r="F455" s="2" t="s">
        <v>19</v>
      </c>
      <c r="G455" s="2" t="s">
        <v>20</v>
      </c>
      <c r="H455" s="2" t="s">
        <v>21</v>
      </c>
      <c r="I455" s="2" t="s">
        <v>16</v>
      </c>
      <c r="J455" s="2" t="s">
        <v>22</v>
      </c>
    </row>
    <row r="456" spans="1:10" x14ac:dyDescent="0.3">
      <c r="A456" s="2" t="s">
        <v>468</v>
      </c>
      <c r="B456" s="2" t="s">
        <v>32</v>
      </c>
      <c r="C456" s="2" t="s">
        <v>43</v>
      </c>
      <c r="D456" s="2">
        <v>7</v>
      </c>
      <c r="E456" s="2">
        <v>6539466165</v>
      </c>
      <c r="F456" s="2" t="s">
        <v>19</v>
      </c>
      <c r="G456" s="2" t="s">
        <v>20</v>
      </c>
      <c r="H456" s="2" t="s">
        <v>21</v>
      </c>
      <c r="I456" s="2" t="s">
        <v>22</v>
      </c>
      <c r="J456" s="2" t="s">
        <v>23</v>
      </c>
    </row>
    <row r="457" spans="1:10" x14ac:dyDescent="0.3">
      <c r="A457" s="2" t="s">
        <v>469</v>
      </c>
      <c r="B457" s="2" t="s">
        <v>25</v>
      </c>
      <c r="C457" s="2" t="s">
        <v>26</v>
      </c>
      <c r="D457" s="2">
        <v>5</v>
      </c>
      <c r="E457" s="2">
        <v>7100920800</v>
      </c>
      <c r="F457" s="2" t="s">
        <v>19</v>
      </c>
      <c r="G457" s="2" t="s">
        <v>20</v>
      </c>
      <c r="H457" s="2" t="s">
        <v>15</v>
      </c>
      <c r="I457" s="2" t="s">
        <v>37</v>
      </c>
      <c r="J457" s="2" t="s">
        <v>23</v>
      </c>
    </row>
    <row r="458" spans="1:10" x14ac:dyDescent="0.3">
      <c r="A458" s="2" t="s">
        <v>470</v>
      </c>
      <c r="B458" s="2" t="s">
        <v>25</v>
      </c>
      <c r="C458" s="2" t="s">
        <v>26</v>
      </c>
      <c r="D458" s="2">
        <v>5</v>
      </c>
      <c r="E458" s="2">
        <v>7631837536</v>
      </c>
      <c r="F458" s="2" t="s">
        <v>19</v>
      </c>
      <c r="G458" s="2" t="s">
        <v>14</v>
      </c>
      <c r="H458" s="2" t="s">
        <v>15</v>
      </c>
      <c r="I458" s="2" t="s">
        <v>29</v>
      </c>
      <c r="J458" s="2" t="s">
        <v>22</v>
      </c>
    </row>
    <row r="459" spans="1:10" x14ac:dyDescent="0.3">
      <c r="A459" s="2" t="s">
        <v>471</v>
      </c>
      <c r="B459" s="2" t="s">
        <v>25</v>
      </c>
      <c r="C459" s="2" t="s">
        <v>43</v>
      </c>
      <c r="D459" s="2">
        <v>5</v>
      </c>
      <c r="E459" s="2">
        <v>7215178339</v>
      </c>
      <c r="F459" s="2" t="s">
        <v>19</v>
      </c>
      <c r="G459" s="2" t="s">
        <v>14</v>
      </c>
      <c r="H459" s="2" t="s">
        <v>15</v>
      </c>
      <c r="I459" s="2" t="s">
        <v>22</v>
      </c>
      <c r="J459" s="2" t="s">
        <v>23</v>
      </c>
    </row>
    <row r="460" spans="1:10" x14ac:dyDescent="0.3">
      <c r="A460" s="2" t="s">
        <v>472</v>
      </c>
      <c r="B460" s="2" t="s">
        <v>35</v>
      </c>
      <c r="C460" s="2" t="s">
        <v>43</v>
      </c>
      <c r="D460" s="2">
        <v>1</v>
      </c>
      <c r="E460" s="2">
        <v>7449425536</v>
      </c>
      <c r="F460" s="2" t="s">
        <v>19</v>
      </c>
      <c r="G460" s="2" t="s">
        <v>14</v>
      </c>
      <c r="H460" s="2" t="s">
        <v>21</v>
      </c>
      <c r="I460" s="2" t="s">
        <v>37</v>
      </c>
      <c r="J460" s="2" t="s">
        <v>22</v>
      </c>
    </row>
    <row r="461" spans="1:10" x14ac:dyDescent="0.3">
      <c r="A461" s="2" t="s">
        <v>367</v>
      </c>
      <c r="B461" s="2" t="s">
        <v>32</v>
      </c>
      <c r="C461" s="2" t="s">
        <v>36</v>
      </c>
      <c r="D461" s="2">
        <v>7</v>
      </c>
      <c r="E461" s="2">
        <v>7488243527</v>
      </c>
      <c r="F461" s="2" t="s">
        <v>13</v>
      </c>
      <c r="G461" s="2" t="s">
        <v>20</v>
      </c>
      <c r="H461" s="2" t="s">
        <v>21</v>
      </c>
      <c r="I461" s="2" t="s">
        <v>41</v>
      </c>
      <c r="J461" s="2" t="s">
        <v>23</v>
      </c>
    </row>
    <row r="462" spans="1:10" x14ac:dyDescent="0.3">
      <c r="A462" s="2" t="s">
        <v>473</v>
      </c>
      <c r="B462" s="2" t="s">
        <v>11</v>
      </c>
      <c r="C462" s="2" t="s">
        <v>26</v>
      </c>
      <c r="D462" s="2">
        <v>3</v>
      </c>
      <c r="E462" s="2">
        <v>6638446925</v>
      </c>
      <c r="F462" s="2" t="s">
        <v>13</v>
      </c>
      <c r="G462" s="2" t="s">
        <v>14</v>
      </c>
      <c r="H462" s="2" t="s">
        <v>15</v>
      </c>
      <c r="I462" s="2" t="s">
        <v>27</v>
      </c>
      <c r="J462" s="2" t="s">
        <v>23</v>
      </c>
    </row>
    <row r="463" spans="1:10" x14ac:dyDescent="0.3">
      <c r="A463" s="2" t="s">
        <v>474</v>
      </c>
      <c r="B463" s="2" t="s">
        <v>32</v>
      </c>
      <c r="C463" s="2" t="s">
        <v>43</v>
      </c>
      <c r="D463" s="2">
        <v>7</v>
      </c>
      <c r="E463" s="2">
        <v>7241751573</v>
      </c>
      <c r="F463" s="2" t="s">
        <v>13</v>
      </c>
      <c r="G463" s="2" t="s">
        <v>20</v>
      </c>
      <c r="H463" s="2" t="s">
        <v>15</v>
      </c>
      <c r="I463" s="2" t="s">
        <v>22</v>
      </c>
      <c r="J463" s="2" t="s">
        <v>23</v>
      </c>
    </row>
    <row r="464" spans="1:10" x14ac:dyDescent="0.3">
      <c r="A464" s="2" t="s">
        <v>475</v>
      </c>
      <c r="B464" s="2" t="s">
        <v>32</v>
      </c>
      <c r="C464" s="2" t="s">
        <v>12</v>
      </c>
      <c r="D464" s="2">
        <v>7</v>
      </c>
      <c r="E464" s="2">
        <v>8982599699</v>
      </c>
      <c r="F464" s="2" t="s">
        <v>19</v>
      </c>
      <c r="G464" s="2" t="s">
        <v>20</v>
      </c>
      <c r="H464" s="2" t="s">
        <v>21</v>
      </c>
      <c r="I464" s="2" t="s">
        <v>22</v>
      </c>
      <c r="J464" s="2" t="s">
        <v>17</v>
      </c>
    </row>
    <row r="465" spans="1:10" x14ac:dyDescent="0.3">
      <c r="A465" s="2" t="s">
        <v>476</v>
      </c>
      <c r="B465" s="2" t="s">
        <v>35</v>
      </c>
      <c r="C465" s="2" t="s">
        <v>43</v>
      </c>
      <c r="D465" s="2">
        <v>1</v>
      </c>
      <c r="E465" s="2">
        <v>9884395934</v>
      </c>
      <c r="F465" s="2" t="s">
        <v>19</v>
      </c>
      <c r="G465" s="2" t="s">
        <v>14</v>
      </c>
      <c r="H465" s="2" t="s">
        <v>15</v>
      </c>
      <c r="I465" s="2" t="s">
        <v>22</v>
      </c>
      <c r="J465" s="2" t="s">
        <v>22</v>
      </c>
    </row>
    <row r="466" spans="1:10" x14ac:dyDescent="0.3">
      <c r="A466" s="2" t="s">
        <v>477</v>
      </c>
      <c r="B466" s="2" t="s">
        <v>35</v>
      </c>
      <c r="C466" s="2" t="s">
        <v>26</v>
      </c>
      <c r="D466" s="2">
        <v>1</v>
      </c>
      <c r="E466" s="2">
        <v>7023587431</v>
      </c>
      <c r="F466" s="2" t="s">
        <v>19</v>
      </c>
      <c r="G466" s="2" t="s">
        <v>14</v>
      </c>
      <c r="H466" s="2" t="s">
        <v>21</v>
      </c>
      <c r="I466" s="2" t="s">
        <v>27</v>
      </c>
      <c r="J466" s="2" t="s">
        <v>22</v>
      </c>
    </row>
    <row r="467" spans="1:10" x14ac:dyDescent="0.3">
      <c r="A467" s="2" t="s">
        <v>478</v>
      </c>
      <c r="B467" s="2" t="s">
        <v>32</v>
      </c>
      <c r="C467" s="2" t="s">
        <v>33</v>
      </c>
      <c r="D467" s="2">
        <v>7</v>
      </c>
      <c r="E467" s="2">
        <v>7442807338</v>
      </c>
      <c r="F467" s="2" t="s">
        <v>13</v>
      </c>
      <c r="G467" s="2" t="s">
        <v>14</v>
      </c>
      <c r="H467" s="2" t="s">
        <v>21</v>
      </c>
      <c r="I467" s="2" t="s">
        <v>27</v>
      </c>
      <c r="J467" s="2" t="s">
        <v>23</v>
      </c>
    </row>
    <row r="468" spans="1:10" x14ac:dyDescent="0.3">
      <c r="A468" s="2" t="s">
        <v>479</v>
      </c>
      <c r="B468" s="2" t="s">
        <v>35</v>
      </c>
      <c r="C468" s="2" t="s">
        <v>43</v>
      </c>
      <c r="D468" s="2">
        <v>1</v>
      </c>
      <c r="E468" s="2">
        <v>9423836399</v>
      </c>
      <c r="F468" s="2" t="s">
        <v>19</v>
      </c>
      <c r="G468" s="2" t="s">
        <v>14</v>
      </c>
      <c r="H468" s="2" t="s">
        <v>15</v>
      </c>
      <c r="I468" s="2" t="s">
        <v>22</v>
      </c>
      <c r="J468" s="2" t="s">
        <v>23</v>
      </c>
    </row>
    <row r="469" spans="1:10" x14ac:dyDescent="0.3">
      <c r="A469" s="2" t="s">
        <v>480</v>
      </c>
      <c r="B469" s="2" t="s">
        <v>35</v>
      </c>
      <c r="C469" s="2" t="s">
        <v>26</v>
      </c>
      <c r="D469" s="2">
        <v>1</v>
      </c>
      <c r="E469" s="2">
        <v>7422699392</v>
      </c>
      <c r="F469" s="2" t="s">
        <v>19</v>
      </c>
      <c r="G469" s="2" t="s">
        <v>14</v>
      </c>
      <c r="H469" s="2" t="s">
        <v>15</v>
      </c>
      <c r="I469" s="2" t="s">
        <v>27</v>
      </c>
      <c r="J469" s="2" t="s">
        <v>23</v>
      </c>
    </row>
    <row r="470" spans="1:10" x14ac:dyDescent="0.3">
      <c r="A470" s="2" t="s">
        <v>481</v>
      </c>
      <c r="B470" s="2" t="s">
        <v>11</v>
      </c>
      <c r="C470" s="2" t="s">
        <v>26</v>
      </c>
      <c r="D470" s="2">
        <v>3</v>
      </c>
      <c r="E470" s="2">
        <v>9362476393</v>
      </c>
      <c r="F470" s="2" t="s">
        <v>19</v>
      </c>
      <c r="G470" s="2" t="s">
        <v>20</v>
      </c>
      <c r="H470" s="2" t="s">
        <v>15</v>
      </c>
      <c r="I470" s="2" t="s">
        <v>27</v>
      </c>
      <c r="J470" s="2" t="s">
        <v>22</v>
      </c>
    </row>
    <row r="471" spans="1:10" x14ac:dyDescent="0.3">
      <c r="A471" s="2" t="s">
        <v>482</v>
      </c>
      <c r="B471" s="2" t="s">
        <v>32</v>
      </c>
      <c r="C471" s="2" t="s">
        <v>12</v>
      </c>
      <c r="D471" s="2">
        <v>7</v>
      </c>
      <c r="E471" s="2">
        <v>8663603389</v>
      </c>
      <c r="F471" s="2" t="s">
        <v>19</v>
      </c>
      <c r="G471" s="2" t="s">
        <v>20</v>
      </c>
      <c r="H471" s="2" t="s">
        <v>15</v>
      </c>
      <c r="I471" s="2" t="s">
        <v>27</v>
      </c>
      <c r="J471" s="2" t="s">
        <v>17</v>
      </c>
    </row>
    <row r="472" spans="1:10" x14ac:dyDescent="0.3">
      <c r="A472" s="2" t="s">
        <v>483</v>
      </c>
      <c r="B472" s="2" t="s">
        <v>35</v>
      </c>
      <c r="C472" s="2" t="s">
        <v>33</v>
      </c>
      <c r="D472" s="2">
        <v>1</v>
      </c>
      <c r="E472" s="2">
        <v>9031389119</v>
      </c>
      <c r="F472" s="2" t="s">
        <v>19</v>
      </c>
      <c r="G472" s="2" t="s">
        <v>20</v>
      </c>
      <c r="H472" s="2" t="s">
        <v>21</v>
      </c>
      <c r="I472" s="2" t="s">
        <v>16</v>
      </c>
      <c r="J472" s="2" t="s">
        <v>22</v>
      </c>
    </row>
    <row r="473" spans="1:10" x14ac:dyDescent="0.3">
      <c r="A473" s="2" t="s">
        <v>484</v>
      </c>
      <c r="B473" s="2" t="s">
        <v>35</v>
      </c>
      <c r="C473" s="2" t="s">
        <v>43</v>
      </c>
      <c r="D473" s="2">
        <v>1</v>
      </c>
      <c r="E473" s="2">
        <v>6426975886</v>
      </c>
      <c r="F473" s="2" t="s">
        <v>13</v>
      </c>
      <c r="G473" s="2" t="s">
        <v>20</v>
      </c>
      <c r="H473" s="2" t="s">
        <v>15</v>
      </c>
      <c r="I473" s="2" t="s">
        <v>41</v>
      </c>
      <c r="J473" s="2" t="s">
        <v>17</v>
      </c>
    </row>
    <row r="474" spans="1:10" x14ac:dyDescent="0.3">
      <c r="A474" s="2" t="s">
        <v>485</v>
      </c>
      <c r="B474" s="2" t="s">
        <v>25</v>
      </c>
      <c r="C474" s="2" t="s">
        <v>26</v>
      </c>
      <c r="D474" s="2">
        <v>5</v>
      </c>
      <c r="E474" s="2">
        <v>8938331095</v>
      </c>
      <c r="F474" s="2" t="s">
        <v>13</v>
      </c>
      <c r="G474" s="2" t="s">
        <v>20</v>
      </c>
      <c r="H474" s="2" t="s">
        <v>21</v>
      </c>
      <c r="I474" s="2" t="s">
        <v>41</v>
      </c>
      <c r="J474" s="2" t="s">
        <v>17</v>
      </c>
    </row>
    <row r="475" spans="1:10" x14ac:dyDescent="0.3">
      <c r="A475" s="2" t="s">
        <v>396</v>
      </c>
      <c r="B475" s="2" t="s">
        <v>11</v>
      </c>
      <c r="C475" s="2" t="s">
        <v>33</v>
      </c>
      <c r="D475" s="2">
        <v>3</v>
      </c>
      <c r="E475" s="2">
        <v>8065438945</v>
      </c>
      <c r="F475" s="2" t="s">
        <v>19</v>
      </c>
      <c r="G475" s="2" t="s">
        <v>14</v>
      </c>
      <c r="H475" s="2" t="s">
        <v>21</v>
      </c>
      <c r="I475" s="2" t="s">
        <v>41</v>
      </c>
      <c r="J475" s="2" t="s">
        <v>22</v>
      </c>
    </row>
    <row r="476" spans="1:10" x14ac:dyDescent="0.3">
      <c r="A476" s="2" t="s">
        <v>486</v>
      </c>
      <c r="B476" s="2" t="s">
        <v>32</v>
      </c>
      <c r="C476" s="2" t="s">
        <v>26</v>
      </c>
      <c r="D476" s="2">
        <v>7</v>
      </c>
      <c r="E476" s="2">
        <v>8123120427</v>
      </c>
      <c r="F476" s="2" t="s">
        <v>13</v>
      </c>
      <c r="G476" s="2" t="s">
        <v>20</v>
      </c>
      <c r="H476" s="2" t="s">
        <v>15</v>
      </c>
      <c r="I476" s="2" t="s">
        <v>29</v>
      </c>
      <c r="J476" s="2" t="s">
        <v>22</v>
      </c>
    </row>
    <row r="477" spans="1:10" x14ac:dyDescent="0.3">
      <c r="A477" s="2" t="s">
        <v>487</v>
      </c>
      <c r="B477" s="2" t="s">
        <v>11</v>
      </c>
      <c r="C477" s="2" t="s">
        <v>26</v>
      </c>
      <c r="D477" s="2">
        <v>3</v>
      </c>
      <c r="E477" s="2">
        <v>7507233767</v>
      </c>
      <c r="F477" s="2" t="s">
        <v>13</v>
      </c>
      <c r="G477" s="2" t="s">
        <v>14</v>
      </c>
      <c r="H477" s="2" t="s">
        <v>15</v>
      </c>
      <c r="I477" s="2" t="s">
        <v>22</v>
      </c>
      <c r="J477" s="2" t="s">
        <v>17</v>
      </c>
    </row>
    <row r="478" spans="1:10" x14ac:dyDescent="0.3">
      <c r="A478" s="2" t="s">
        <v>488</v>
      </c>
      <c r="B478" s="2" t="s">
        <v>25</v>
      </c>
      <c r="C478" s="2" t="s">
        <v>36</v>
      </c>
      <c r="D478" s="2">
        <v>5</v>
      </c>
      <c r="E478" s="2">
        <v>8009312828</v>
      </c>
      <c r="F478" s="2" t="s">
        <v>13</v>
      </c>
      <c r="G478" s="2" t="s">
        <v>14</v>
      </c>
      <c r="H478" s="2" t="s">
        <v>21</v>
      </c>
      <c r="I478" s="2" t="s">
        <v>41</v>
      </c>
      <c r="J478" s="2" t="s">
        <v>23</v>
      </c>
    </row>
    <row r="479" spans="1:10" x14ac:dyDescent="0.3">
      <c r="A479" s="2" t="s">
        <v>387</v>
      </c>
      <c r="B479" s="2" t="s">
        <v>35</v>
      </c>
      <c r="C479" s="2" t="s">
        <v>26</v>
      </c>
      <c r="D479" s="2">
        <v>1</v>
      </c>
      <c r="E479" s="2">
        <v>7381251355</v>
      </c>
      <c r="F479" s="2" t="s">
        <v>19</v>
      </c>
      <c r="G479" s="2" t="s">
        <v>20</v>
      </c>
      <c r="H479" s="2" t="s">
        <v>21</v>
      </c>
      <c r="I479" s="2" t="s">
        <v>22</v>
      </c>
      <c r="J479" s="2" t="s">
        <v>22</v>
      </c>
    </row>
    <row r="480" spans="1:10" x14ac:dyDescent="0.3">
      <c r="A480" s="2" t="s">
        <v>489</v>
      </c>
      <c r="B480" s="2" t="s">
        <v>35</v>
      </c>
      <c r="C480" s="2" t="s">
        <v>12</v>
      </c>
      <c r="D480" s="2">
        <v>1</v>
      </c>
      <c r="E480" s="2">
        <v>8757874656</v>
      </c>
      <c r="F480" s="2" t="s">
        <v>19</v>
      </c>
      <c r="G480" s="2" t="s">
        <v>14</v>
      </c>
      <c r="H480" s="2" t="s">
        <v>15</v>
      </c>
      <c r="I480" s="2" t="s">
        <v>29</v>
      </c>
      <c r="J480" s="2" t="s">
        <v>22</v>
      </c>
    </row>
    <row r="481" spans="1:10" x14ac:dyDescent="0.3">
      <c r="A481" s="2" t="s">
        <v>490</v>
      </c>
      <c r="B481" s="2" t="s">
        <v>35</v>
      </c>
      <c r="C481" s="2" t="s">
        <v>36</v>
      </c>
      <c r="D481" s="2">
        <v>1</v>
      </c>
      <c r="E481" s="2">
        <v>7244604939</v>
      </c>
      <c r="F481" s="2" t="s">
        <v>13</v>
      </c>
      <c r="G481" s="2" t="s">
        <v>20</v>
      </c>
      <c r="H481" s="2" t="s">
        <v>15</v>
      </c>
      <c r="I481" s="2" t="s">
        <v>16</v>
      </c>
      <c r="J481" s="2" t="s">
        <v>17</v>
      </c>
    </row>
    <row r="482" spans="1:10" x14ac:dyDescent="0.3">
      <c r="A482" s="2" t="s">
        <v>491</v>
      </c>
      <c r="B482" s="2" t="s">
        <v>35</v>
      </c>
      <c r="C482" s="2" t="s">
        <v>33</v>
      </c>
      <c r="D482" s="2">
        <v>1</v>
      </c>
      <c r="E482" s="2">
        <v>8991465847</v>
      </c>
      <c r="F482" s="2" t="s">
        <v>19</v>
      </c>
      <c r="G482" s="2" t="s">
        <v>20</v>
      </c>
      <c r="H482" s="2" t="s">
        <v>21</v>
      </c>
      <c r="I482" s="2" t="s">
        <v>41</v>
      </c>
      <c r="J482" s="2" t="s">
        <v>23</v>
      </c>
    </row>
    <row r="483" spans="1:10" x14ac:dyDescent="0.3">
      <c r="A483" s="2" t="s">
        <v>492</v>
      </c>
      <c r="B483" s="2" t="s">
        <v>35</v>
      </c>
      <c r="C483" s="2" t="s">
        <v>26</v>
      </c>
      <c r="D483" s="2">
        <v>1</v>
      </c>
      <c r="E483" s="2">
        <v>7712627893</v>
      </c>
      <c r="F483" s="2" t="s">
        <v>19</v>
      </c>
      <c r="G483" s="2" t="s">
        <v>14</v>
      </c>
      <c r="H483" s="2" t="s">
        <v>15</v>
      </c>
      <c r="I483" s="2" t="s">
        <v>37</v>
      </c>
      <c r="J483" s="2" t="s">
        <v>23</v>
      </c>
    </row>
    <row r="484" spans="1:10" x14ac:dyDescent="0.3">
      <c r="A484" s="2" t="s">
        <v>493</v>
      </c>
      <c r="B484" s="2" t="s">
        <v>35</v>
      </c>
      <c r="C484" s="2" t="s">
        <v>36</v>
      </c>
      <c r="D484" s="2">
        <v>1</v>
      </c>
      <c r="E484" s="2">
        <v>9134284930</v>
      </c>
      <c r="F484" s="2" t="s">
        <v>19</v>
      </c>
      <c r="G484" s="2" t="s">
        <v>14</v>
      </c>
      <c r="H484" s="2" t="s">
        <v>15</v>
      </c>
      <c r="I484" s="2" t="s">
        <v>37</v>
      </c>
      <c r="J484" s="2" t="s">
        <v>17</v>
      </c>
    </row>
    <row r="485" spans="1:10" x14ac:dyDescent="0.3">
      <c r="A485" s="2" t="s">
        <v>494</v>
      </c>
      <c r="B485" s="2" t="s">
        <v>32</v>
      </c>
      <c r="C485" s="2" t="s">
        <v>43</v>
      </c>
      <c r="D485" s="2">
        <v>7</v>
      </c>
      <c r="E485" s="2">
        <v>8592739796</v>
      </c>
      <c r="F485" s="2" t="s">
        <v>19</v>
      </c>
      <c r="G485" s="2" t="s">
        <v>14</v>
      </c>
      <c r="H485" s="2" t="s">
        <v>15</v>
      </c>
      <c r="I485" s="2" t="s">
        <v>22</v>
      </c>
      <c r="J485" s="2" t="s">
        <v>22</v>
      </c>
    </row>
    <row r="486" spans="1:10" x14ac:dyDescent="0.3">
      <c r="A486" s="2" t="s">
        <v>495</v>
      </c>
      <c r="B486" s="2" t="s">
        <v>25</v>
      </c>
      <c r="C486" s="2" t="s">
        <v>26</v>
      </c>
      <c r="D486" s="2">
        <v>5</v>
      </c>
      <c r="E486" s="2">
        <v>7263962071</v>
      </c>
      <c r="F486" s="2" t="s">
        <v>13</v>
      </c>
      <c r="G486" s="2" t="s">
        <v>14</v>
      </c>
      <c r="H486" s="2" t="s">
        <v>21</v>
      </c>
      <c r="I486" s="2" t="s">
        <v>41</v>
      </c>
      <c r="J486" s="2" t="s">
        <v>22</v>
      </c>
    </row>
    <row r="487" spans="1:10" x14ac:dyDescent="0.3">
      <c r="A487" s="2" t="s">
        <v>496</v>
      </c>
      <c r="B487" s="2" t="s">
        <v>25</v>
      </c>
      <c r="C487" s="2" t="s">
        <v>33</v>
      </c>
      <c r="D487" s="2">
        <v>5</v>
      </c>
      <c r="E487" s="2">
        <v>6802777637</v>
      </c>
      <c r="F487" s="2" t="s">
        <v>19</v>
      </c>
      <c r="G487" s="2" t="s">
        <v>14</v>
      </c>
      <c r="H487" s="2" t="s">
        <v>15</v>
      </c>
      <c r="I487" s="2" t="s">
        <v>22</v>
      </c>
      <c r="J487" s="2" t="s">
        <v>23</v>
      </c>
    </row>
    <row r="488" spans="1:10" x14ac:dyDescent="0.3">
      <c r="A488" s="2" t="s">
        <v>184</v>
      </c>
      <c r="B488" s="2" t="s">
        <v>35</v>
      </c>
      <c r="C488" s="2" t="s">
        <v>36</v>
      </c>
      <c r="D488" s="2">
        <v>1</v>
      </c>
      <c r="E488" s="2">
        <v>8380003977</v>
      </c>
      <c r="F488" s="2" t="s">
        <v>13</v>
      </c>
      <c r="G488" s="2" t="s">
        <v>14</v>
      </c>
      <c r="H488" s="2" t="s">
        <v>15</v>
      </c>
      <c r="I488" s="2" t="s">
        <v>22</v>
      </c>
      <c r="J488" s="2" t="s">
        <v>22</v>
      </c>
    </row>
    <row r="489" spans="1:10" x14ac:dyDescent="0.3">
      <c r="A489" s="2" t="s">
        <v>497</v>
      </c>
      <c r="B489" s="2" t="s">
        <v>32</v>
      </c>
      <c r="C489" s="2" t="s">
        <v>26</v>
      </c>
      <c r="D489" s="2">
        <v>7</v>
      </c>
      <c r="E489" s="2">
        <v>7452989514</v>
      </c>
      <c r="F489" s="2" t="s">
        <v>19</v>
      </c>
      <c r="G489" s="2" t="s">
        <v>20</v>
      </c>
      <c r="H489" s="2" t="s">
        <v>21</v>
      </c>
      <c r="I489" s="2" t="s">
        <v>22</v>
      </c>
      <c r="J489" s="2" t="s">
        <v>22</v>
      </c>
    </row>
    <row r="490" spans="1:10" x14ac:dyDescent="0.3">
      <c r="A490" s="2" t="s">
        <v>498</v>
      </c>
      <c r="B490" s="2" t="s">
        <v>11</v>
      </c>
      <c r="C490" s="2" t="s">
        <v>43</v>
      </c>
      <c r="D490" s="2">
        <v>3</v>
      </c>
      <c r="E490" s="2">
        <v>9958928140</v>
      </c>
      <c r="F490" s="2" t="s">
        <v>13</v>
      </c>
      <c r="G490" s="2" t="s">
        <v>20</v>
      </c>
      <c r="H490" s="2" t="s">
        <v>15</v>
      </c>
      <c r="I490" s="2" t="s">
        <v>41</v>
      </c>
      <c r="J490" s="2" t="s">
        <v>17</v>
      </c>
    </row>
    <row r="491" spans="1:10" x14ac:dyDescent="0.3">
      <c r="A491" s="2" t="s">
        <v>499</v>
      </c>
      <c r="B491" s="2" t="s">
        <v>25</v>
      </c>
      <c r="C491" s="2" t="s">
        <v>36</v>
      </c>
      <c r="D491" s="2">
        <v>5</v>
      </c>
      <c r="E491" s="2">
        <v>9358394387</v>
      </c>
      <c r="F491" s="2" t="s">
        <v>13</v>
      </c>
      <c r="G491" s="2" t="s">
        <v>14</v>
      </c>
      <c r="H491" s="2" t="s">
        <v>21</v>
      </c>
      <c r="I491" s="2" t="s">
        <v>22</v>
      </c>
      <c r="J491" s="2" t="s">
        <v>17</v>
      </c>
    </row>
    <row r="492" spans="1:10" x14ac:dyDescent="0.3">
      <c r="A492" s="2" t="s">
        <v>448</v>
      </c>
      <c r="B492" s="2" t="s">
        <v>25</v>
      </c>
      <c r="C492" s="2" t="s">
        <v>26</v>
      </c>
      <c r="D492" s="2">
        <v>5</v>
      </c>
      <c r="E492" s="2">
        <v>8050211683</v>
      </c>
      <c r="F492" s="2" t="s">
        <v>19</v>
      </c>
      <c r="G492" s="2" t="s">
        <v>20</v>
      </c>
      <c r="H492" s="2" t="s">
        <v>21</v>
      </c>
      <c r="I492" s="2" t="s">
        <v>22</v>
      </c>
      <c r="J492" s="2" t="s">
        <v>17</v>
      </c>
    </row>
    <row r="493" spans="1:10" x14ac:dyDescent="0.3">
      <c r="A493" s="2" t="s">
        <v>500</v>
      </c>
      <c r="B493" s="2" t="s">
        <v>32</v>
      </c>
      <c r="C493" s="2" t="s">
        <v>26</v>
      </c>
      <c r="D493" s="2">
        <v>7</v>
      </c>
      <c r="E493" s="2">
        <v>8799177556</v>
      </c>
      <c r="F493" s="2" t="s">
        <v>19</v>
      </c>
      <c r="G493" s="2" t="s">
        <v>14</v>
      </c>
      <c r="H493" s="2" t="s">
        <v>21</v>
      </c>
      <c r="I493" s="2" t="s">
        <v>41</v>
      </c>
      <c r="J493" s="2" t="s">
        <v>23</v>
      </c>
    </row>
    <row r="494" spans="1:10" x14ac:dyDescent="0.3">
      <c r="A494" s="2" t="s">
        <v>501</v>
      </c>
      <c r="B494" s="2" t="s">
        <v>35</v>
      </c>
      <c r="C494" s="2" t="s">
        <v>43</v>
      </c>
      <c r="D494" s="2">
        <v>1</v>
      </c>
      <c r="E494" s="2">
        <v>8829335955</v>
      </c>
      <c r="F494" s="2" t="s">
        <v>13</v>
      </c>
      <c r="G494" s="2" t="s">
        <v>20</v>
      </c>
      <c r="H494" s="2" t="s">
        <v>21</v>
      </c>
      <c r="I494" s="2" t="s">
        <v>22</v>
      </c>
      <c r="J494" s="2" t="s">
        <v>23</v>
      </c>
    </row>
    <row r="495" spans="1:10" x14ac:dyDescent="0.3">
      <c r="A495" s="2" t="s">
        <v>459</v>
      </c>
      <c r="B495" s="2" t="s">
        <v>35</v>
      </c>
      <c r="C495" s="2" t="s">
        <v>43</v>
      </c>
      <c r="D495" s="2">
        <v>1</v>
      </c>
      <c r="E495" s="2">
        <v>7106236932</v>
      </c>
      <c r="F495" s="2" t="s">
        <v>13</v>
      </c>
      <c r="G495" s="2" t="s">
        <v>20</v>
      </c>
      <c r="H495" s="2" t="s">
        <v>21</v>
      </c>
      <c r="I495" s="2" t="s">
        <v>37</v>
      </c>
      <c r="J495" s="2" t="s">
        <v>22</v>
      </c>
    </row>
    <row r="496" spans="1:10" x14ac:dyDescent="0.3">
      <c r="A496" s="2" t="s">
        <v>502</v>
      </c>
      <c r="B496" s="2" t="s">
        <v>32</v>
      </c>
      <c r="C496" s="2" t="s">
        <v>33</v>
      </c>
      <c r="D496" s="2">
        <v>7</v>
      </c>
      <c r="E496" s="2">
        <v>6778183212</v>
      </c>
      <c r="F496" s="2" t="s">
        <v>19</v>
      </c>
      <c r="G496" s="2" t="s">
        <v>14</v>
      </c>
      <c r="H496" s="2" t="s">
        <v>15</v>
      </c>
      <c r="I496" s="2" t="s">
        <v>37</v>
      </c>
      <c r="J496" s="2" t="s">
        <v>22</v>
      </c>
    </row>
    <row r="497" spans="1:10" x14ac:dyDescent="0.3">
      <c r="A497" s="2" t="s">
        <v>503</v>
      </c>
      <c r="B497" s="2" t="s">
        <v>11</v>
      </c>
      <c r="C497" s="2" t="s">
        <v>12</v>
      </c>
      <c r="D497" s="2">
        <v>3</v>
      </c>
      <c r="E497" s="2">
        <v>7305820563</v>
      </c>
      <c r="F497" s="2" t="s">
        <v>13</v>
      </c>
      <c r="G497" s="2" t="s">
        <v>20</v>
      </c>
      <c r="H497" s="2" t="s">
        <v>21</v>
      </c>
      <c r="I497" s="2" t="s">
        <v>41</v>
      </c>
      <c r="J497" s="2" t="s">
        <v>17</v>
      </c>
    </row>
    <row r="498" spans="1:10" x14ac:dyDescent="0.3">
      <c r="A498" s="2" t="s">
        <v>504</v>
      </c>
      <c r="B498" s="2" t="s">
        <v>32</v>
      </c>
      <c r="C498" s="2" t="s">
        <v>33</v>
      </c>
      <c r="D498" s="2">
        <v>7</v>
      </c>
      <c r="E498" s="2">
        <v>6085750383</v>
      </c>
      <c r="F498" s="2" t="s">
        <v>19</v>
      </c>
      <c r="G498" s="2" t="s">
        <v>20</v>
      </c>
      <c r="H498" s="2" t="s">
        <v>15</v>
      </c>
      <c r="I498" s="2" t="s">
        <v>22</v>
      </c>
      <c r="J498" s="2" t="s">
        <v>23</v>
      </c>
    </row>
    <row r="499" spans="1:10" x14ac:dyDescent="0.3">
      <c r="A499" s="2" t="s">
        <v>46</v>
      </c>
      <c r="B499" s="2" t="s">
        <v>35</v>
      </c>
      <c r="C499" s="2" t="s">
        <v>12</v>
      </c>
      <c r="D499" s="2">
        <v>1</v>
      </c>
      <c r="E499" s="2">
        <v>6937024662</v>
      </c>
      <c r="F499" s="2" t="s">
        <v>19</v>
      </c>
      <c r="G499" s="2" t="s">
        <v>20</v>
      </c>
      <c r="H499" s="2" t="s">
        <v>15</v>
      </c>
      <c r="I499" s="2" t="s">
        <v>29</v>
      </c>
      <c r="J499" s="2" t="s">
        <v>22</v>
      </c>
    </row>
    <row r="500" spans="1:10" x14ac:dyDescent="0.3">
      <c r="A500" s="2" t="s">
        <v>505</v>
      </c>
      <c r="B500" s="2" t="s">
        <v>35</v>
      </c>
      <c r="C500" s="2" t="s">
        <v>12</v>
      </c>
      <c r="D500" s="2">
        <v>1</v>
      </c>
      <c r="E500" s="2">
        <v>9764627124</v>
      </c>
      <c r="F500" s="2" t="s">
        <v>19</v>
      </c>
      <c r="G500" s="2" t="s">
        <v>20</v>
      </c>
      <c r="H500" s="2" t="s">
        <v>21</v>
      </c>
      <c r="I500" s="2" t="s">
        <v>22</v>
      </c>
      <c r="J500" s="2" t="s">
        <v>23</v>
      </c>
    </row>
    <row r="501" spans="1:10" x14ac:dyDescent="0.3">
      <c r="A501" s="2" t="s">
        <v>506</v>
      </c>
      <c r="B501" s="2" t="s">
        <v>32</v>
      </c>
      <c r="C501" s="2" t="s">
        <v>26</v>
      </c>
      <c r="D501" s="2">
        <v>7</v>
      </c>
      <c r="E501" s="2">
        <v>6894705621</v>
      </c>
      <c r="F501" s="2" t="s">
        <v>19</v>
      </c>
      <c r="G501" s="2" t="s">
        <v>20</v>
      </c>
      <c r="H501" s="2" t="s">
        <v>21</v>
      </c>
      <c r="I501" s="2" t="s">
        <v>27</v>
      </c>
      <c r="J501" s="2" t="s">
        <v>22</v>
      </c>
    </row>
    <row r="502" spans="1:10" x14ac:dyDescent="0.3">
      <c r="A502" s="2" t="s">
        <v>507</v>
      </c>
      <c r="B502" s="2" t="s">
        <v>35</v>
      </c>
      <c r="C502" s="2" t="s">
        <v>43</v>
      </c>
      <c r="D502" s="2">
        <v>1</v>
      </c>
      <c r="E502" s="2">
        <v>7478040919</v>
      </c>
      <c r="F502" s="2" t="s">
        <v>19</v>
      </c>
      <c r="G502" s="2" t="s">
        <v>20</v>
      </c>
      <c r="H502" s="2" t="s">
        <v>15</v>
      </c>
      <c r="I502" s="2" t="s">
        <v>41</v>
      </c>
      <c r="J502" s="2" t="s">
        <v>22</v>
      </c>
    </row>
    <row r="503" spans="1:10" x14ac:dyDescent="0.3">
      <c r="A503" s="2" t="s">
        <v>508</v>
      </c>
      <c r="B503" s="2" t="s">
        <v>11</v>
      </c>
      <c r="C503" s="2" t="s">
        <v>33</v>
      </c>
      <c r="D503" s="2">
        <v>3</v>
      </c>
      <c r="E503" s="2">
        <v>8413669015</v>
      </c>
      <c r="F503" s="2" t="s">
        <v>13</v>
      </c>
      <c r="G503" s="2" t="s">
        <v>20</v>
      </c>
      <c r="H503" s="2" t="s">
        <v>21</v>
      </c>
      <c r="I503" s="2" t="s">
        <v>22</v>
      </c>
      <c r="J503" s="2" t="s">
        <v>22</v>
      </c>
    </row>
    <row r="504" spans="1:10" x14ac:dyDescent="0.3">
      <c r="A504" s="2" t="s">
        <v>509</v>
      </c>
      <c r="B504" s="2" t="s">
        <v>35</v>
      </c>
      <c r="C504" s="2" t="s">
        <v>12</v>
      </c>
      <c r="D504" s="2">
        <v>1</v>
      </c>
      <c r="E504" s="2">
        <v>7509845517</v>
      </c>
      <c r="F504" s="2" t="s">
        <v>13</v>
      </c>
      <c r="G504" s="2" t="s">
        <v>14</v>
      </c>
      <c r="H504" s="2" t="s">
        <v>15</v>
      </c>
      <c r="I504" s="2" t="s">
        <v>27</v>
      </c>
      <c r="J504" s="2" t="s">
        <v>22</v>
      </c>
    </row>
    <row r="505" spans="1:10" x14ac:dyDescent="0.3">
      <c r="A505" s="2" t="s">
        <v>510</v>
      </c>
      <c r="B505" s="2" t="s">
        <v>35</v>
      </c>
      <c r="C505" s="2" t="s">
        <v>43</v>
      </c>
      <c r="D505" s="2">
        <v>1</v>
      </c>
      <c r="E505" s="2">
        <v>7320490624</v>
      </c>
      <c r="F505" s="2" t="s">
        <v>13</v>
      </c>
      <c r="G505" s="2" t="s">
        <v>20</v>
      </c>
      <c r="H505" s="2" t="s">
        <v>21</v>
      </c>
      <c r="I505" s="2" t="s">
        <v>22</v>
      </c>
      <c r="J505" s="2" t="s">
        <v>23</v>
      </c>
    </row>
    <row r="506" spans="1:10" x14ac:dyDescent="0.3">
      <c r="A506" s="2" t="s">
        <v>511</v>
      </c>
      <c r="B506" s="2" t="s">
        <v>25</v>
      </c>
      <c r="C506" s="2" t="s">
        <v>12</v>
      </c>
      <c r="D506" s="2">
        <v>5</v>
      </c>
      <c r="E506" s="2">
        <v>8670642324</v>
      </c>
      <c r="F506" s="2" t="s">
        <v>19</v>
      </c>
      <c r="G506" s="2" t="s">
        <v>20</v>
      </c>
      <c r="H506" s="2" t="s">
        <v>15</v>
      </c>
      <c r="I506" s="2" t="s">
        <v>16</v>
      </c>
      <c r="J506" s="2" t="s">
        <v>17</v>
      </c>
    </row>
    <row r="507" spans="1:10" x14ac:dyDescent="0.3">
      <c r="A507" s="2" t="s">
        <v>512</v>
      </c>
      <c r="B507" s="2" t="s">
        <v>35</v>
      </c>
      <c r="C507" s="2" t="s">
        <v>26</v>
      </c>
      <c r="D507" s="2">
        <v>1</v>
      </c>
      <c r="E507" s="2">
        <v>8608868511</v>
      </c>
      <c r="F507" s="2" t="s">
        <v>19</v>
      </c>
      <c r="G507" s="2" t="s">
        <v>14</v>
      </c>
      <c r="H507" s="2" t="s">
        <v>15</v>
      </c>
      <c r="I507" s="2" t="s">
        <v>29</v>
      </c>
      <c r="J507" s="2" t="s">
        <v>22</v>
      </c>
    </row>
    <row r="508" spans="1:10" x14ac:dyDescent="0.3">
      <c r="A508" s="2" t="s">
        <v>513</v>
      </c>
      <c r="B508" s="2" t="s">
        <v>32</v>
      </c>
      <c r="C508" s="2" t="s">
        <v>36</v>
      </c>
      <c r="D508" s="2">
        <v>7</v>
      </c>
      <c r="E508" s="2">
        <v>9398634264</v>
      </c>
      <c r="F508" s="2" t="s">
        <v>13</v>
      </c>
      <c r="G508" s="2" t="s">
        <v>14</v>
      </c>
      <c r="H508" s="2" t="s">
        <v>15</v>
      </c>
      <c r="I508" s="2" t="s">
        <v>22</v>
      </c>
      <c r="J508" s="2" t="s">
        <v>23</v>
      </c>
    </row>
    <row r="509" spans="1:10" x14ac:dyDescent="0.3">
      <c r="A509" s="2" t="s">
        <v>514</v>
      </c>
      <c r="B509" s="2" t="s">
        <v>32</v>
      </c>
      <c r="C509" s="2" t="s">
        <v>26</v>
      </c>
      <c r="D509" s="2">
        <v>7</v>
      </c>
      <c r="E509" s="2">
        <v>6575664723</v>
      </c>
      <c r="F509" s="2" t="s">
        <v>19</v>
      </c>
      <c r="G509" s="2" t="s">
        <v>14</v>
      </c>
      <c r="H509" s="2" t="s">
        <v>21</v>
      </c>
      <c r="I509" s="2" t="s">
        <v>22</v>
      </c>
      <c r="J509" s="2" t="s">
        <v>23</v>
      </c>
    </row>
    <row r="510" spans="1:10" x14ac:dyDescent="0.3">
      <c r="A510" s="2" t="s">
        <v>432</v>
      </c>
      <c r="B510" s="2" t="s">
        <v>11</v>
      </c>
      <c r="C510" s="2" t="s">
        <v>26</v>
      </c>
      <c r="D510" s="2">
        <v>3</v>
      </c>
      <c r="E510" s="2">
        <v>9708243859</v>
      </c>
      <c r="F510" s="2" t="s">
        <v>19</v>
      </c>
      <c r="G510" s="2" t="s">
        <v>14</v>
      </c>
      <c r="H510" s="2" t="s">
        <v>21</v>
      </c>
      <c r="I510" s="2" t="s">
        <v>22</v>
      </c>
      <c r="J510" s="2" t="s">
        <v>23</v>
      </c>
    </row>
    <row r="511" spans="1:10" x14ac:dyDescent="0.3">
      <c r="A511" s="2" t="s">
        <v>515</v>
      </c>
      <c r="B511" s="2" t="s">
        <v>25</v>
      </c>
      <c r="C511" s="2" t="s">
        <v>33</v>
      </c>
      <c r="D511" s="2">
        <v>5</v>
      </c>
      <c r="E511" s="2">
        <v>6501963377</v>
      </c>
      <c r="F511" s="2" t="s">
        <v>19</v>
      </c>
      <c r="G511" s="2" t="s">
        <v>20</v>
      </c>
      <c r="H511" s="2" t="s">
        <v>15</v>
      </c>
      <c r="I511" s="2" t="s">
        <v>22</v>
      </c>
      <c r="J511" s="2" t="s">
        <v>17</v>
      </c>
    </row>
    <row r="512" spans="1:10" x14ac:dyDescent="0.3">
      <c r="A512" s="2" t="s">
        <v>516</v>
      </c>
      <c r="B512" s="2" t="s">
        <v>11</v>
      </c>
      <c r="C512" s="2" t="s">
        <v>26</v>
      </c>
      <c r="D512" s="2">
        <v>3</v>
      </c>
      <c r="E512" s="2">
        <v>8679500866</v>
      </c>
      <c r="F512" s="2" t="s">
        <v>19</v>
      </c>
      <c r="G512" s="2" t="s">
        <v>20</v>
      </c>
      <c r="H512" s="2" t="s">
        <v>15</v>
      </c>
      <c r="I512" s="2" t="s">
        <v>22</v>
      </c>
      <c r="J512" s="2" t="s">
        <v>22</v>
      </c>
    </row>
    <row r="513" spans="1:10" x14ac:dyDescent="0.3">
      <c r="A513" s="2" t="s">
        <v>517</v>
      </c>
      <c r="B513" s="2" t="s">
        <v>11</v>
      </c>
      <c r="C513" s="2" t="s">
        <v>33</v>
      </c>
      <c r="D513" s="2">
        <v>3</v>
      </c>
      <c r="E513" s="2">
        <v>7304676721</v>
      </c>
      <c r="F513" s="2" t="s">
        <v>19</v>
      </c>
      <c r="G513" s="2" t="s">
        <v>20</v>
      </c>
      <c r="H513" s="2" t="s">
        <v>21</v>
      </c>
      <c r="I513" s="2" t="s">
        <v>16</v>
      </c>
      <c r="J513" s="2" t="s">
        <v>22</v>
      </c>
    </row>
    <row r="514" spans="1:10" x14ac:dyDescent="0.3">
      <c r="A514" s="2" t="s">
        <v>518</v>
      </c>
      <c r="B514" s="2" t="s">
        <v>25</v>
      </c>
      <c r="C514" s="2" t="s">
        <v>26</v>
      </c>
      <c r="D514" s="2">
        <v>5</v>
      </c>
      <c r="E514" s="2">
        <v>8566880913</v>
      </c>
      <c r="F514" s="2" t="s">
        <v>13</v>
      </c>
      <c r="G514" s="2" t="s">
        <v>14</v>
      </c>
      <c r="H514" s="2" t="s">
        <v>21</v>
      </c>
      <c r="I514" s="2" t="s">
        <v>27</v>
      </c>
      <c r="J514" s="2" t="s">
        <v>17</v>
      </c>
    </row>
    <row r="515" spans="1:10" x14ac:dyDescent="0.3">
      <c r="A515" s="2" t="s">
        <v>519</v>
      </c>
      <c r="B515" s="2" t="s">
        <v>11</v>
      </c>
      <c r="C515" s="2" t="s">
        <v>36</v>
      </c>
      <c r="D515" s="2">
        <v>3</v>
      </c>
      <c r="E515" s="2">
        <v>6241830847</v>
      </c>
      <c r="F515" s="2" t="s">
        <v>19</v>
      </c>
      <c r="G515" s="2" t="s">
        <v>20</v>
      </c>
      <c r="H515" s="2" t="s">
        <v>21</v>
      </c>
      <c r="I515" s="2" t="s">
        <v>37</v>
      </c>
      <c r="J515" s="2" t="s">
        <v>22</v>
      </c>
    </row>
    <row r="516" spans="1:10" x14ac:dyDescent="0.3">
      <c r="A516" s="2" t="s">
        <v>520</v>
      </c>
      <c r="B516" s="2" t="s">
        <v>11</v>
      </c>
      <c r="C516" s="2" t="s">
        <v>33</v>
      </c>
      <c r="D516" s="2">
        <v>3</v>
      </c>
      <c r="E516" s="2">
        <v>6868890909</v>
      </c>
      <c r="F516" s="2" t="s">
        <v>13</v>
      </c>
      <c r="G516" s="2" t="s">
        <v>14</v>
      </c>
      <c r="H516" s="2" t="s">
        <v>15</v>
      </c>
      <c r="I516" s="2" t="s">
        <v>22</v>
      </c>
      <c r="J516" s="2" t="s">
        <v>23</v>
      </c>
    </row>
    <row r="517" spans="1:10" x14ac:dyDescent="0.3">
      <c r="A517" s="2" t="s">
        <v>521</v>
      </c>
      <c r="B517" s="2" t="s">
        <v>32</v>
      </c>
      <c r="C517" s="2" t="s">
        <v>33</v>
      </c>
      <c r="D517" s="2">
        <v>7</v>
      </c>
      <c r="E517" s="2">
        <v>9254975927</v>
      </c>
      <c r="F517" s="2" t="s">
        <v>19</v>
      </c>
      <c r="G517" s="2" t="s">
        <v>14</v>
      </c>
      <c r="H517" s="2" t="s">
        <v>21</v>
      </c>
      <c r="I517" s="2" t="s">
        <v>22</v>
      </c>
      <c r="J517" s="2" t="s">
        <v>22</v>
      </c>
    </row>
    <row r="518" spans="1:10" x14ac:dyDescent="0.3">
      <c r="A518" s="2" t="s">
        <v>522</v>
      </c>
      <c r="B518" s="2" t="s">
        <v>25</v>
      </c>
      <c r="C518" s="2" t="s">
        <v>36</v>
      </c>
      <c r="D518" s="2">
        <v>5</v>
      </c>
      <c r="E518" s="2">
        <v>8219286416</v>
      </c>
      <c r="F518" s="2" t="s">
        <v>19</v>
      </c>
      <c r="G518" s="2" t="s">
        <v>14</v>
      </c>
      <c r="H518" s="2" t="s">
        <v>15</v>
      </c>
      <c r="I518" s="2" t="s">
        <v>27</v>
      </c>
      <c r="J518" s="2" t="s">
        <v>17</v>
      </c>
    </row>
    <row r="519" spans="1:10" x14ac:dyDescent="0.3">
      <c r="A519" s="2" t="s">
        <v>523</v>
      </c>
      <c r="B519" s="2" t="s">
        <v>11</v>
      </c>
      <c r="C519" s="2" t="s">
        <v>26</v>
      </c>
      <c r="D519" s="2">
        <v>3</v>
      </c>
      <c r="E519" s="2">
        <v>7366898250</v>
      </c>
      <c r="F519" s="2" t="s">
        <v>19</v>
      </c>
      <c r="G519" s="2" t="s">
        <v>14</v>
      </c>
      <c r="H519" s="2" t="s">
        <v>15</v>
      </c>
      <c r="I519" s="2" t="s">
        <v>22</v>
      </c>
      <c r="J519" s="2" t="s">
        <v>23</v>
      </c>
    </row>
    <row r="520" spans="1:10" x14ac:dyDescent="0.3">
      <c r="A520" s="2" t="s">
        <v>524</v>
      </c>
      <c r="B520" s="2" t="s">
        <v>32</v>
      </c>
      <c r="C520" s="2" t="s">
        <v>26</v>
      </c>
      <c r="D520" s="2">
        <v>7</v>
      </c>
      <c r="E520" s="2">
        <v>6021890263</v>
      </c>
      <c r="F520" s="2" t="s">
        <v>19</v>
      </c>
      <c r="G520" s="2" t="s">
        <v>20</v>
      </c>
      <c r="H520" s="2" t="s">
        <v>15</v>
      </c>
      <c r="I520" s="2" t="s">
        <v>22</v>
      </c>
      <c r="J520" s="2" t="s">
        <v>22</v>
      </c>
    </row>
    <row r="521" spans="1:10" x14ac:dyDescent="0.3">
      <c r="A521" s="2" t="s">
        <v>525</v>
      </c>
      <c r="B521" s="2" t="s">
        <v>32</v>
      </c>
      <c r="C521" s="2" t="s">
        <v>26</v>
      </c>
      <c r="D521" s="2">
        <v>7</v>
      </c>
      <c r="E521" s="2">
        <v>7918713135</v>
      </c>
      <c r="F521" s="2" t="s">
        <v>19</v>
      </c>
      <c r="G521" s="2" t="s">
        <v>14</v>
      </c>
      <c r="H521" s="2" t="s">
        <v>15</v>
      </c>
      <c r="I521" s="2" t="s">
        <v>29</v>
      </c>
      <c r="J521" s="2" t="s">
        <v>22</v>
      </c>
    </row>
    <row r="522" spans="1:10" x14ac:dyDescent="0.3">
      <c r="A522" s="2" t="s">
        <v>526</v>
      </c>
      <c r="B522" s="2" t="s">
        <v>11</v>
      </c>
      <c r="C522" s="2" t="s">
        <v>43</v>
      </c>
      <c r="D522" s="2">
        <v>3</v>
      </c>
      <c r="E522" s="2">
        <v>9178261686</v>
      </c>
      <c r="F522" s="2" t="s">
        <v>19</v>
      </c>
      <c r="G522" s="2" t="s">
        <v>14</v>
      </c>
      <c r="H522" s="2" t="s">
        <v>21</v>
      </c>
      <c r="I522" s="2" t="s">
        <v>37</v>
      </c>
      <c r="J522" s="2" t="s">
        <v>23</v>
      </c>
    </row>
    <row r="523" spans="1:10" x14ac:dyDescent="0.3">
      <c r="A523" s="2" t="s">
        <v>527</v>
      </c>
      <c r="B523" s="2" t="s">
        <v>11</v>
      </c>
      <c r="C523" s="2" t="s">
        <v>12</v>
      </c>
      <c r="D523" s="2">
        <v>3</v>
      </c>
      <c r="E523" s="2">
        <v>9633833628</v>
      </c>
      <c r="F523" s="2" t="s">
        <v>13</v>
      </c>
      <c r="G523" s="2" t="s">
        <v>14</v>
      </c>
      <c r="H523" s="2" t="s">
        <v>21</v>
      </c>
      <c r="I523" s="2" t="s">
        <v>22</v>
      </c>
      <c r="J523" s="2" t="s">
        <v>17</v>
      </c>
    </row>
    <row r="524" spans="1:10" x14ac:dyDescent="0.3">
      <c r="A524" s="2" t="s">
        <v>528</v>
      </c>
      <c r="B524" s="2" t="s">
        <v>11</v>
      </c>
      <c r="C524" s="2" t="s">
        <v>26</v>
      </c>
      <c r="D524" s="2">
        <v>3</v>
      </c>
      <c r="E524" s="2">
        <v>9570615344</v>
      </c>
      <c r="F524" s="2" t="s">
        <v>13</v>
      </c>
      <c r="G524" s="2" t="s">
        <v>20</v>
      </c>
      <c r="H524" s="2" t="s">
        <v>15</v>
      </c>
      <c r="I524" s="2" t="s">
        <v>37</v>
      </c>
      <c r="J524" s="2" t="s">
        <v>22</v>
      </c>
    </row>
    <row r="525" spans="1:10" x14ac:dyDescent="0.3">
      <c r="A525" s="2" t="s">
        <v>268</v>
      </c>
      <c r="B525" s="2" t="s">
        <v>32</v>
      </c>
      <c r="C525" s="2" t="s">
        <v>43</v>
      </c>
      <c r="D525" s="2">
        <v>7</v>
      </c>
      <c r="E525" s="2">
        <v>6193139365</v>
      </c>
      <c r="F525" s="2" t="s">
        <v>13</v>
      </c>
      <c r="G525" s="2" t="s">
        <v>20</v>
      </c>
      <c r="H525" s="2" t="s">
        <v>15</v>
      </c>
      <c r="I525" s="2" t="s">
        <v>22</v>
      </c>
      <c r="J525" s="2" t="s">
        <v>17</v>
      </c>
    </row>
    <row r="526" spans="1:10" x14ac:dyDescent="0.3">
      <c r="A526" s="2" t="s">
        <v>529</v>
      </c>
      <c r="B526" s="2" t="s">
        <v>25</v>
      </c>
      <c r="C526" s="2" t="s">
        <v>26</v>
      </c>
      <c r="D526" s="2">
        <v>5</v>
      </c>
      <c r="E526" s="2">
        <v>8328043599</v>
      </c>
      <c r="F526" s="2" t="s">
        <v>13</v>
      </c>
      <c r="G526" s="2" t="s">
        <v>14</v>
      </c>
      <c r="H526" s="2" t="s">
        <v>15</v>
      </c>
      <c r="I526" s="2" t="s">
        <v>29</v>
      </c>
      <c r="J526" s="2" t="s">
        <v>23</v>
      </c>
    </row>
    <row r="527" spans="1:10" x14ac:dyDescent="0.3">
      <c r="A527" s="2" t="s">
        <v>530</v>
      </c>
      <c r="B527" s="2" t="s">
        <v>25</v>
      </c>
      <c r="C527" s="2" t="s">
        <v>26</v>
      </c>
      <c r="D527" s="2">
        <v>5</v>
      </c>
      <c r="E527" s="2">
        <v>6785071094</v>
      </c>
      <c r="F527" s="2" t="s">
        <v>19</v>
      </c>
      <c r="G527" s="2" t="s">
        <v>20</v>
      </c>
      <c r="H527" s="2" t="s">
        <v>15</v>
      </c>
      <c r="I527" s="2" t="s">
        <v>41</v>
      </c>
      <c r="J527" s="2" t="s">
        <v>23</v>
      </c>
    </row>
    <row r="528" spans="1:10" x14ac:dyDescent="0.3">
      <c r="A528" s="2" t="s">
        <v>531</v>
      </c>
      <c r="B528" s="2" t="s">
        <v>35</v>
      </c>
      <c r="C528" s="2" t="s">
        <v>12</v>
      </c>
      <c r="D528" s="2">
        <v>1</v>
      </c>
      <c r="E528" s="2">
        <v>8231655871</v>
      </c>
      <c r="F528" s="2" t="s">
        <v>19</v>
      </c>
      <c r="G528" s="2" t="s">
        <v>20</v>
      </c>
      <c r="H528" s="2" t="s">
        <v>21</v>
      </c>
      <c r="I528" s="2" t="s">
        <v>16</v>
      </c>
      <c r="J528" s="2" t="s">
        <v>17</v>
      </c>
    </row>
    <row r="529" spans="1:10" x14ac:dyDescent="0.3">
      <c r="A529" s="2" t="s">
        <v>532</v>
      </c>
      <c r="B529" s="2" t="s">
        <v>11</v>
      </c>
      <c r="C529" s="2" t="s">
        <v>36</v>
      </c>
      <c r="D529" s="2">
        <v>3</v>
      </c>
      <c r="E529" s="2">
        <v>9835142753</v>
      </c>
      <c r="F529" s="2" t="s">
        <v>13</v>
      </c>
      <c r="G529" s="2" t="s">
        <v>20</v>
      </c>
      <c r="H529" s="2" t="s">
        <v>15</v>
      </c>
      <c r="I529" s="2" t="s">
        <v>41</v>
      </c>
      <c r="J529" s="2" t="s">
        <v>17</v>
      </c>
    </row>
    <row r="530" spans="1:10" x14ac:dyDescent="0.3">
      <c r="A530" s="2" t="s">
        <v>156</v>
      </c>
      <c r="B530" s="2" t="s">
        <v>11</v>
      </c>
      <c r="C530" s="2" t="s">
        <v>36</v>
      </c>
      <c r="D530" s="2">
        <v>3</v>
      </c>
      <c r="E530" s="2">
        <v>6655421202</v>
      </c>
      <c r="F530" s="2" t="s">
        <v>19</v>
      </c>
      <c r="G530" s="2" t="s">
        <v>14</v>
      </c>
      <c r="H530" s="2" t="s">
        <v>15</v>
      </c>
      <c r="I530" s="2" t="s">
        <v>22</v>
      </c>
      <c r="J530" s="2" t="s">
        <v>22</v>
      </c>
    </row>
    <row r="531" spans="1:10" x14ac:dyDescent="0.3">
      <c r="A531" s="2" t="s">
        <v>533</v>
      </c>
      <c r="B531" s="2" t="s">
        <v>32</v>
      </c>
      <c r="C531" s="2" t="s">
        <v>43</v>
      </c>
      <c r="D531" s="2">
        <v>7</v>
      </c>
      <c r="E531" s="2">
        <v>6195026846</v>
      </c>
      <c r="F531" s="2" t="s">
        <v>19</v>
      </c>
      <c r="G531" s="2" t="s">
        <v>20</v>
      </c>
      <c r="H531" s="2" t="s">
        <v>15</v>
      </c>
      <c r="I531" s="2" t="s">
        <v>16</v>
      </c>
      <c r="J531" s="2" t="s">
        <v>23</v>
      </c>
    </row>
    <row r="532" spans="1:10" x14ac:dyDescent="0.3">
      <c r="A532" s="2" t="s">
        <v>534</v>
      </c>
      <c r="B532" s="2" t="s">
        <v>11</v>
      </c>
      <c r="C532" s="2" t="s">
        <v>36</v>
      </c>
      <c r="D532" s="2">
        <v>3</v>
      </c>
      <c r="E532" s="2">
        <v>9805179615</v>
      </c>
      <c r="F532" s="2" t="s">
        <v>13</v>
      </c>
      <c r="G532" s="2" t="s">
        <v>14</v>
      </c>
      <c r="H532" s="2" t="s">
        <v>15</v>
      </c>
      <c r="I532" s="2" t="s">
        <v>41</v>
      </c>
      <c r="J532" s="2" t="s">
        <v>22</v>
      </c>
    </row>
    <row r="533" spans="1:10" x14ac:dyDescent="0.3">
      <c r="A533" s="2" t="s">
        <v>535</v>
      </c>
      <c r="B533" s="2" t="s">
        <v>35</v>
      </c>
      <c r="C533" s="2" t="s">
        <v>36</v>
      </c>
      <c r="D533" s="2">
        <v>1</v>
      </c>
      <c r="E533" s="2">
        <v>6509196471</v>
      </c>
      <c r="F533" s="2" t="s">
        <v>19</v>
      </c>
      <c r="G533" s="2" t="s">
        <v>20</v>
      </c>
      <c r="H533" s="2" t="s">
        <v>15</v>
      </c>
      <c r="I533" s="2" t="s">
        <v>41</v>
      </c>
      <c r="J533" s="2" t="s">
        <v>22</v>
      </c>
    </row>
    <row r="534" spans="1:10" x14ac:dyDescent="0.3">
      <c r="A534" s="2" t="s">
        <v>536</v>
      </c>
      <c r="B534" s="2" t="s">
        <v>11</v>
      </c>
      <c r="C534" s="2" t="s">
        <v>43</v>
      </c>
      <c r="D534" s="2">
        <v>3</v>
      </c>
      <c r="E534" s="2">
        <v>7857047171</v>
      </c>
      <c r="F534" s="2" t="s">
        <v>13</v>
      </c>
      <c r="G534" s="2" t="s">
        <v>14</v>
      </c>
      <c r="H534" s="2" t="s">
        <v>21</v>
      </c>
      <c r="I534" s="2" t="s">
        <v>27</v>
      </c>
      <c r="J534" s="2" t="s">
        <v>22</v>
      </c>
    </row>
    <row r="535" spans="1:10" x14ac:dyDescent="0.3">
      <c r="A535" s="2" t="s">
        <v>537</v>
      </c>
      <c r="B535" s="2" t="s">
        <v>35</v>
      </c>
      <c r="C535" s="2" t="s">
        <v>36</v>
      </c>
      <c r="D535" s="2">
        <v>1</v>
      </c>
      <c r="E535" s="2">
        <v>9308105932</v>
      </c>
      <c r="F535" s="2" t="s">
        <v>19</v>
      </c>
      <c r="G535" s="2" t="s">
        <v>14</v>
      </c>
      <c r="H535" s="2" t="s">
        <v>15</v>
      </c>
      <c r="I535" s="2" t="s">
        <v>41</v>
      </c>
      <c r="J535" s="2" t="s">
        <v>23</v>
      </c>
    </row>
    <row r="536" spans="1:10" x14ac:dyDescent="0.3">
      <c r="A536" s="2" t="s">
        <v>538</v>
      </c>
      <c r="B536" s="2" t="s">
        <v>32</v>
      </c>
      <c r="C536" s="2" t="s">
        <v>12</v>
      </c>
      <c r="D536" s="2">
        <v>7</v>
      </c>
      <c r="E536" s="2">
        <v>8085452036</v>
      </c>
      <c r="F536" s="2" t="s">
        <v>13</v>
      </c>
      <c r="G536" s="2" t="s">
        <v>20</v>
      </c>
      <c r="H536" s="2" t="s">
        <v>21</v>
      </c>
      <c r="I536" s="2" t="s">
        <v>22</v>
      </c>
      <c r="J536" s="2" t="s">
        <v>22</v>
      </c>
    </row>
    <row r="537" spans="1:10" x14ac:dyDescent="0.3">
      <c r="A537" s="2" t="s">
        <v>539</v>
      </c>
      <c r="B537" s="2" t="s">
        <v>35</v>
      </c>
      <c r="C537" s="2" t="s">
        <v>12</v>
      </c>
      <c r="D537" s="2">
        <v>1</v>
      </c>
      <c r="E537" s="2">
        <v>8758498860</v>
      </c>
      <c r="F537" s="2" t="s">
        <v>19</v>
      </c>
      <c r="G537" s="2" t="s">
        <v>20</v>
      </c>
      <c r="H537" s="2" t="s">
        <v>21</v>
      </c>
      <c r="I537" s="2" t="s">
        <v>22</v>
      </c>
      <c r="J537" s="2" t="s">
        <v>17</v>
      </c>
    </row>
    <row r="538" spans="1:10" x14ac:dyDescent="0.3">
      <c r="A538" s="2" t="s">
        <v>540</v>
      </c>
      <c r="B538" s="2" t="s">
        <v>35</v>
      </c>
      <c r="C538" s="2" t="s">
        <v>26</v>
      </c>
      <c r="D538" s="2">
        <v>1</v>
      </c>
      <c r="E538" s="2">
        <v>9398881248</v>
      </c>
      <c r="F538" s="2" t="s">
        <v>19</v>
      </c>
      <c r="G538" s="2" t="s">
        <v>14</v>
      </c>
      <c r="H538" s="2" t="s">
        <v>15</v>
      </c>
      <c r="I538" s="2" t="s">
        <v>27</v>
      </c>
      <c r="J538" s="2" t="s">
        <v>22</v>
      </c>
    </row>
    <row r="539" spans="1:10" x14ac:dyDescent="0.3">
      <c r="A539" s="2" t="s">
        <v>541</v>
      </c>
      <c r="B539" s="2" t="s">
        <v>35</v>
      </c>
      <c r="C539" s="2" t="s">
        <v>26</v>
      </c>
      <c r="D539" s="2">
        <v>1</v>
      </c>
      <c r="E539" s="2">
        <v>8615835306</v>
      </c>
      <c r="F539" s="2" t="s">
        <v>19</v>
      </c>
      <c r="G539" s="2" t="s">
        <v>14</v>
      </c>
      <c r="H539" s="2" t="s">
        <v>21</v>
      </c>
      <c r="I539" s="2" t="s">
        <v>41</v>
      </c>
      <c r="J539" s="2" t="s">
        <v>22</v>
      </c>
    </row>
    <row r="540" spans="1:10" x14ac:dyDescent="0.3">
      <c r="A540" s="2" t="s">
        <v>542</v>
      </c>
      <c r="B540" s="2" t="s">
        <v>25</v>
      </c>
      <c r="C540" s="2" t="s">
        <v>33</v>
      </c>
      <c r="D540" s="2">
        <v>5</v>
      </c>
      <c r="E540" s="2">
        <v>9425841780</v>
      </c>
      <c r="F540" s="2" t="s">
        <v>13</v>
      </c>
      <c r="G540" s="2" t="s">
        <v>20</v>
      </c>
      <c r="H540" s="2" t="s">
        <v>15</v>
      </c>
      <c r="I540" s="2" t="s">
        <v>37</v>
      </c>
      <c r="J540" s="2" t="s">
        <v>23</v>
      </c>
    </row>
    <row r="541" spans="1:10" x14ac:dyDescent="0.3">
      <c r="A541" s="2" t="s">
        <v>543</v>
      </c>
      <c r="B541" s="2" t="s">
        <v>11</v>
      </c>
      <c r="C541" s="2" t="s">
        <v>43</v>
      </c>
      <c r="D541" s="2">
        <v>3</v>
      </c>
      <c r="E541" s="2">
        <v>8943284099</v>
      </c>
      <c r="F541" s="2" t="s">
        <v>13</v>
      </c>
      <c r="G541" s="2" t="s">
        <v>14</v>
      </c>
      <c r="H541" s="2" t="s">
        <v>15</v>
      </c>
      <c r="I541" s="2" t="s">
        <v>22</v>
      </c>
      <c r="J541" s="2" t="s">
        <v>22</v>
      </c>
    </row>
    <row r="542" spans="1:10" x14ac:dyDescent="0.3">
      <c r="A542" s="2" t="s">
        <v>544</v>
      </c>
      <c r="B542" s="2" t="s">
        <v>11</v>
      </c>
      <c r="C542" s="2" t="s">
        <v>33</v>
      </c>
      <c r="D542" s="2">
        <v>3</v>
      </c>
      <c r="E542" s="2">
        <v>6650420596</v>
      </c>
      <c r="F542" s="2" t="s">
        <v>19</v>
      </c>
      <c r="G542" s="2" t="s">
        <v>14</v>
      </c>
      <c r="H542" s="2" t="s">
        <v>15</v>
      </c>
      <c r="I542" s="2" t="s">
        <v>29</v>
      </c>
      <c r="J542" s="2" t="s">
        <v>22</v>
      </c>
    </row>
    <row r="543" spans="1:10" x14ac:dyDescent="0.3">
      <c r="A543" s="2" t="s">
        <v>545</v>
      </c>
      <c r="B543" s="2" t="s">
        <v>35</v>
      </c>
      <c r="C543" s="2" t="s">
        <v>12</v>
      </c>
      <c r="D543" s="2">
        <v>1</v>
      </c>
      <c r="E543" s="2">
        <v>7242389060</v>
      </c>
      <c r="F543" s="2" t="s">
        <v>13</v>
      </c>
      <c r="G543" s="2" t="s">
        <v>14</v>
      </c>
      <c r="H543" s="2" t="s">
        <v>15</v>
      </c>
      <c r="I543" s="2" t="s">
        <v>22</v>
      </c>
      <c r="J543" s="2" t="s">
        <v>22</v>
      </c>
    </row>
    <row r="544" spans="1:10" x14ac:dyDescent="0.3">
      <c r="A544" s="2" t="s">
        <v>546</v>
      </c>
      <c r="B544" s="2" t="s">
        <v>11</v>
      </c>
      <c r="C544" s="2" t="s">
        <v>26</v>
      </c>
      <c r="D544" s="2">
        <v>3</v>
      </c>
      <c r="E544" s="2">
        <v>7691732993</v>
      </c>
      <c r="F544" s="2" t="s">
        <v>13</v>
      </c>
      <c r="G544" s="2" t="s">
        <v>14</v>
      </c>
      <c r="H544" s="2" t="s">
        <v>21</v>
      </c>
      <c r="I544" s="2" t="s">
        <v>16</v>
      </c>
      <c r="J544" s="2" t="s">
        <v>23</v>
      </c>
    </row>
    <row r="545" spans="1:10" x14ac:dyDescent="0.3">
      <c r="A545" s="2" t="s">
        <v>547</v>
      </c>
      <c r="B545" s="2" t="s">
        <v>25</v>
      </c>
      <c r="C545" s="2" t="s">
        <v>33</v>
      </c>
      <c r="D545" s="2">
        <v>5</v>
      </c>
      <c r="E545" s="2">
        <v>8293622460</v>
      </c>
      <c r="F545" s="2" t="s">
        <v>13</v>
      </c>
      <c r="G545" s="2" t="s">
        <v>14</v>
      </c>
      <c r="H545" s="2" t="s">
        <v>15</v>
      </c>
      <c r="I545" s="2" t="s">
        <v>37</v>
      </c>
      <c r="J545" s="2" t="s">
        <v>17</v>
      </c>
    </row>
    <row r="546" spans="1:10" x14ac:dyDescent="0.3">
      <c r="A546" s="2" t="s">
        <v>548</v>
      </c>
      <c r="B546" s="2" t="s">
        <v>11</v>
      </c>
      <c r="C546" s="2" t="s">
        <v>36</v>
      </c>
      <c r="D546" s="2">
        <v>3</v>
      </c>
      <c r="E546" s="2">
        <v>6413890731</v>
      </c>
      <c r="F546" s="2" t="s">
        <v>13</v>
      </c>
      <c r="G546" s="2" t="s">
        <v>20</v>
      </c>
      <c r="H546" s="2" t="s">
        <v>21</v>
      </c>
      <c r="I546" s="2" t="s">
        <v>16</v>
      </c>
      <c r="J546" s="2" t="s">
        <v>22</v>
      </c>
    </row>
    <row r="547" spans="1:10" x14ac:dyDescent="0.3">
      <c r="A547" s="2" t="s">
        <v>549</v>
      </c>
      <c r="B547" s="2" t="s">
        <v>35</v>
      </c>
      <c r="C547" s="2" t="s">
        <v>12</v>
      </c>
      <c r="D547" s="2">
        <v>1</v>
      </c>
      <c r="E547" s="2">
        <v>6482716114</v>
      </c>
      <c r="F547" s="2" t="s">
        <v>19</v>
      </c>
      <c r="G547" s="2" t="s">
        <v>14</v>
      </c>
      <c r="H547" s="2" t="s">
        <v>15</v>
      </c>
      <c r="I547" s="2" t="s">
        <v>22</v>
      </c>
      <c r="J547" s="2" t="s">
        <v>22</v>
      </c>
    </row>
    <row r="548" spans="1:10" x14ac:dyDescent="0.3">
      <c r="A548" s="2" t="s">
        <v>550</v>
      </c>
      <c r="B548" s="2" t="s">
        <v>35</v>
      </c>
      <c r="C548" s="2" t="s">
        <v>26</v>
      </c>
      <c r="D548" s="2">
        <v>1</v>
      </c>
      <c r="E548" s="2">
        <v>7820565827</v>
      </c>
      <c r="F548" s="2" t="s">
        <v>13</v>
      </c>
      <c r="G548" s="2" t="s">
        <v>14</v>
      </c>
      <c r="H548" s="2" t="s">
        <v>21</v>
      </c>
      <c r="I548" s="2" t="s">
        <v>22</v>
      </c>
      <c r="J548" s="2" t="s">
        <v>23</v>
      </c>
    </row>
    <row r="549" spans="1:10" x14ac:dyDescent="0.3">
      <c r="A549" s="2" t="s">
        <v>551</v>
      </c>
      <c r="B549" s="2" t="s">
        <v>35</v>
      </c>
      <c r="C549" s="2" t="s">
        <v>12</v>
      </c>
      <c r="D549" s="2">
        <v>1</v>
      </c>
      <c r="E549" s="2">
        <v>8901463651</v>
      </c>
      <c r="F549" s="2" t="s">
        <v>13</v>
      </c>
      <c r="G549" s="2" t="s">
        <v>14</v>
      </c>
      <c r="H549" s="2" t="s">
        <v>21</v>
      </c>
      <c r="I549" s="2" t="s">
        <v>22</v>
      </c>
      <c r="J549" s="2" t="s">
        <v>23</v>
      </c>
    </row>
    <row r="550" spans="1:10" x14ac:dyDescent="0.3">
      <c r="A550" s="2" t="s">
        <v>552</v>
      </c>
      <c r="B550" s="2" t="s">
        <v>35</v>
      </c>
      <c r="C550" s="2" t="s">
        <v>36</v>
      </c>
      <c r="D550" s="2">
        <v>1</v>
      </c>
      <c r="E550" s="2">
        <v>9800791989</v>
      </c>
      <c r="F550" s="2" t="s">
        <v>13</v>
      </c>
      <c r="G550" s="2" t="s">
        <v>20</v>
      </c>
      <c r="H550" s="2" t="s">
        <v>21</v>
      </c>
      <c r="I550" s="2" t="s">
        <v>37</v>
      </c>
      <c r="J550" s="2" t="s">
        <v>22</v>
      </c>
    </row>
    <row r="551" spans="1:10" x14ac:dyDescent="0.3">
      <c r="A551" s="2" t="s">
        <v>553</v>
      </c>
      <c r="B551" s="2" t="s">
        <v>32</v>
      </c>
      <c r="C551" s="2" t="s">
        <v>33</v>
      </c>
      <c r="D551" s="2">
        <v>7</v>
      </c>
      <c r="E551" s="2">
        <v>9400327196</v>
      </c>
      <c r="F551" s="2" t="s">
        <v>19</v>
      </c>
      <c r="G551" s="2" t="s">
        <v>20</v>
      </c>
      <c r="H551" s="2" t="s">
        <v>15</v>
      </c>
      <c r="I551" s="2" t="s">
        <v>29</v>
      </c>
      <c r="J551" s="2" t="s">
        <v>17</v>
      </c>
    </row>
    <row r="552" spans="1:10" x14ac:dyDescent="0.3">
      <c r="A552" s="2" t="s">
        <v>554</v>
      </c>
      <c r="B552" s="2" t="s">
        <v>35</v>
      </c>
      <c r="C552" s="2" t="s">
        <v>36</v>
      </c>
      <c r="D552" s="2">
        <v>1</v>
      </c>
      <c r="E552" s="2">
        <v>6391016261</v>
      </c>
      <c r="F552" s="2" t="s">
        <v>13</v>
      </c>
      <c r="G552" s="2" t="s">
        <v>14</v>
      </c>
      <c r="H552" s="2" t="s">
        <v>15</v>
      </c>
      <c r="I552" s="2" t="s">
        <v>37</v>
      </c>
      <c r="J552" s="2" t="s">
        <v>23</v>
      </c>
    </row>
    <row r="553" spans="1:10" x14ac:dyDescent="0.3">
      <c r="A553" s="2" t="s">
        <v>555</v>
      </c>
      <c r="B553" s="2" t="s">
        <v>35</v>
      </c>
      <c r="C553" s="2" t="s">
        <v>36</v>
      </c>
      <c r="D553" s="2">
        <v>1</v>
      </c>
      <c r="E553" s="2">
        <v>7335568316</v>
      </c>
      <c r="F553" s="2" t="s">
        <v>19</v>
      </c>
      <c r="G553" s="2" t="s">
        <v>20</v>
      </c>
      <c r="H553" s="2" t="s">
        <v>21</v>
      </c>
      <c r="I553" s="2" t="s">
        <v>37</v>
      </c>
      <c r="J553" s="2" t="s">
        <v>22</v>
      </c>
    </row>
    <row r="554" spans="1:10" x14ac:dyDescent="0.3">
      <c r="A554" s="2" t="s">
        <v>556</v>
      </c>
      <c r="B554" s="2" t="s">
        <v>25</v>
      </c>
      <c r="C554" s="2" t="s">
        <v>12</v>
      </c>
      <c r="D554" s="2">
        <v>5</v>
      </c>
      <c r="E554" s="2">
        <v>9537103484</v>
      </c>
      <c r="F554" s="2" t="s">
        <v>13</v>
      </c>
      <c r="G554" s="2" t="s">
        <v>20</v>
      </c>
      <c r="H554" s="2" t="s">
        <v>21</v>
      </c>
      <c r="I554" s="2" t="s">
        <v>22</v>
      </c>
      <c r="J554" s="2" t="s">
        <v>22</v>
      </c>
    </row>
    <row r="555" spans="1:10" x14ac:dyDescent="0.3">
      <c r="A555" s="2" t="s">
        <v>557</v>
      </c>
      <c r="B555" s="2" t="s">
        <v>32</v>
      </c>
      <c r="C555" s="2" t="s">
        <v>33</v>
      </c>
      <c r="D555" s="2">
        <v>7</v>
      </c>
      <c r="E555" s="2">
        <v>7557752541</v>
      </c>
      <c r="F555" s="2" t="s">
        <v>13</v>
      </c>
      <c r="G555" s="2" t="s">
        <v>14</v>
      </c>
      <c r="H555" s="2" t="s">
        <v>21</v>
      </c>
      <c r="I555" s="2" t="s">
        <v>29</v>
      </c>
      <c r="J555" s="2" t="s">
        <v>22</v>
      </c>
    </row>
    <row r="556" spans="1:10" x14ac:dyDescent="0.3">
      <c r="A556" s="2" t="s">
        <v>558</v>
      </c>
      <c r="B556" s="2" t="s">
        <v>32</v>
      </c>
      <c r="C556" s="2" t="s">
        <v>26</v>
      </c>
      <c r="D556" s="2">
        <v>7</v>
      </c>
      <c r="E556" s="2">
        <v>7263338417</v>
      </c>
      <c r="F556" s="2" t="s">
        <v>13</v>
      </c>
      <c r="G556" s="2" t="s">
        <v>14</v>
      </c>
      <c r="H556" s="2" t="s">
        <v>15</v>
      </c>
      <c r="I556" s="2" t="s">
        <v>16</v>
      </c>
      <c r="J556" s="2" t="s">
        <v>22</v>
      </c>
    </row>
    <row r="557" spans="1:10" x14ac:dyDescent="0.3">
      <c r="A557" s="2" t="s">
        <v>559</v>
      </c>
      <c r="B557" s="2" t="s">
        <v>32</v>
      </c>
      <c r="C557" s="2" t="s">
        <v>33</v>
      </c>
      <c r="D557" s="2">
        <v>7</v>
      </c>
      <c r="E557" s="2">
        <v>8898878405</v>
      </c>
      <c r="F557" s="2" t="s">
        <v>19</v>
      </c>
      <c r="G557" s="2" t="s">
        <v>20</v>
      </c>
      <c r="H557" s="2" t="s">
        <v>15</v>
      </c>
      <c r="I557" s="2" t="s">
        <v>29</v>
      </c>
      <c r="J557" s="2" t="s">
        <v>22</v>
      </c>
    </row>
    <row r="558" spans="1:10" x14ac:dyDescent="0.3">
      <c r="A558" s="2" t="s">
        <v>560</v>
      </c>
      <c r="B558" s="2" t="s">
        <v>25</v>
      </c>
      <c r="C558" s="2" t="s">
        <v>12</v>
      </c>
      <c r="D558" s="2">
        <v>5</v>
      </c>
      <c r="E558" s="2">
        <v>6370750663</v>
      </c>
      <c r="F558" s="2" t="s">
        <v>13</v>
      </c>
      <c r="G558" s="2" t="s">
        <v>14</v>
      </c>
      <c r="H558" s="2" t="s">
        <v>15</v>
      </c>
      <c r="I558" s="2" t="s">
        <v>22</v>
      </c>
      <c r="J558" s="2" t="s">
        <v>22</v>
      </c>
    </row>
    <row r="559" spans="1:10" x14ac:dyDescent="0.3">
      <c r="A559" s="2" t="s">
        <v>561</v>
      </c>
      <c r="B559" s="2" t="s">
        <v>11</v>
      </c>
      <c r="C559" s="2" t="s">
        <v>26</v>
      </c>
      <c r="D559" s="2">
        <v>3</v>
      </c>
      <c r="E559" s="2">
        <v>9470306834</v>
      </c>
      <c r="F559" s="2" t="s">
        <v>13</v>
      </c>
      <c r="G559" s="2" t="s">
        <v>20</v>
      </c>
      <c r="H559" s="2" t="s">
        <v>21</v>
      </c>
      <c r="I559" s="2" t="s">
        <v>22</v>
      </c>
      <c r="J559" s="2" t="s">
        <v>23</v>
      </c>
    </row>
    <row r="560" spans="1:10" x14ac:dyDescent="0.3">
      <c r="A560" s="2" t="s">
        <v>562</v>
      </c>
      <c r="B560" s="2" t="s">
        <v>32</v>
      </c>
      <c r="C560" s="2" t="s">
        <v>43</v>
      </c>
      <c r="D560" s="2">
        <v>7</v>
      </c>
      <c r="E560" s="2">
        <v>7140407908</v>
      </c>
      <c r="F560" s="2" t="s">
        <v>19</v>
      </c>
      <c r="G560" s="2" t="s">
        <v>20</v>
      </c>
      <c r="H560" s="2" t="s">
        <v>21</v>
      </c>
      <c r="I560" s="2" t="s">
        <v>37</v>
      </c>
      <c r="J560" s="2" t="s">
        <v>22</v>
      </c>
    </row>
    <row r="561" spans="1:10" x14ac:dyDescent="0.3">
      <c r="A561" s="2" t="s">
        <v>563</v>
      </c>
      <c r="B561" s="2" t="s">
        <v>32</v>
      </c>
      <c r="C561" s="2" t="s">
        <v>12</v>
      </c>
      <c r="D561" s="2">
        <v>7</v>
      </c>
      <c r="E561" s="2">
        <v>7219227246</v>
      </c>
      <c r="F561" s="2" t="s">
        <v>19</v>
      </c>
      <c r="G561" s="2" t="s">
        <v>20</v>
      </c>
      <c r="H561" s="2" t="s">
        <v>21</v>
      </c>
      <c r="I561" s="2" t="s">
        <v>16</v>
      </c>
      <c r="J561" s="2" t="s">
        <v>17</v>
      </c>
    </row>
    <row r="562" spans="1:10" x14ac:dyDescent="0.3">
      <c r="A562" s="2" t="s">
        <v>564</v>
      </c>
      <c r="B562" s="2" t="s">
        <v>25</v>
      </c>
      <c r="C562" s="2" t="s">
        <v>33</v>
      </c>
      <c r="D562" s="2">
        <v>5</v>
      </c>
      <c r="E562" s="2">
        <v>6924752263</v>
      </c>
      <c r="F562" s="2" t="s">
        <v>19</v>
      </c>
      <c r="G562" s="2" t="s">
        <v>14</v>
      </c>
      <c r="H562" s="2" t="s">
        <v>21</v>
      </c>
      <c r="I562" s="2" t="s">
        <v>41</v>
      </c>
      <c r="J562" s="2" t="s">
        <v>17</v>
      </c>
    </row>
    <row r="563" spans="1:10" x14ac:dyDescent="0.3">
      <c r="A563" s="2" t="s">
        <v>565</v>
      </c>
      <c r="B563" s="2" t="s">
        <v>25</v>
      </c>
      <c r="C563" s="2" t="s">
        <v>26</v>
      </c>
      <c r="D563" s="2">
        <v>5</v>
      </c>
      <c r="E563" s="2">
        <v>8571037427</v>
      </c>
      <c r="F563" s="2" t="s">
        <v>13</v>
      </c>
      <c r="G563" s="2" t="s">
        <v>20</v>
      </c>
      <c r="H563" s="2" t="s">
        <v>21</v>
      </c>
      <c r="I563" s="2" t="s">
        <v>22</v>
      </c>
      <c r="J563" s="2" t="s">
        <v>17</v>
      </c>
    </row>
    <row r="564" spans="1:10" x14ac:dyDescent="0.3">
      <c r="A564" s="2" t="s">
        <v>566</v>
      </c>
      <c r="B564" s="2" t="s">
        <v>11</v>
      </c>
      <c r="C564" s="2" t="s">
        <v>12</v>
      </c>
      <c r="D564" s="2">
        <v>3</v>
      </c>
      <c r="E564" s="2">
        <v>8906470231</v>
      </c>
      <c r="F564" s="2" t="s">
        <v>13</v>
      </c>
      <c r="G564" s="2" t="s">
        <v>14</v>
      </c>
      <c r="H564" s="2" t="s">
        <v>15</v>
      </c>
      <c r="I564" s="2" t="s">
        <v>16</v>
      </c>
      <c r="J564" s="2" t="s">
        <v>22</v>
      </c>
    </row>
    <row r="565" spans="1:10" x14ac:dyDescent="0.3">
      <c r="A565" s="2" t="s">
        <v>567</v>
      </c>
      <c r="B565" s="2" t="s">
        <v>25</v>
      </c>
      <c r="C565" s="2" t="s">
        <v>12</v>
      </c>
      <c r="D565" s="2">
        <v>5</v>
      </c>
      <c r="E565" s="2">
        <v>6855104557</v>
      </c>
      <c r="F565" s="2" t="s">
        <v>19</v>
      </c>
      <c r="G565" s="2" t="s">
        <v>20</v>
      </c>
      <c r="H565" s="2" t="s">
        <v>21</v>
      </c>
      <c r="I565" s="2" t="s">
        <v>41</v>
      </c>
      <c r="J565" s="2" t="s">
        <v>17</v>
      </c>
    </row>
    <row r="566" spans="1:10" x14ac:dyDescent="0.3">
      <c r="A566" s="2" t="s">
        <v>568</v>
      </c>
      <c r="B566" s="2" t="s">
        <v>32</v>
      </c>
      <c r="C566" s="2" t="s">
        <v>43</v>
      </c>
      <c r="D566" s="2">
        <v>7</v>
      </c>
      <c r="E566" s="2">
        <v>8510184689</v>
      </c>
      <c r="F566" s="2" t="s">
        <v>13</v>
      </c>
      <c r="G566" s="2" t="s">
        <v>20</v>
      </c>
      <c r="H566" s="2" t="s">
        <v>15</v>
      </c>
      <c r="I566" s="2" t="s">
        <v>27</v>
      </c>
      <c r="J566" s="2" t="s">
        <v>22</v>
      </c>
    </row>
    <row r="567" spans="1:10" x14ac:dyDescent="0.3">
      <c r="A567" s="2" t="s">
        <v>569</v>
      </c>
      <c r="B567" s="2" t="s">
        <v>32</v>
      </c>
      <c r="C567" s="2" t="s">
        <v>43</v>
      </c>
      <c r="D567" s="2">
        <v>7</v>
      </c>
      <c r="E567" s="2">
        <v>7941047717</v>
      </c>
      <c r="F567" s="2" t="s">
        <v>13</v>
      </c>
      <c r="G567" s="2" t="s">
        <v>20</v>
      </c>
      <c r="H567" s="2" t="s">
        <v>21</v>
      </c>
      <c r="I567" s="2" t="s">
        <v>41</v>
      </c>
      <c r="J567" s="2" t="s">
        <v>22</v>
      </c>
    </row>
    <row r="568" spans="1:10" x14ac:dyDescent="0.3">
      <c r="A568" s="2" t="s">
        <v>570</v>
      </c>
      <c r="B568" s="2" t="s">
        <v>32</v>
      </c>
      <c r="C568" s="2" t="s">
        <v>36</v>
      </c>
      <c r="D568" s="2">
        <v>7</v>
      </c>
      <c r="E568" s="2">
        <v>8133614467</v>
      </c>
      <c r="F568" s="2" t="s">
        <v>19</v>
      </c>
      <c r="G568" s="2" t="s">
        <v>14</v>
      </c>
      <c r="H568" s="2" t="s">
        <v>15</v>
      </c>
      <c r="I568" s="2" t="s">
        <v>41</v>
      </c>
      <c r="J568" s="2" t="s">
        <v>17</v>
      </c>
    </row>
    <row r="569" spans="1:10" x14ac:dyDescent="0.3">
      <c r="A569" s="2" t="s">
        <v>571</v>
      </c>
      <c r="B569" s="2" t="s">
        <v>11</v>
      </c>
      <c r="C569" s="2" t="s">
        <v>36</v>
      </c>
      <c r="D569" s="2">
        <v>3</v>
      </c>
      <c r="E569" s="2">
        <v>6891077641</v>
      </c>
      <c r="F569" s="2" t="s">
        <v>13</v>
      </c>
      <c r="G569" s="2" t="s">
        <v>20</v>
      </c>
      <c r="H569" s="2" t="s">
        <v>15</v>
      </c>
      <c r="I569" s="2" t="s">
        <v>22</v>
      </c>
      <c r="J569" s="2" t="s">
        <v>22</v>
      </c>
    </row>
    <row r="570" spans="1:10" x14ac:dyDescent="0.3">
      <c r="A570" s="2" t="s">
        <v>572</v>
      </c>
      <c r="B570" s="2" t="s">
        <v>25</v>
      </c>
      <c r="C570" s="2" t="s">
        <v>26</v>
      </c>
      <c r="D570" s="2">
        <v>5</v>
      </c>
      <c r="E570" s="2">
        <v>7076837972</v>
      </c>
      <c r="F570" s="2" t="s">
        <v>19</v>
      </c>
      <c r="G570" s="2" t="s">
        <v>14</v>
      </c>
      <c r="H570" s="2" t="s">
        <v>15</v>
      </c>
      <c r="I570" s="2" t="s">
        <v>16</v>
      </c>
      <c r="J570" s="2" t="s">
        <v>17</v>
      </c>
    </row>
    <row r="571" spans="1:10" x14ac:dyDescent="0.3">
      <c r="A571" s="2" t="s">
        <v>65</v>
      </c>
      <c r="B571" s="2" t="s">
        <v>25</v>
      </c>
      <c r="C571" s="2" t="s">
        <v>36</v>
      </c>
      <c r="D571" s="2">
        <v>5</v>
      </c>
      <c r="E571" s="2">
        <v>6659008742</v>
      </c>
      <c r="F571" s="2" t="s">
        <v>19</v>
      </c>
      <c r="G571" s="2" t="s">
        <v>20</v>
      </c>
      <c r="H571" s="2" t="s">
        <v>21</v>
      </c>
      <c r="I571" s="2" t="s">
        <v>27</v>
      </c>
      <c r="J571" s="2" t="s">
        <v>22</v>
      </c>
    </row>
    <row r="572" spans="1:10" x14ac:dyDescent="0.3">
      <c r="A572" s="2" t="s">
        <v>573</v>
      </c>
      <c r="B572" s="2" t="s">
        <v>35</v>
      </c>
      <c r="C572" s="2" t="s">
        <v>12</v>
      </c>
      <c r="D572" s="2">
        <v>1</v>
      </c>
      <c r="E572" s="2">
        <v>6581669564</v>
      </c>
      <c r="F572" s="2" t="s">
        <v>19</v>
      </c>
      <c r="G572" s="2" t="s">
        <v>14</v>
      </c>
      <c r="H572" s="2" t="s">
        <v>15</v>
      </c>
      <c r="I572" s="2" t="s">
        <v>22</v>
      </c>
      <c r="J572" s="2" t="s">
        <v>23</v>
      </c>
    </row>
    <row r="573" spans="1:10" x14ac:dyDescent="0.3">
      <c r="A573" s="2" t="s">
        <v>574</v>
      </c>
      <c r="B573" s="2" t="s">
        <v>11</v>
      </c>
      <c r="C573" s="2" t="s">
        <v>33</v>
      </c>
      <c r="D573" s="2">
        <v>3</v>
      </c>
      <c r="E573" s="2">
        <v>7576405064</v>
      </c>
      <c r="F573" s="2" t="s">
        <v>19</v>
      </c>
      <c r="G573" s="2" t="s">
        <v>20</v>
      </c>
      <c r="H573" s="2" t="s">
        <v>15</v>
      </c>
      <c r="I573" s="2" t="s">
        <v>22</v>
      </c>
      <c r="J573" s="2" t="s">
        <v>17</v>
      </c>
    </row>
    <row r="574" spans="1:10" x14ac:dyDescent="0.3">
      <c r="A574" s="2" t="s">
        <v>575</v>
      </c>
      <c r="B574" s="2" t="s">
        <v>35</v>
      </c>
      <c r="C574" s="2" t="s">
        <v>26</v>
      </c>
      <c r="D574" s="2">
        <v>1</v>
      </c>
      <c r="E574" s="2">
        <v>8640490987</v>
      </c>
      <c r="F574" s="2" t="s">
        <v>19</v>
      </c>
      <c r="G574" s="2" t="s">
        <v>20</v>
      </c>
      <c r="H574" s="2" t="s">
        <v>21</v>
      </c>
      <c r="I574" s="2" t="s">
        <v>22</v>
      </c>
      <c r="J574" s="2" t="s">
        <v>22</v>
      </c>
    </row>
    <row r="575" spans="1:10" x14ac:dyDescent="0.3">
      <c r="A575" s="2" t="s">
        <v>576</v>
      </c>
      <c r="B575" s="2" t="s">
        <v>25</v>
      </c>
      <c r="C575" s="2" t="s">
        <v>36</v>
      </c>
      <c r="D575" s="2">
        <v>5</v>
      </c>
      <c r="E575" s="2">
        <v>7857290666</v>
      </c>
      <c r="F575" s="2" t="s">
        <v>19</v>
      </c>
      <c r="G575" s="2" t="s">
        <v>20</v>
      </c>
      <c r="H575" s="2" t="s">
        <v>21</v>
      </c>
      <c r="I575" s="2" t="s">
        <v>29</v>
      </c>
      <c r="J575" s="2" t="s">
        <v>23</v>
      </c>
    </row>
    <row r="576" spans="1:10" x14ac:dyDescent="0.3">
      <c r="A576" s="2" t="s">
        <v>577</v>
      </c>
      <c r="B576" s="2" t="s">
        <v>11</v>
      </c>
      <c r="C576" s="2" t="s">
        <v>36</v>
      </c>
      <c r="D576" s="2">
        <v>3</v>
      </c>
      <c r="E576" s="2">
        <v>9677037792</v>
      </c>
      <c r="F576" s="2" t="s">
        <v>19</v>
      </c>
      <c r="G576" s="2" t="s">
        <v>14</v>
      </c>
      <c r="H576" s="2" t="s">
        <v>21</v>
      </c>
      <c r="I576" s="2" t="s">
        <v>22</v>
      </c>
      <c r="J576" s="2" t="s">
        <v>22</v>
      </c>
    </row>
    <row r="577" spans="1:10" x14ac:dyDescent="0.3">
      <c r="A577" s="2" t="s">
        <v>92</v>
      </c>
      <c r="B577" s="2" t="s">
        <v>25</v>
      </c>
      <c r="C577" s="2" t="s">
        <v>26</v>
      </c>
      <c r="D577" s="2">
        <v>5</v>
      </c>
      <c r="E577" s="2">
        <v>8033326799</v>
      </c>
      <c r="F577" s="2" t="s">
        <v>13</v>
      </c>
      <c r="G577" s="2" t="s">
        <v>14</v>
      </c>
      <c r="H577" s="2" t="s">
        <v>21</v>
      </c>
      <c r="I577" s="2" t="s">
        <v>22</v>
      </c>
      <c r="J577" s="2" t="s">
        <v>17</v>
      </c>
    </row>
    <row r="578" spans="1:10" x14ac:dyDescent="0.3">
      <c r="A578" s="2" t="s">
        <v>578</v>
      </c>
      <c r="B578" s="2" t="s">
        <v>32</v>
      </c>
      <c r="C578" s="2" t="s">
        <v>36</v>
      </c>
      <c r="D578" s="2">
        <v>7</v>
      </c>
      <c r="E578" s="2">
        <v>8758669981</v>
      </c>
      <c r="F578" s="2" t="s">
        <v>13</v>
      </c>
      <c r="G578" s="2" t="s">
        <v>20</v>
      </c>
      <c r="H578" s="2" t="s">
        <v>15</v>
      </c>
      <c r="I578" s="2" t="s">
        <v>37</v>
      </c>
      <c r="J578" s="2" t="s">
        <v>22</v>
      </c>
    </row>
    <row r="579" spans="1:10" x14ac:dyDescent="0.3">
      <c r="A579" s="2" t="s">
        <v>579</v>
      </c>
      <c r="B579" s="2" t="s">
        <v>25</v>
      </c>
      <c r="C579" s="2" t="s">
        <v>12</v>
      </c>
      <c r="D579" s="2">
        <v>5</v>
      </c>
      <c r="E579" s="2">
        <v>9121064857</v>
      </c>
      <c r="F579" s="2" t="s">
        <v>13</v>
      </c>
      <c r="G579" s="2" t="s">
        <v>20</v>
      </c>
      <c r="H579" s="2" t="s">
        <v>15</v>
      </c>
      <c r="I579" s="2" t="s">
        <v>41</v>
      </c>
      <c r="J579" s="2" t="s">
        <v>23</v>
      </c>
    </row>
    <row r="580" spans="1:10" x14ac:dyDescent="0.3">
      <c r="A580" s="2" t="s">
        <v>580</v>
      </c>
      <c r="B580" s="2" t="s">
        <v>32</v>
      </c>
      <c r="C580" s="2" t="s">
        <v>43</v>
      </c>
      <c r="D580" s="2">
        <v>7</v>
      </c>
      <c r="E580" s="2">
        <v>7774928235</v>
      </c>
      <c r="F580" s="2" t="s">
        <v>13</v>
      </c>
      <c r="G580" s="2" t="s">
        <v>20</v>
      </c>
      <c r="H580" s="2" t="s">
        <v>21</v>
      </c>
      <c r="I580" s="2" t="s">
        <v>22</v>
      </c>
      <c r="J580" s="2" t="s">
        <v>23</v>
      </c>
    </row>
    <row r="581" spans="1:10" x14ac:dyDescent="0.3">
      <c r="A581" s="2" t="s">
        <v>581</v>
      </c>
      <c r="B581" s="2" t="s">
        <v>32</v>
      </c>
      <c r="C581" s="2" t="s">
        <v>26</v>
      </c>
      <c r="D581" s="2">
        <v>7</v>
      </c>
      <c r="E581" s="2">
        <v>6318602399</v>
      </c>
      <c r="F581" s="2" t="s">
        <v>13</v>
      </c>
      <c r="G581" s="2" t="s">
        <v>20</v>
      </c>
      <c r="H581" s="2" t="s">
        <v>21</v>
      </c>
      <c r="I581" s="2" t="s">
        <v>29</v>
      </c>
      <c r="J581" s="2" t="s">
        <v>17</v>
      </c>
    </row>
    <row r="582" spans="1:10" x14ac:dyDescent="0.3">
      <c r="A582" s="2" t="s">
        <v>582</v>
      </c>
      <c r="B582" s="2" t="s">
        <v>32</v>
      </c>
      <c r="C582" s="2" t="s">
        <v>26</v>
      </c>
      <c r="D582" s="2">
        <v>7</v>
      </c>
      <c r="E582" s="2">
        <v>9474566659</v>
      </c>
      <c r="F582" s="2" t="s">
        <v>19</v>
      </c>
      <c r="G582" s="2" t="s">
        <v>20</v>
      </c>
      <c r="H582" s="2" t="s">
        <v>15</v>
      </c>
      <c r="I582" s="2" t="s">
        <v>29</v>
      </c>
      <c r="J582" s="2" t="s">
        <v>23</v>
      </c>
    </row>
    <row r="583" spans="1:10" x14ac:dyDescent="0.3">
      <c r="A583" s="2" t="s">
        <v>583</v>
      </c>
      <c r="B583" s="2" t="s">
        <v>35</v>
      </c>
      <c r="C583" s="2" t="s">
        <v>26</v>
      </c>
      <c r="D583" s="2">
        <v>1</v>
      </c>
      <c r="E583" s="2">
        <v>7530342597</v>
      </c>
      <c r="F583" s="2" t="s">
        <v>19</v>
      </c>
      <c r="G583" s="2" t="s">
        <v>14</v>
      </c>
      <c r="H583" s="2" t="s">
        <v>15</v>
      </c>
      <c r="I583" s="2" t="s">
        <v>29</v>
      </c>
      <c r="J583" s="2" t="s">
        <v>17</v>
      </c>
    </row>
    <row r="584" spans="1:10" x14ac:dyDescent="0.3">
      <c r="A584" s="2" t="s">
        <v>584</v>
      </c>
      <c r="B584" s="2" t="s">
        <v>11</v>
      </c>
      <c r="C584" s="2" t="s">
        <v>26</v>
      </c>
      <c r="D584" s="2">
        <v>3</v>
      </c>
      <c r="E584" s="2">
        <v>7507724242</v>
      </c>
      <c r="F584" s="2" t="s">
        <v>19</v>
      </c>
      <c r="G584" s="2" t="s">
        <v>20</v>
      </c>
      <c r="H584" s="2" t="s">
        <v>15</v>
      </c>
      <c r="I584" s="2" t="s">
        <v>37</v>
      </c>
      <c r="J584" s="2" t="s">
        <v>17</v>
      </c>
    </row>
    <row r="585" spans="1:10" x14ac:dyDescent="0.3">
      <c r="A585" s="2" t="s">
        <v>585</v>
      </c>
      <c r="B585" s="2" t="s">
        <v>35</v>
      </c>
      <c r="C585" s="2" t="s">
        <v>36</v>
      </c>
      <c r="D585" s="2">
        <v>1</v>
      </c>
      <c r="E585" s="2">
        <v>9415389868</v>
      </c>
      <c r="F585" s="2" t="s">
        <v>13</v>
      </c>
      <c r="G585" s="2" t="s">
        <v>20</v>
      </c>
      <c r="H585" s="2" t="s">
        <v>15</v>
      </c>
      <c r="I585" s="2" t="s">
        <v>22</v>
      </c>
      <c r="J585" s="2" t="s">
        <v>22</v>
      </c>
    </row>
    <row r="586" spans="1:10" x14ac:dyDescent="0.3">
      <c r="A586" s="2" t="s">
        <v>60</v>
      </c>
      <c r="B586" s="2" t="s">
        <v>25</v>
      </c>
      <c r="C586" s="2" t="s">
        <v>33</v>
      </c>
      <c r="D586" s="2">
        <v>5</v>
      </c>
      <c r="E586" s="2">
        <v>8472602880</v>
      </c>
      <c r="F586" s="2" t="s">
        <v>19</v>
      </c>
      <c r="G586" s="2" t="s">
        <v>20</v>
      </c>
      <c r="H586" s="2" t="s">
        <v>21</v>
      </c>
      <c r="I586" s="2" t="s">
        <v>16</v>
      </c>
      <c r="J586" s="2" t="s">
        <v>22</v>
      </c>
    </row>
    <row r="587" spans="1:10" x14ac:dyDescent="0.3">
      <c r="A587" s="2" t="s">
        <v>586</v>
      </c>
      <c r="B587" s="2" t="s">
        <v>25</v>
      </c>
      <c r="C587" s="2" t="s">
        <v>12</v>
      </c>
      <c r="D587" s="2">
        <v>5</v>
      </c>
      <c r="E587" s="2">
        <v>6362530497</v>
      </c>
      <c r="F587" s="2" t="s">
        <v>13</v>
      </c>
      <c r="G587" s="2" t="s">
        <v>20</v>
      </c>
      <c r="H587" s="2" t="s">
        <v>15</v>
      </c>
      <c r="I587" s="2" t="s">
        <v>29</v>
      </c>
      <c r="J587" s="2" t="s">
        <v>22</v>
      </c>
    </row>
    <row r="588" spans="1:10" x14ac:dyDescent="0.3">
      <c r="A588" s="2" t="s">
        <v>587</v>
      </c>
      <c r="B588" s="2" t="s">
        <v>32</v>
      </c>
      <c r="C588" s="2" t="s">
        <v>43</v>
      </c>
      <c r="D588" s="2">
        <v>7</v>
      </c>
      <c r="E588" s="2">
        <v>8222411847</v>
      </c>
      <c r="F588" s="2" t="s">
        <v>19</v>
      </c>
      <c r="G588" s="2" t="s">
        <v>14</v>
      </c>
      <c r="H588" s="2" t="s">
        <v>15</v>
      </c>
      <c r="I588" s="2" t="s">
        <v>29</v>
      </c>
      <c r="J588" s="2" t="s">
        <v>17</v>
      </c>
    </row>
    <row r="589" spans="1:10" x14ac:dyDescent="0.3">
      <c r="A589" s="2" t="s">
        <v>588</v>
      </c>
      <c r="B589" s="2" t="s">
        <v>25</v>
      </c>
      <c r="C589" s="2" t="s">
        <v>36</v>
      </c>
      <c r="D589" s="2">
        <v>5</v>
      </c>
      <c r="E589" s="2">
        <v>6121596566</v>
      </c>
      <c r="F589" s="2" t="s">
        <v>19</v>
      </c>
      <c r="G589" s="2" t="s">
        <v>20</v>
      </c>
      <c r="H589" s="2" t="s">
        <v>21</v>
      </c>
      <c r="I589" s="2" t="s">
        <v>27</v>
      </c>
      <c r="J589" s="2" t="s">
        <v>22</v>
      </c>
    </row>
    <row r="590" spans="1:10" x14ac:dyDescent="0.3">
      <c r="A590" s="2" t="s">
        <v>589</v>
      </c>
      <c r="B590" s="2" t="s">
        <v>25</v>
      </c>
      <c r="C590" s="2" t="s">
        <v>33</v>
      </c>
      <c r="D590" s="2">
        <v>5</v>
      </c>
      <c r="E590" s="2">
        <v>8856174190</v>
      </c>
      <c r="F590" s="2" t="s">
        <v>13</v>
      </c>
      <c r="G590" s="2" t="s">
        <v>14</v>
      </c>
      <c r="H590" s="2" t="s">
        <v>15</v>
      </c>
      <c r="I590" s="2" t="s">
        <v>22</v>
      </c>
      <c r="J590" s="2" t="s">
        <v>22</v>
      </c>
    </row>
    <row r="591" spans="1:10" x14ac:dyDescent="0.3">
      <c r="A591" s="2" t="s">
        <v>590</v>
      </c>
      <c r="B591" s="2" t="s">
        <v>35</v>
      </c>
      <c r="C591" s="2" t="s">
        <v>36</v>
      </c>
      <c r="D591" s="2">
        <v>1</v>
      </c>
      <c r="E591" s="2">
        <v>7814362402</v>
      </c>
      <c r="F591" s="2" t="s">
        <v>19</v>
      </c>
      <c r="G591" s="2" t="s">
        <v>20</v>
      </c>
      <c r="H591" s="2" t="s">
        <v>15</v>
      </c>
      <c r="I591" s="2" t="s">
        <v>37</v>
      </c>
      <c r="J591" s="2" t="s">
        <v>17</v>
      </c>
    </row>
    <row r="592" spans="1:10" x14ac:dyDescent="0.3">
      <c r="A592" s="2" t="s">
        <v>591</v>
      </c>
      <c r="B592" s="2" t="s">
        <v>11</v>
      </c>
      <c r="C592" s="2" t="s">
        <v>36</v>
      </c>
      <c r="D592" s="2">
        <v>3</v>
      </c>
      <c r="E592" s="2">
        <v>8508206749</v>
      </c>
      <c r="F592" s="2" t="s">
        <v>13</v>
      </c>
      <c r="G592" s="2" t="s">
        <v>20</v>
      </c>
      <c r="H592" s="2" t="s">
        <v>15</v>
      </c>
      <c r="I592" s="2" t="s">
        <v>27</v>
      </c>
      <c r="J592" s="2" t="s">
        <v>22</v>
      </c>
    </row>
    <row r="593" spans="1:10" x14ac:dyDescent="0.3">
      <c r="A593" s="2" t="s">
        <v>592</v>
      </c>
      <c r="B593" s="2" t="s">
        <v>11</v>
      </c>
      <c r="C593" s="2" t="s">
        <v>26</v>
      </c>
      <c r="D593" s="2">
        <v>3</v>
      </c>
      <c r="E593" s="2">
        <v>9184741974</v>
      </c>
      <c r="F593" s="2" t="s">
        <v>13</v>
      </c>
      <c r="G593" s="2" t="s">
        <v>14</v>
      </c>
      <c r="H593" s="2" t="s">
        <v>21</v>
      </c>
      <c r="I593" s="2" t="s">
        <v>16</v>
      </c>
      <c r="J593" s="2" t="s">
        <v>17</v>
      </c>
    </row>
    <row r="594" spans="1:10" x14ac:dyDescent="0.3">
      <c r="A594" s="2" t="s">
        <v>593</v>
      </c>
      <c r="B594" s="2" t="s">
        <v>32</v>
      </c>
      <c r="C594" s="2" t="s">
        <v>33</v>
      </c>
      <c r="D594" s="2">
        <v>7</v>
      </c>
      <c r="E594" s="2">
        <v>8306373241</v>
      </c>
      <c r="F594" s="2" t="s">
        <v>13</v>
      </c>
      <c r="G594" s="2" t="s">
        <v>14</v>
      </c>
      <c r="H594" s="2" t="s">
        <v>21</v>
      </c>
      <c r="I594" s="2" t="s">
        <v>27</v>
      </c>
      <c r="J594" s="2" t="s">
        <v>23</v>
      </c>
    </row>
    <row r="595" spans="1:10" x14ac:dyDescent="0.3">
      <c r="A595" s="2" t="s">
        <v>594</v>
      </c>
      <c r="B595" s="2" t="s">
        <v>32</v>
      </c>
      <c r="C595" s="2" t="s">
        <v>33</v>
      </c>
      <c r="D595" s="2">
        <v>7</v>
      </c>
      <c r="E595" s="2">
        <v>6583374756</v>
      </c>
      <c r="F595" s="2" t="s">
        <v>19</v>
      </c>
      <c r="G595" s="2" t="s">
        <v>14</v>
      </c>
      <c r="H595" s="2" t="s">
        <v>15</v>
      </c>
      <c r="I595" s="2" t="s">
        <v>22</v>
      </c>
      <c r="J595" s="2" t="s">
        <v>17</v>
      </c>
    </row>
    <row r="596" spans="1:10" x14ac:dyDescent="0.3">
      <c r="A596" s="2" t="s">
        <v>595</v>
      </c>
      <c r="B596" s="2" t="s">
        <v>11</v>
      </c>
      <c r="C596" s="2" t="s">
        <v>36</v>
      </c>
      <c r="D596" s="2">
        <v>3</v>
      </c>
      <c r="E596" s="2">
        <v>6326243264</v>
      </c>
      <c r="F596" s="2" t="s">
        <v>13</v>
      </c>
      <c r="G596" s="2" t="s">
        <v>20</v>
      </c>
      <c r="H596" s="2" t="s">
        <v>15</v>
      </c>
      <c r="I596" s="2" t="s">
        <v>16</v>
      </c>
      <c r="J596" s="2" t="s">
        <v>17</v>
      </c>
    </row>
    <row r="597" spans="1:10" x14ac:dyDescent="0.3">
      <c r="A597" s="2" t="s">
        <v>596</v>
      </c>
      <c r="B597" s="2" t="s">
        <v>35</v>
      </c>
      <c r="C597" s="2" t="s">
        <v>43</v>
      </c>
      <c r="D597" s="2">
        <v>1</v>
      </c>
      <c r="E597" s="2">
        <v>6858107343</v>
      </c>
      <c r="F597" s="2" t="s">
        <v>13</v>
      </c>
      <c r="G597" s="2" t="s">
        <v>14</v>
      </c>
      <c r="H597" s="2" t="s">
        <v>21</v>
      </c>
      <c r="I597" s="2" t="s">
        <v>41</v>
      </c>
      <c r="J597" s="2" t="s">
        <v>22</v>
      </c>
    </row>
    <row r="598" spans="1:10" x14ac:dyDescent="0.3">
      <c r="A598" s="2" t="s">
        <v>597</v>
      </c>
      <c r="B598" s="2" t="s">
        <v>11</v>
      </c>
      <c r="C598" s="2" t="s">
        <v>33</v>
      </c>
      <c r="D598" s="2">
        <v>3</v>
      </c>
      <c r="E598" s="2">
        <v>6711963659</v>
      </c>
      <c r="F598" s="2" t="s">
        <v>19</v>
      </c>
      <c r="G598" s="2" t="s">
        <v>14</v>
      </c>
      <c r="H598" s="2" t="s">
        <v>15</v>
      </c>
      <c r="I598" s="2" t="s">
        <v>37</v>
      </c>
      <c r="J598" s="2" t="s">
        <v>17</v>
      </c>
    </row>
    <row r="599" spans="1:10" x14ac:dyDescent="0.3">
      <c r="A599" s="2" t="s">
        <v>165</v>
      </c>
      <c r="B599" s="2" t="s">
        <v>25</v>
      </c>
      <c r="C599" s="2" t="s">
        <v>36</v>
      </c>
      <c r="D599" s="2">
        <v>5</v>
      </c>
      <c r="E599" s="2">
        <v>6259634603</v>
      </c>
      <c r="F599" s="2" t="s">
        <v>13</v>
      </c>
      <c r="G599" s="2" t="s">
        <v>20</v>
      </c>
      <c r="H599" s="2" t="s">
        <v>15</v>
      </c>
      <c r="I599" s="2" t="s">
        <v>22</v>
      </c>
      <c r="J599" s="2" t="s">
        <v>22</v>
      </c>
    </row>
    <row r="600" spans="1:10" x14ac:dyDescent="0.3">
      <c r="A600" s="2" t="s">
        <v>598</v>
      </c>
      <c r="B600" s="2" t="s">
        <v>25</v>
      </c>
      <c r="C600" s="2" t="s">
        <v>36</v>
      </c>
      <c r="D600" s="2">
        <v>5</v>
      </c>
      <c r="E600" s="2">
        <v>8400810214</v>
      </c>
      <c r="F600" s="2" t="s">
        <v>19</v>
      </c>
      <c r="G600" s="2" t="s">
        <v>20</v>
      </c>
      <c r="H600" s="2" t="s">
        <v>15</v>
      </c>
      <c r="I600" s="2" t="s">
        <v>22</v>
      </c>
      <c r="J600" s="2" t="s">
        <v>22</v>
      </c>
    </row>
    <row r="601" spans="1:10" x14ac:dyDescent="0.3">
      <c r="A601" s="2" t="s">
        <v>599</v>
      </c>
      <c r="B601" s="2" t="s">
        <v>25</v>
      </c>
      <c r="C601" s="2" t="s">
        <v>33</v>
      </c>
      <c r="D601" s="2">
        <v>5</v>
      </c>
      <c r="E601" s="2">
        <v>8782214667</v>
      </c>
      <c r="F601" s="2" t="s">
        <v>13</v>
      </c>
      <c r="G601" s="2" t="s">
        <v>14</v>
      </c>
      <c r="H601" s="2" t="s">
        <v>21</v>
      </c>
      <c r="I601" s="2" t="s">
        <v>16</v>
      </c>
      <c r="J601" s="2" t="s">
        <v>17</v>
      </c>
    </row>
  </sheetData>
  <dataValidations count="1">
    <dataValidation type="list" allowBlank="1" showInputMessage="1" showErrorMessage="1" sqref="M32" xr:uid="{61C58172-0014-4152-AEEC-FCD66EC4B6D6}">
      <formula1>"CSE,ECE,ME,CE,EE"</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4730-0796-447F-9B69-5CD84CD0FA52}">
  <dimension ref="A1:J601"/>
  <sheetViews>
    <sheetView zoomScaleNormal="100" workbookViewId="0">
      <selection activeCell="L13" sqref="L13"/>
    </sheetView>
  </sheetViews>
  <sheetFormatPr defaultRowHeight="14.4" x14ac:dyDescent="0.3"/>
  <cols>
    <col min="1" max="1" width="17.77734375" bestFit="1" customWidth="1"/>
    <col min="2" max="2" width="6.5546875" customWidth="1"/>
    <col min="3" max="3" width="13" customWidth="1"/>
    <col min="4" max="4" width="10.6640625" customWidth="1"/>
    <col min="5" max="5" width="15.6640625" customWidth="1"/>
    <col min="6" max="6" width="19.21875" customWidth="1"/>
    <col min="7" max="7" width="17.77734375" customWidth="1"/>
    <col min="8" max="8" width="16.6640625" customWidth="1"/>
    <col min="9" max="9" width="21.77734375" customWidth="1"/>
    <col min="10" max="10" width="24.33203125" customWidth="1"/>
  </cols>
  <sheetData>
    <row r="1" spans="1:10" x14ac:dyDescent="0.3">
      <c r="A1" s="45" t="s">
        <v>0</v>
      </c>
      <c r="B1" s="46" t="s">
        <v>1</v>
      </c>
      <c r="C1" s="46" t="s">
        <v>2</v>
      </c>
      <c r="D1" s="46" t="s">
        <v>3</v>
      </c>
      <c r="E1" s="46" t="s">
        <v>4</v>
      </c>
      <c r="F1" s="46" t="s">
        <v>5</v>
      </c>
      <c r="G1" s="46" t="s">
        <v>6</v>
      </c>
      <c r="H1" s="46" t="s">
        <v>7</v>
      </c>
      <c r="I1" s="46" t="s">
        <v>8</v>
      </c>
      <c r="J1" s="47" t="s">
        <v>9</v>
      </c>
    </row>
    <row r="2" spans="1:10" x14ac:dyDescent="0.3">
      <c r="A2" s="43" t="s">
        <v>10</v>
      </c>
      <c r="B2" s="2" t="s">
        <v>11</v>
      </c>
      <c r="C2" s="2" t="s">
        <v>12</v>
      </c>
      <c r="D2" s="2">
        <v>3</v>
      </c>
      <c r="E2" s="2">
        <v>9706233821</v>
      </c>
      <c r="F2" s="2" t="s">
        <v>13</v>
      </c>
      <c r="G2" s="2" t="s">
        <v>14</v>
      </c>
      <c r="H2" s="2" t="s">
        <v>15</v>
      </c>
      <c r="I2" s="2" t="s">
        <v>16</v>
      </c>
      <c r="J2" s="44" t="s">
        <v>17</v>
      </c>
    </row>
    <row r="3" spans="1:10" x14ac:dyDescent="0.3">
      <c r="A3" s="43" t="s">
        <v>18</v>
      </c>
      <c r="B3" s="2" t="s">
        <v>11</v>
      </c>
      <c r="C3" s="2" t="s">
        <v>12</v>
      </c>
      <c r="D3" s="2">
        <v>3</v>
      </c>
      <c r="E3" s="2">
        <v>6669525518</v>
      </c>
      <c r="F3" s="2" t="s">
        <v>19</v>
      </c>
      <c r="G3" s="2" t="s">
        <v>20</v>
      </c>
      <c r="H3" s="2" t="s">
        <v>21</v>
      </c>
      <c r="I3" s="2" t="s">
        <v>22</v>
      </c>
      <c r="J3" s="44" t="s">
        <v>23</v>
      </c>
    </row>
    <row r="4" spans="1:10" x14ac:dyDescent="0.3">
      <c r="A4" s="43" t="s">
        <v>24</v>
      </c>
      <c r="B4" s="2" t="s">
        <v>25</v>
      </c>
      <c r="C4" s="2" t="s">
        <v>26</v>
      </c>
      <c r="D4" s="2">
        <v>5</v>
      </c>
      <c r="E4" s="2">
        <v>6105851450</v>
      </c>
      <c r="F4" s="2" t="s">
        <v>13</v>
      </c>
      <c r="G4" s="2" t="s">
        <v>14</v>
      </c>
      <c r="H4" s="2" t="s">
        <v>15</v>
      </c>
      <c r="I4" s="2" t="s">
        <v>27</v>
      </c>
      <c r="J4" s="44" t="s">
        <v>22</v>
      </c>
    </row>
    <row r="5" spans="1:10" x14ac:dyDescent="0.3">
      <c r="A5" s="43" t="s">
        <v>28</v>
      </c>
      <c r="B5" s="2" t="s">
        <v>11</v>
      </c>
      <c r="C5" s="2" t="s">
        <v>26</v>
      </c>
      <c r="D5" s="2">
        <v>3</v>
      </c>
      <c r="E5" s="2">
        <v>6421418421</v>
      </c>
      <c r="F5" s="2" t="s">
        <v>19</v>
      </c>
      <c r="G5" s="2" t="s">
        <v>20</v>
      </c>
      <c r="H5" s="2" t="s">
        <v>21</v>
      </c>
      <c r="I5" s="2" t="s">
        <v>29</v>
      </c>
      <c r="J5" s="44" t="s">
        <v>17</v>
      </c>
    </row>
    <row r="6" spans="1:10" x14ac:dyDescent="0.3">
      <c r="A6" s="43" t="s">
        <v>30</v>
      </c>
      <c r="B6" s="2" t="s">
        <v>25</v>
      </c>
      <c r="C6" s="2" t="s">
        <v>12</v>
      </c>
      <c r="D6" s="2">
        <v>5</v>
      </c>
      <c r="E6" s="2">
        <v>6345416297</v>
      </c>
      <c r="F6" s="2" t="s">
        <v>19</v>
      </c>
      <c r="G6" s="2" t="s">
        <v>14</v>
      </c>
      <c r="H6" s="2" t="s">
        <v>21</v>
      </c>
      <c r="I6" s="2" t="s">
        <v>22</v>
      </c>
      <c r="J6" s="44" t="s">
        <v>22</v>
      </c>
    </row>
    <row r="7" spans="1:10" x14ac:dyDescent="0.3">
      <c r="A7" s="43" t="s">
        <v>31</v>
      </c>
      <c r="B7" s="2" t="s">
        <v>32</v>
      </c>
      <c r="C7" s="2" t="s">
        <v>33</v>
      </c>
      <c r="D7" s="2">
        <v>7</v>
      </c>
      <c r="E7" s="2">
        <v>9825291736</v>
      </c>
      <c r="F7" s="2" t="s">
        <v>19</v>
      </c>
      <c r="G7" s="2" t="s">
        <v>20</v>
      </c>
      <c r="H7" s="2" t="s">
        <v>15</v>
      </c>
      <c r="I7" s="2" t="s">
        <v>22</v>
      </c>
      <c r="J7" s="44" t="s">
        <v>23</v>
      </c>
    </row>
    <row r="8" spans="1:10" x14ac:dyDescent="0.3">
      <c r="A8" s="43" t="s">
        <v>34</v>
      </c>
      <c r="B8" s="2" t="s">
        <v>35</v>
      </c>
      <c r="C8" s="2" t="s">
        <v>36</v>
      </c>
      <c r="D8" s="2">
        <v>1</v>
      </c>
      <c r="E8" s="2">
        <v>6196589644</v>
      </c>
      <c r="F8" s="2" t="s">
        <v>19</v>
      </c>
      <c r="G8" s="2" t="s">
        <v>14</v>
      </c>
      <c r="H8" s="2" t="s">
        <v>21</v>
      </c>
      <c r="I8" s="2" t="s">
        <v>37</v>
      </c>
      <c r="J8" s="44" t="s">
        <v>23</v>
      </c>
    </row>
    <row r="9" spans="1:10" x14ac:dyDescent="0.3">
      <c r="A9" s="43" t="s">
        <v>38</v>
      </c>
      <c r="B9" s="2" t="s">
        <v>35</v>
      </c>
      <c r="C9" s="2" t="s">
        <v>12</v>
      </c>
      <c r="D9" s="2">
        <v>1</v>
      </c>
      <c r="E9" s="2">
        <v>8951489573</v>
      </c>
      <c r="F9" s="2" t="s">
        <v>13</v>
      </c>
      <c r="G9" s="2" t="s">
        <v>14</v>
      </c>
      <c r="H9" s="2" t="s">
        <v>15</v>
      </c>
      <c r="I9" s="2" t="s">
        <v>29</v>
      </c>
      <c r="J9" s="44" t="s">
        <v>17</v>
      </c>
    </row>
    <row r="10" spans="1:10" x14ac:dyDescent="0.3">
      <c r="A10" s="43" t="s">
        <v>39</v>
      </c>
      <c r="B10" s="2" t="s">
        <v>35</v>
      </c>
      <c r="C10" s="2" t="s">
        <v>36</v>
      </c>
      <c r="D10" s="2">
        <v>1</v>
      </c>
      <c r="E10" s="2">
        <v>6429670666</v>
      </c>
      <c r="F10" s="2" t="s">
        <v>13</v>
      </c>
      <c r="G10" s="2" t="s">
        <v>20</v>
      </c>
      <c r="H10" s="2" t="s">
        <v>15</v>
      </c>
      <c r="I10" s="2" t="s">
        <v>27</v>
      </c>
      <c r="J10" s="44" t="s">
        <v>17</v>
      </c>
    </row>
    <row r="11" spans="1:10" x14ac:dyDescent="0.3">
      <c r="A11" s="43" t="s">
        <v>40</v>
      </c>
      <c r="B11" s="2" t="s">
        <v>11</v>
      </c>
      <c r="C11" s="2" t="s">
        <v>33</v>
      </c>
      <c r="D11" s="2">
        <v>3</v>
      </c>
      <c r="E11" s="2">
        <v>8887349101</v>
      </c>
      <c r="F11" s="2" t="s">
        <v>19</v>
      </c>
      <c r="G11" s="2" t="s">
        <v>14</v>
      </c>
      <c r="H11" s="2" t="s">
        <v>15</v>
      </c>
      <c r="I11" s="2" t="s">
        <v>41</v>
      </c>
      <c r="J11" s="44" t="s">
        <v>22</v>
      </c>
    </row>
    <row r="12" spans="1:10" x14ac:dyDescent="0.3">
      <c r="A12" s="43" t="s">
        <v>42</v>
      </c>
      <c r="B12" s="2" t="s">
        <v>32</v>
      </c>
      <c r="C12" s="2" t="s">
        <v>43</v>
      </c>
      <c r="D12" s="2">
        <v>7</v>
      </c>
      <c r="E12" s="2">
        <v>6298823994</v>
      </c>
      <c r="F12" s="2" t="s">
        <v>19</v>
      </c>
      <c r="G12" s="2" t="s">
        <v>20</v>
      </c>
      <c r="H12" s="2" t="s">
        <v>15</v>
      </c>
      <c r="I12" s="2" t="s">
        <v>37</v>
      </c>
      <c r="J12" s="44" t="s">
        <v>22</v>
      </c>
    </row>
    <row r="13" spans="1:10" x14ac:dyDescent="0.3">
      <c r="A13" s="43" t="s">
        <v>44</v>
      </c>
      <c r="B13" s="2" t="s">
        <v>25</v>
      </c>
      <c r="C13" s="2" t="s">
        <v>43</v>
      </c>
      <c r="D13" s="2">
        <v>5</v>
      </c>
      <c r="E13" s="2">
        <v>8691092011</v>
      </c>
      <c r="F13" s="2" t="s">
        <v>19</v>
      </c>
      <c r="G13" s="2" t="s">
        <v>14</v>
      </c>
      <c r="H13" s="2" t="s">
        <v>21</v>
      </c>
      <c r="I13" s="2" t="s">
        <v>16</v>
      </c>
      <c r="J13" s="44" t="s">
        <v>17</v>
      </c>
    </row>
    <row r="14" spans="1:10" x14ac:dyDescent="0.3">
      <c r="A14" s="43" t="s">
        <v>45</v>
      </c>
      <c r="B14" s="2" t="s">
        <v>32</v>
      </c>
      <c r="C14" s="2" t="s">
        <v>12</v>
      </c>
      <c r="D14" s="2">
        <v>7</v>
      </c>
      <c r="E14" s="2">
        <v>9663364571</v>
      </c>
      <c r="F14" s="2" t="s">
        <v>13</v>
      </c>
      <c r="G14" s="2" t="s">
        <v>14</v>
      </c>
      <c r="H14" s="2" t="s">
        <v>21</v>
      </c>
      <c r="I14" s="2" t="s">
        <v>27</v>
      </c>
      <c r="J14" s="44" t="s">
        <v>22</v>
      </c>
    </row>
    <row r="15" spans="1:10" x14ac:dyDescent="0.3">
      <c r="A15" s="43" t="s">
        <v>46</v>
      </c>
      <c r="B15" s="2" t="s">
        <v>11</v>
      </c>
      <c r="C15" s="2" t="s">
        <v>36</v>
      </c>
      <c r="D15" s="2">
        <v>3</v>
      </c>
      <c r="E15" s="2">
        <v>9798746487</v>
      </c>
      <c r="F15" s="2" t="s">
        <v>19</v>
      </c>
      <c r="G15" s="2" t="s">
        <v>20</v>
      </c>
      <c r="H15" s="2" t="s">
        <v>21</v>
      </c>
      <c r="I15" s="2" t="s">
        <v>37</v>
      </c>
      <c r="J15" s="44" t="s">
        <v>22</v>
      </c>
    </row>
    <row r="16" spans="1:10" x14ac:dyDescent="0.3">
      <c r="A16" s="43" t="s">
        <v>47</v>
      </c>
      <c r="B16" s="2" t="s">
        <v>32</v>
      </c>
      <c r="C16" s="2" t="s">
        <v>36</v>
      </c>
      <c r="D16" s="2">
        <v>7</v>
      </c>
      <c r="E16" s="2">
        <v>6799619179</v>
      </c>
      <c r="F16" s="2" t="s">
        <v>13</v>
      </c>
      <c r="G16" s="2" t="s">
        <v>14</v>
      </c>
      <c r="H16" s="2" t="s">
        <v>21</v>
      </c>
      <c r="I16" s="2" t="s">
        <v>16</v>
      </c>
      <c r="J16" s="44" t="s">
        <v>23</v>
      </c>
    </row>
    <row r="17" spans="1:10" x14ac:dyDescent="0.3">
      <c r="A17" s="43" t="s">
        <v>48</v>
      </c>
      <c r="B17" s="2" t="s">
        <v>35</v>
      </c>
      <c r="C17" s="2" t="s">
        <v>12</v>
      </c>
      <c r="D17" s="2">
        <v>1</v>
      </c>
      <c r="E17" s="2">
        <v>7611578541</v>
      </c>
      <c r="F17" s="2" t="s">
        <v>19</v>
      </c>
      <c r="G17" s="2" t="s">
        <v>14</v>
      </c>
      <c r="H17" s="2" t="s">
        <v>15</v>
      </c>
      <c r="I17" s="2" t="s">
        <v>41</v>
      </c>
      <c r="J17" s="44" t="s">
        <v>22</v>
      </c>
    </row>
    <row r="18" spans="1:10" x14ac:dyDescent="0.3">
      <c r="A18" s="43" t="s">
        <v>49</v>
      </c>
      <c r="B18" s="2" t="s">
        <v>32</v>
      </c>
      <c r="C18" s="2" t="s">
        <v>43</v>
      </c>
      <c r="D18" s="2">
        <v>7</v>
      </c>
      <c r="E18" s="2">
        <v>9406157743</v>
      </c>
      <c r="F18" s="2" t="s">
        <v>13</v>
      </c>
      <c r="G18" s="2" t="s">
        <v>14</v>
      </c>
      <c r="H18" s="2" t="s">
        <v>15</v>
      </c>
      <c r="I18" s="2" t="s">
        <v>22</v>
      </c>
      <c r="J18" s="44" t="s">
        <v>22</v>
      </c>
    </row>
    <row r="19" spans="1:10" x14ac:dyDescent="0.3">
      <c r="A19" s="43" t="s">
        <v>50</v>
      </c>
      <c r="B19" s="2" t="s">
        <v>32</v>
      </c>
      <c r="C19" s="2" t="s">
        <v>12</v>
      </c>
      <c r="D19" s="2">
        <v>7</v>
      </c>
      <c r="E19" s="2">
        <v>8427455838</v>
      </c>
      <c r="F19" s="2" t="s">
        <v>19</v>
      </c>
      <c r="G19" s="2" t="s">
        <v>20</v>
      </c>
      <c r="H19" s="2" t="s">
        <v>15</v>
      </c>
      <c r="I19" s="2" t="s">
        <v>41</v>
      </c>
      <c r="J19" s="44" t="s">
        <v>22</v>
      </c>
    </row>
    <row r="20" spans="1:10" x14ac:dyDescent="0.3">
      <c r="A20" s="43" t="s">
        <v>51</v>
      </c>
      <c r="B20" s="2" t="s">
        <v>11</v>
      </c>
      <c r="C20" s="2" t="s">
        <v>36</v>
      </c>
      <c r="D20" s="2">
        <v>3</v>
      </c>
      <c r="E20" s="2">
        <v>7545515893</v>
      </c>
      <c r="F20" s="2" t="s">
        <v>19</v>
      </c>
      <c r="G20" s="2" t="s">
        <v>20</v>
      </c>
      <c r="H20" s="2" t="s">
        <v>21</v>
      </c>
      <c r="I20" s="2" t="s">
        <v>22</v>
      </c>
      <c r="J20" s="44" t="s">
        <v>23</v>
      </c>
    </row>
    <row r="21" spans="1:10" x14ac:dyDescent="0.3">
      <c r="A21" s="43" t="s">
        <v>52</v>
      </c>
      <c r="B21" s="2" t="s">
        <v>35</v>
      </c>
      <c r="C21" s="2" t="s">
        <v>43</v>
      </c>
      <c r="D21" s="2">
        <v>1</v>
      </c>
      <c r="E21" s="2">
        <v>8168011907</v>
      </c>
      <c r="F21" s="2" t="s">
        <v>13</v>
      </c>
      <c r="G21" s="2" t="s">
        <v>14</v>
      </c>
      <c r="H21" s="2" t="s">
        <v>21</v>
      </c>
      <c r="I21" s="2" t="s">
        <v>29</v>
      </c>
      <c r="J21" s="44" t="s">
        <v>17</v>
      </c>
    </row>
    <row r="22" spans="1:10" x14ac:dyDescent="0.3">
      <c r="A22" s="43" t="s">
        <v>53</v>
      </c>
      <c r="B22" s="2" t="s">
        <v>11</v>
      </c>
      <c r="C22" s="2" t="s">
        <v>12</v>
      </c>
      <c r="D22" s="2">
        <v>3</v>
      </c>
      <c r="E22" s="2">
        <v>7831255140</v>
      </c>
      <c r="F22" s="2" t="s">
        <v>19</v>
      </c>
      <c r="G22" s="2" t="s">
        <v>14</v>
      </c>
      <c r="H22" s="2" t="s">
        <v>15</v>
      </c>
      <c r="I22" s="2" t="s">
        <v>22</v>
      </c>
      <c r="J22" s="44" t="s">
        <v>22</v>
      </c>
    </row>
    <row r="23" spans="1:10" x14ac:dyDescent="0.3">
      <c r="A23" s="43" t="s">
        <v>54</v>
      </c>
      <c r="B23" s="2" t="s">
        <v>32</v>
      </c>
      <c r="C23" s="2" t="s">
        <v>36</v>
      </c>
      <c r="D23" s="2">
        <v>7</v>
      </c>
      <c r="E23" s="2">
        <v>8613857136</v>
      </c>
      <c r="F23" s="2" t="s">
        <v>13</v>
      </c>
      <c r="G23" s="2" t="s">
        <v>20</v>
      </c>
      <c r="H23" s="2" t="s">
        <v>15</v>
      </c>
      <c r="I23" s="2" t="s">
        <v>22</v>
      </c>
      <c r="J23" s="44" t="s">
        <v>23</v>
      </c>
    </row>
    <row r="24" spans="1:10" x14ac:dyDescent="0.3">
      <c r="A24" s="43" t="s">
        <v>55</v>
      </c>
      <c r="B24" s="2" t="s">
        <v>35</v>
      </c>
      <c r="C24" s="2" t="s">
        <v>12</v>
      </c>
      <c r="D24" s="2">
        <v>1</v>
      </c>
      <c r="E24" s="2">
        <v>6412964213</v>
      </c>
      <c r="F24" s="2" t="s">
        <v>13</v>
      </c>
      <c r="G24" s="2" t="s">
        <v>20</v>
      </c>
      <c r="H24" s="2" t="s">
        <v>15</v>
      </c>
      <c r="I24" s="2" t="s">
        <v>41</v>
      </c>
      <c r="J24" s="44" t="s">
        <v>22</v>
      </c>
    </row>
    <row r="25" spans="1:10" x14ac:dyDescent="0.3">
      <c r="A25" s="43" t="s">
        <v>56</v>
      </c>
      <c r="B25" s="2" t="s">
        <v>32</v>
      </c>
      <c r="C25" s="2" t="s">
        <v>33</v>
      </c>
      <c r="D25" s="2">
        <v>7</v>
      </c>
      <c r="E25" s="2">
        <v>8066276413</v>
      </c>
      <c r="F25" s="2" t="s">
        <v>13</v>
      </c>
      <c r="G25" s="2" t="s">
        <v>20</v>
      </c>
      <c r="H25" s="2" t="s">
        <v>15</v>
      </c>
      <c r="I25" s="2" t="s">
        <v>37</v>
      </c>
      <c r="J25" s="44" t="s">
        <v>17</v>
      </c>
    </row>
    <row r="26" spans="1:10" x14ac:dyDescent="0.3">
      <c r="A26" s="43" t="s">
        <v>57</v>
      </c>
      <c r="B26" s="2" t="s">
        <v>32</v>
      </c>
      <c r="C26" s="2" t="s">
        <v>33</v>
      </c>
      <c r="D26" s="2">
        <v>7</v>
      </c>
      <c r="E26" s="2">
        <v>6921494613</v>
      </c>
      <c r="F26" s="2" t="s">
        <v>13</v>
      </c>
      <c r="G26" s="2" t="s">
        <v>14</v>
      </c>
      <c r="H26" s="2" t="s">
        <v>15</v>
      </c>
      <c r="I26" s="2" t="s">
        <v>41</v>
      </c>
      <c r="J26" s="44" t="s">
        <v>23</v>
      </c>
    </row>
    <row r="27" spans="1:10" x14ac:dyDescent="0.3">
      <c r="A27" s="43" t="s">
        <v>58</v>
      </c>
      <c r="B27" s="2" t="s">
        <v>25</v>
      </c>
      <c r="C27" s="2" t="s">
        <v>33</v>
      </c>
      <c r="D27" s="2">
        <v>5</v>
      </c>
      <c r="E27" s="2">
        <v>9046695504</v>
      </c>
      <c r="F27" s="2" t="s">
        <v>13</v>
      </c>
      <c r="G27" s="2" t="s">
        <v>20</v>
      </c>
      <c r="H27" s="2" t="s">
        <v>15</v>
      </c>
      <c r="I27" s="2" t="s">
        <v>22</v>
      </c>
      <c r="J27" s="44" t="s">
        <v>17</v>
      </c>
    </row>
    <row r="28" spans="1:10" x14ac:dyDescent="0.3">
      <c r="A28" s="43" t="s">
        <v>59</v>
      </c>
      <c r="B28" s="2" t="s">
        <v>25</v>
      </c>
      <c r="C28" s="2" t="s">
        <v>12</v>
      </c>
      <c r="D28" s="2">
        <v>5</v>
      </c>
      <c r="E28" s="2">
        <v>7695328163</v>
      </c>
      <c r="F28" s="2" t="s">
        <v>19</v>
      </c>
      <c r="G28" s="2" t="s">
        <v>20</v>
      </c>
      <c r="H28" s="2" t="s">
        <v>15</v>
      </c>
      <c r="I28" s="2" t="s">
        <v>37</v>
      </c>
      <c r="J28" s="44" t="s">
        <v>17</v>
      </c>
    </row>
    <row r="29" spans="1:10" x14ac:dyDescent="0.3">
      <c r="A29" s="43" t="s">
        <v>60</v>
      </c>
      <c r="B29" s="2" t="s">
        <v>32</v>
      </c>
      <c r="C29" s="2" t="s">
        <v>33</v>
      </c>
      <c r="D29" s="2">
        <v>7</v>
      </c>
      <c r="E29" s="2">
        <v>7895155500</v>
      </c>
      <c r="F29" s="2" t="s">
        <v>19</v>
      </c>
      <c r="G29" s="2" t="s">
        <v>14</v>
      </c>
      <c r="H29" s="2" t="s">
        <v>15</v>
      </c>
      <c r="I29" s="2" t="s">
        <v>29</v>
      </c>
      <c r="J29" s="44" t="s">
        <v>23</v>
      </c>
    </row>
    <row r="30" spans="1:10" x14ac:dyDescent="0.3">
      <c r="A30" s="43" t="s">
        <v>61</v>
      </c>
      <c r="B30" s="2" t="s">
        <v>35</v>
      </c>
      <c r="C30" s="2" t="s">
        <v>26</v>
      </c>
      <c r="D30" s="2">
        <v>1</v>
      </c>
      <c r="E30" s="2">
        <v>7271880462</v>
      </c>
      <c r="F30" s="2" t="s">
        <v>13</v>
      </c>
      <c r="G30" s="2" t="s">
        <v>14</v>
      </c>
      <c r="H30" s="2" t="s">
        <v>21</v>
      </c>
      <c r="I30" s="2" t="s">
        <v>16</v>
      </c>
      <c r="J30" s="44" t="s">
        <v>23</v>
      </c>
    </row>
    <row r="31" spans="1:10" x14ac:dyDescent="0.3">
      <c r="A31" s="43" t="s">
        <v>62</v>
      </c>
      <c r="B31" s="2" t="s">
        <v>32</v>
      </c>
      <c r="C31" s="2" t="s">
        <v>36</v>
      </c>
      <c r="D31" s="2">
        <v>7</v>
      </c>
      <c r="E31" s="2">
        <v>6680106355</v>
      </c>
      <c r="F31" s="2" t="s">
        <v>13</v>
      </c>
      <c r="G31" s="2" t="s">
        <v>14</v>
      </c>
      <c r="H31" s="2" t="s">
        <v>21</v>
      </c>
      <c r="I31" s="2" t="s">
        <v>16</v>
      </c>
      <c r="J31" s="44" t="s">
        <v>22</v>
      </c>
    </row>
    <row r="32" spans="1:10" x14ac:dyDescent="0.3">
      <c r="A32" s="43" t="s">
        <v>63</v>
      </c>
      <c r="B32" s="2" t="s">
        <v>32</v>
      </c>
      <c r="C32" s="2" t="s">
        <v>36</v>
      </c>
      <c r="D32" s="2">
        <v>7</v>
      </c>
      <c r="E32" s="2">
        <v>7412875404</v>
      </c>
      <c r="F32" s="2" t="s">
        <v>19</v>
      </c>
      <c r="G32" s="2" t="s">
        <v>20</v>
      </c>
      <c r="H32" s="2" t="s">
        <v>21</v>
      </c>
      <c r="I32" s="2" t="s">
        <v>27</v>
      </c>
      <c r="J32" s="44" t="s">
        <v>22</v>
      </c>
    </row>
    <row r="33" spans="1:10" x14ac:dyDescent="0.3">
      <c r="A33" s="43" t="s">
        <v>64</v>
      </c>
      <c r="B33" s="2" t="s">
        <v>11</v>
      </c>
      <c r="C33" s="2" t="s">
        <v>36</v>
      </c>
      <c r="D33" s="2">
        <v>3</v>
      </c>
      <c r="E33" s="2">
        <v>7169453702</v>
      </c>
      <c r="F33" s="2" t="s">
        <v>19</v>
      </c>
      <c r="G33" s="2" t="s">
        <v>20</v>
      </c>
      <c r="H33" s="2" t="s">
        <v>15</v>
      </c>
      <c r="I33" s="2" t="s">
        <v>22</v>
      </c>
      <c r="J33" s="44" t="s">
        <v>17</v>
      </c>
    </row>
    <row r="34" spans="1:10" x14ac:dyDescent="0.3">
      <c r="A34" s="43" t="s">
        <v>56</v>
      </c>
      <c r="B34" s="2" t="s">
        <v>35</v>
      </c>
      <c r="C34" s="2" t="s">
        <v>12</v>
      </c>
      <c r="D34" s="2">
        <v>1</v>
      </c>
      <c r="E34" s="2">
        <v>9089863696</v>
      </c>
      <c r="F34" s="2" t="s">
        <v>13</v>
      </c>
      <c r="G34" s="2" t="s">
        <v>20</v>
      </c>
      <c r="H34" s="2" t="s">
        <v>15</v>
      </c>
      <c r="I34" s="2" t="s">
        <v>29</v>
      </c>
      <c r="J34" s="44" t="s">
        <v>22</v>
      </c>
    </row>
    <row r="35" spans="1:10" x14ac:dyDescent="0.3">
      <c r="A35" s="43" t="s">
        <v>65</v>
      </c>
      <c r="B35" s="2" t="s">
        <v>35</v>
      </c>
      <c r="C35" s="2" t="s">
        <v>36</v>
      </c>
      <c r="D35" s="2">
        <v>1</v>
      </c>
      <c r="E35" s="2">
        <v>7961237762</v>
      </c>
      <c r="F35" s="2" t="s">
        <v>19</v>
      </c>
      <c r="G35" s="2" t="s">
        <v>20</v>
      </c>
      <c r="H35" s="2" t="s">
        <v>21</v>
      </c>
      <c r="I35" s="2" t="s">
        <v>22</v>
      </c>
      <c r="J35" s="44" t="s">
        <v>22</v>
      </c>
    </row>
    <row r="36" spans="1:10" x14ac:dyDescent="0.3">
      <c r="A36" s="43" t="s">
        <v>66</v>
      </c>
      <c r="B36" s="2" t="s">
        <v>11</v>
      </c>
      <c r="C36" s="2" t="s">
        <v>36</v>
      </c>
      <c r="D36" s="2">
        <v>3</v>
      </c>
      <c r="E36" s="2">
        <v>9248280618</v>
      </c>
      <c r="F36" s="2" t="s">
        <v>19</v>
      </c>
      <c r="G36" s="2" t="s">
        <v>14</v>
      </c>
      <c r="H36" s="2" t="s">
        <v>15</v>
      </c>
      <c r="I36" s="2" t="s">
        <v>22</v>
      </c>
      <c r="J36" s="44" t="s">
        <v>23</v>
      </c>
    </row>
    <row r="37" spans="1:10" x14ac:dyDescent="0.3">
      <c r="A37" s="43" t="s">
        <v>67</v>
      </c>
      <c r="B37" s="2" t="s">
        <v>35</v>
      </c>
      <c r="C37" s="2" t="s">
        <v>33</v>
      </c>
      <c r="D37" s="2">
        <v>1</v>
      </c>
      <c r="E37" s="2">
        <v>8834834922</v>
      </c>
      <c r="F37" s="2" t="s">
        <v>19</v>
      </c>
      <c r="G37" s="2" t="s">
        <v>20</v>
      </c>
      <c r="H37" s="2" t="s">
        <v>15</v>
      </c>
      <c r="I37" s="2" t="s">
        <v>22</v>
      </c>
      <c r="J37" s="44" t="s">
        <v>22</v>
      </c>
    </row>
    <row r="38" spans="1:10" x14ac:dyDescent="0.3">
      <c r="A38" s="43" t="s">
        <v>68</v>
      </c>
      <c r="B38" s="2" t="s">
        <v>11</v>
      </c>
      <c r="C38" s="2" t="s">
        <v>33</v>
      </c>
      <c r="D38" s="2">
        <v>3</v>
      </c>
      <c r="E38" s="2">
        <v>7056970334</v>
      </c>
      <c r="F38" s="2" t="s">
        <v>13</v>
      </c>
      <c r="G38" s="2" t="s">
        <v>20</v>
      </c>
      <c r="H38" s="2" t="s">
        <v>21</v>
      </c>
      <c r="I38" s="2" t="s">
        <v>41</v>
      </c>
      <c r="J38" s="44" t="s">
        <v>23</v>
      </c>
    </row>
    <row r="39" spans="1:10" x14ac:dyDescent="0.3">
      <c r="A39" s="43" t="s">
        <v>69</v>
      </c>
      <c r="B39" s="2" t="s">
        <v>11</v>
      </c>
      <c r="C39" s="2" t="s">
        <v>26</v>
      </c>
      <c r="D39" s="2">
        <v>3</v>
      </c>
      <c r="E39" s="2">
        <v>9024007668</v>
      </c>
      <c r="F39" s="2" t="s">
        <v>19</v>
      </c>
      <c r="G39" s="2" t="s">
        <v>20</v>
      </c>
      <c r="H39" s="2" t="s">
        <v>15</v>
      </c>
      <c r="I39" s="2" t="s">
        <v>41</v>
      </c>
      <c r="J39" s="44" t="s">
        <v>17</v>
      </c>
    </row>
    <row r="40" spans="1:10" x14ac:dyDescent="0.3">
      <c r="A40" s="43" t="s">
        <v>68</v>
      </c>
      <c r="B40" s="2" t="s">
        <v>35</v>
      </c>
      <c r="C40" s="2" t="s">
        <v>12</v>
      </c>
      <c r="D40" s="2">
        <v>1</v>
      </c>
      <c r="E40" s="2">
        <v>8716524803</v>
      </c>
      <c r="F40" s="2" t="s">
        <v>13</v>
      </c>
      <c r="G40" s="2" t="s">
        <v>14</v>
      </c>
      <c r="H40" s="2" t="s">
        <v>21</v>
      </c>
      <c r="I40" s="2" t="s">
        <v>22</v>
      </c>
      <c r="J40" s="44" t="s">
        <v>17</v>
      </c>
    </row>
    <row r="41" spans="1:10" x14ac:dyDescent="0.3">
      <c r="A41" s="43" t="s">
        <v>70</v>
      </c>
      <c r="B41" s="2" t="s">
        <v>32</v>
      </c>
      <c r="C41" s="2" t="s">
        <v>33</v>
      </c>
      <c r="D41" s="2">
        <v>7</v>
      </c>
      <c r="E41" s="2">
        <v>9152172923</v>
      </c>
      <c r="F41" s="2" t="s">
        <v>19</v>
      </c>
      <c r="G41" s="2" t="s">
        <v>14</v>
      </c>
      <c r="H41" s="2" t="s">
        <v>15</v>
      </c>
      <c r="I41" s="2" t="s">
        <v>22</v>
      </c>
      <c r="J41" s="44" t="s">
        <v>23</v>
      </c>
    </row>
    <row r="42" spans="1:10" x14ac:dyDescent="0.3">
      <c r="A42" s="43" t="s">
        <v>71</v>
      </c>
      <c r="B42" s="2" t="s">
        <v>32</v>
      </c>
      <c r="C42" s="2" t="s">
        <v>26</v>
      </c>
      <c r="D42" s="2">
        <v>7</v>
      </c>
      <c r="E42" s="2">
        <v>9629974880</v>
      </c>
      <c r="F42" s="2" t="s">
        <v>19</v>
      </c>
      <c r="G42" s="2" t="s">
        <v>20</v>
      </c>
      <c r="H42" s="2" t="s">
        <v>15</v>
      </c>
      <c r="I42" s="2" t="s">
        <v>37</v>
      </c>
      <c r="J42" s="44" t="s">
        <v>23</v>
      </c>
    </row>
    <row r="43" spans="1:10" x14ac:dyDescent="0.3">
      <c r="A43" s="43" t="s">
        <v>72</v>
      </c>
      <c r="B43" s="2" t="s">
        <v>35</v>
      </c>
      <c r="C43" s="2" t="s">
        <v>26</v>
      </c>
      <c r="D43" s="2">
        <v>1</v>
      </c>
      <c r="E43" s="2">
        <v>6510874876</v>
      </c>
      <c r="F43" s="2" t="s">
        <v>13</v>
      </c>
      <c r="G43" s="2" t="s">
        <v>14</v>
      </c>
      <c r="H43" s="2" t="s">
        <v>15</v>
      </c>
      <c r="I43" s="2" t="s">
        <v>41</v>
      </c>
      <c r="J43" s="44" t="s">
        <v>22</v>
      </c>
    </row>
    <row r="44" spans="1:10" x14ac:dyDescent="0.3">
      <c r="A44" s="43" t="s">
        <v>73</v>
      </c>
      <c r="B44" s="2" t="s">
        <v>32</v>
      </c>
      <c r="C44" s="2" t="s">
        <v>36</v>
      </c>
      <c r="D44" s="2">
        <v>7</v>
      </c>
      <c r="E44" s="2">
        <v>7259224000</v>
      </c>
      <c r="F44" s="2" t="s">
        <v>13</v>
      </c>
      <c r="G44" s="2" t="s">
        <v>14</v>
      </c>
      <c r="H44" s="2" t="s">
        <v>15</v>
      </c>
      <c r="I44" s="2" t="s">
        <v>29</v>
      </c>
      <c r="J44" s="44" t="s">
        <v>22</v>
      </c>
    </row>
    <row r="45" spans="1:10" x14ac:dyDescent="0.3">
      <c r="A45" s="43" t="s">
        <v>74</v>
      </c>
      <c r="B45" s="2" t="s">
        <v>11</v>
      </c>
      <c r="C45" s="2" t="s">
        <v>12</v>
      </c>
      <c r="D45" s="2">
        <v>3</v>
      </c>
      <c r="E45" s="2">
        <v>8048856634</v>
      </c>
      <c r="F45" s="2" t="s">
        <v>13</v>
      </c>
      <c r="G45" s="2" t="s">
        <v>14</v>
      </c>
      <c r="H45" s="2" t="s">
        <v>21</v>
      </c>
      <c r="I45" s="2" t="s">
        <v>41</v>
      </c>
      <c r="J45" s="44" t="s">
        <v>17</v>
      </c>
    </row>
    <row r="46" spans="1:10" x14ac:dyDescent="0.3">
      <c r="A46" s="43" t="s">
        <v>75</v>
      </c>
      <c r="B46" s="2" t="s">
        <v>11</v>
      </c>
      <c r="C46" s="2" t="s">
        <v>12</v>
      </c>
      <c r="D46" s="2">
        <v>3</v>
      </c>
      <c r="E46" s="2">
        <v>9121272322</v>
      </c>
      <c r="F46" s="2" t="s">
        <v>19</v>
      </c>
      <c r="G46" s="2" t="s">
        <v>20</v>
      </c>
      <c r="H46" s="2" t="s">
        <v>21</v>
      </c>
      <c r="I46" s="2" t="s">
        <v>37</v>
      </c>
      <c r="J46" s="44" t="s">
        <v>22</v>
      </c>
    </row>
    <row r="47" spans="1:10" x14ac:dyDescent="0.3">
      <c r="A47" s="43" t="s">
        <v>76</v>
      </c>
      <c r="B47" s="2" t="s">
        <v>35</v>
      </c>
      <c r="C47" s="2" t="s">
        <v>12</v>
      </c>
      <c r="D47" s="2">
        <v>1</v>
      </c>
      <c r="E47" s="2">
        <v>6705996210</v>
      </c>
      <c r="F47" s="2" t="s">
        <v>19</v>
      </c>
      <c r="G47" s="2" t="s">
        <v>20</v>
      </c>
      <c r="H47" s="2" t="s">
        <v>21</v>
      </c>
      <c r="I47" s="2" t="s">
        <v>37</v>
      </c>
      <c r="J47" s="44" t="s">
        <v>22</v>
      </c>
    </row>
    <row r="48" spans="1:10" x14ac:dyDescent="0.3">
      <c r="A48" s="43" t="s">
        <v>77</v>
      </c>
      <c r="B48" s="2" t="s">
        <v>32</v>
      </c>
      <c r="C48" s="2" t="s">
        <v>33</v>
      </c>
      <c r="D48" s="2">
        <v>7</v>
      </c>
      <c r="E48" s="2">
        <v>6193128782</v>
      </c>
      <c r="F48" s="2" t="s">
        <v>13</v>
      </c>
      <c r="G48" s="2" t="s">
        <v>20</v>
      </c>
      <c r="H48" s="2" t="s">
        <v>21</v>
      </c>
      <c r="I48" s="2" t="s">
        <v>22</v>
      </c>
      <c r="J48" s="44" t="s">
        <v>22</v>
      </c>
    </row>
    <row r="49" spans="1:10" x14ac:dyDescent="0.3">
      <c r="A49" s="43" t="s">
        <v>78</v>
      </c>
      <c r="B49" s="2" t="s">
        <v>35</v>
      </c>
      <c r="C49" s="2" t="s">
        <v>12</v>
      </c>
      <c r="D49" s="2">
        <v>1</v>
      </c>
      <c r="E49" s="2">
        <v>7416527689</v>
      </c>
      <c r="F49" s="2" t="s">
        <v>13</v>
      </c>
      <c r="G49" s="2" t="s">
        <v>14</v>
      </c>
      <c r="H49" s="2" t="s">
        <v>15</v>
      </c>
      <c r="I49" s="2" t="s">
        <v>37</v>
      </c>
      <c r="J49" s="44" t="s">
        <v>23</v>
      </c>
    </row>
    <row r="50" spans="1:10" x14ac:dyDescent="0.3">
      <c r="A50" s="43" t="s">
        <v>79</v>
      </c>
      <c r="B50" s="2" t="s">
        <v>35</v>
      </c>
      <c r="C50" s="2" t="s">
        <v>43</v>
      </c>
      <c r="D50" s="2">
        <v>1</v>
      </c>
      <c r="E50" s="2">
        <v>9465256008</v>
      </c>
      <c r="F50" s="2" t="s">
        <v>13</v>
      </c>
      <c r="G50" s="2" t="s">
        <v>20</v>
      </c>
      <c r="H50" s="2" t="s">
        <v>15</v>
      </c>
      <c r="I50" s="2" t="s">
        <v>16</v>
      </c>
      <c r="J50" s="44" t="s">
        <v>17</v>
      </c>
    </row>
    <row r="51" spans="1:10" x14ac:dyDescent="0.3">
      <c r="A51" s="43" t="s">
        <v>80</v>
      </c>
      <c r="B51" s="2" t="s">
        <v>32</v>
      </c>
      <c r="C51" s="2" t="s">
        <v>43</v>
      </c>
      <c r="D51" s="2">
        <v>7</v>
      </c>
      <c r="E51" s="2">
        <v>9487563540</v>
      </c>
      <c r="F51" s="2" t="s">
        <v>19</v>
      </c>
      <c r="G51" s="2" t="s">
        <v>14</v>
      </c>
      <c r="H51" s="2" t="s">
        <v>21</v>
      </c>
      <c r="I51" s="2" t="s">
        <v>29</v>
      </c>
      <c r="J51" s="44" t="s">
        <v>17</v>
      </c>
    </row>
    <row r="52" spans="1:10" x14ac:dyDescent="0.3">
      <c r="A52" s="43" t="s">
        <v>24</v>
      </c>
      <c r="B52" s="2" t="s">
        <v>25</v>
      </c>
      <c r="C52" s="2" t="s">
        <v>33</v>
      </c>
      <c r="D52" s="2">
        <v>5</v>
      </c>
      <c r="E52" s="2">
        <v>6378998397</v>
      </c>
      <c r="F52" s="2" t="s">
        <v>13</v>
      </c>
      <c r="G52" s="2" t="s">
        <v>14</v>
      </c>
      <c r="H52" s="2" t="s">
        <v>15</v>
      </c>
      <c r="I52" s="2" t="s">
        <v>37</v>
      </c>
      <c r="J52" s="44" t="s">
        <v>17</v>
      </c>
    </row>
    <row r="53" spans="1:10" x14ac:dyDescent="0.3">
      <c r="A53" s="43" t="s">
        <v>81</v>
      </c>
      <c r="B53" s="2" t="s">
        <v>11</v>
      </c>
      <c r="C53" s="2" t="s">
        <v>12</v>
      </c>
      <c r="D53" s="2">
        <v>3</v>
      </c>
      <c r="E53" s="2">
        <v>8147056642</v>
      </c>
      <c r="F53" s="2" t="s">
        <v>13</v>
      </c>
      <c r="G53" s="2" t="s">
        <v>20</v>
      </c>
      <c r="H53" s="2" t="s">
        <v>15</v>
      </c>
      <c r="I53" s="2" t="s">
        <v>16</v>
      </c>
      <c r="J53" s="44" t="s">
        <v>23</v>
      </c>
    </row>
    <row r="54" spans="1:10" x14ac:dyDescent="0.3">
      <c r="A54" s="43" t="s">
        <v>82</v>
      </c>
      <c r="B54" s="2" t="s">
        <v>32</v>
      </c>
      <c r="C54" s="2" t="s">
        <v>26</v>
      </c>
      <c r="D54" s="2">
        <v>7</v>
      </c>
      <c r="E54" s="2">
        <v>6729820575</v>
      </c>
      <c r="F54" s="2" t="s">
        <v>19</v>
      </c>
      <c r="G54" s="2" t="s">
        <v>14</v>
      </c>
      <c r="H54" s="2" t="s">
        <v>21</v>
      </c>
      <c r="I54" s="2" t="s">
        <v>37</v>
      </c>
      <c r="J54" s="44" t="s">
        <v>23</v>
      </c>
    </row>
    <row r="55" spans="1:10" x14ac:dyDescent="0.3">
      <c r="A55" s="43" t="s">
        <v>83</v>
      </c>
      <c r="B55" s="2" t="s">
        <v>35</v>
      </c>
      <c r="C55" s="2" t="s">
        <v>36</v>
      </c>
      <c r="D55" s="2">
        <v>1</v>
      </c>
      <c r="E55" s="2">
        <v>8114258594</v>
      </c>
      <c r="F55" s="2" t="s">
        <v>13</v>
      </c>
      <c r="G55" s="2" t="s">
        <v>20</v>
      </c>
      <c r="H55" s="2" t="s">
        <v>15</v>
      </c>
      <c r="I55" s="2" t="s">
        <v>37</v>
      </c>
      <c r="J55" s="44" t="s">
        <v>23</v>
      </c>
    </row>
    <row r="56" spans="1:10" x14ac:dyDescent="0.3">
      <c r="A56" s="43" t="s">
        <v>84</v>
      </c>
      <c r="B56" s="2" t="s">
        <v>32</v>
      </c>
      <c r="C56" s="2" t="s">
        <v>43</v>
      </c>
      <c r="D56" s="2">
        <v>7</v>
      </c>
      <c r="E56" s="2">
        <v>7473489931</v>
      </c>
      <c r="F56" s="2" t="s">
        <v>13</v>
      </c>
      <c r="G56" s="2" t="s">
        <v>14</v>
      </c>
      <c r="H56" s="2" t="s">
        <v>15</v>
      </c>
      <c r="I56" s="2" t="s">
        <v>22</v>
      </c>
      <c r="J56" s="44" t="s">
        <v>22</v>
      </c>
    </row>
    <row r="57" spans="1:10" x14ac:dyDescent="0.3">
      <c r="A57" s="43" t="s">
        <v>85</v>
      </c>
      <c r="B57" s="2" t="s">
        <v>11</v>
      </c>
      <c r="C57" s="2" t="s">
        <v>12</v>
      </c>
      <c r="D57" s="2">
        <v>3</v>
      </c>
      <c r="E57" s="2">
        <v>7784045242</v>
      </c>
      <c r="F57" s="2" t="s">
        <v>13</v>
      </c>
      <c r="G57" s="2" t="s">
        <v>20</v>
      </c>
      <c r="H57" s="2" t="s">
        <v>15</v>
      </c>
      <c r="I57" s="2" t="s">
        <v>27</v>
      </c>
      <c r="J57" s="44" t="s">
        <v>17</v>
      </c>
    </row>
    <row r="58" spans="1:10" x14ac:dyDescent="0.3">
      <c r="A58" s="43" t="s">
        <v>86</v>
      </c>
      <c r="B58" s="2" t="s">
        <v>25</v>
      </c>
      <c r="C58" s="2" t="s">
        <v>36</v>
      </c>
      <c r="D58" s="2">
        <v>5</v>
      </c>
      <c r="E58" s="2">
        <v>9896116034</v>
      </c>
      <c r="F58" s="2" t="s">
        <v>13</v>
      </c>
      <c r="G58" s="2" t="s">
        <v>20</v>
      </c>
      <c r="H58" s="2" t="s">
        <v>15</v>
      </c>
      <c r="I58" s="2" t="s">
        <v>27</v>
      </c>
      <c r="J58" s="44" t="s">
        <v>22</v>
      </c>
    </row>
    <row r="59" spans="1:10" x14ac:dyDescent="0.3">
      <c r="A59" s="43" t="s">
        <v>87</v>
      </c>
      <c r="B59" s="2" t="s">
        <v>11</v>
      </c>
      <c r="C59" s="2" t="s">
        <v>33</v>
      </c>
      <c r="D59" s="2">
        <v>3</v>
      </c>
      <c r="E59" s="2">
        <v>8371487617</v>
      </c>
      <c r="F59" s="2" t="s">
        <v>19</v>
      </c>
      <c r="G59" s="2" t="s">
        <v>20</v>
      </c>
      <c r="H59" s="2" t="s">
        <v>21</v>
      </c>
      <c r="I59" s="2" t="s">
        <v>37</v>
      </c>
      <c r="J59" s="44" t="s">
        <v>22</v>
      </c>
    </row>
    <row r="60" spans="1:10" x14ac:dyDescent="0.3">
      <c r="A60" s="43" t="s">
        <v>88</v>
      </c>
      <c r="B60" s="2" t="s">
        <v>35</v>
      </c>
      <c r="C60" s="2" t="s">
        <v>43</v>
      </c>
      <c r="D60" s="2">
        <v>1</v>
      </c>
      <c r="E60" s="2">
        <v>9944199582</v>
      </c>
      <c r="F60" s="2" t="s">
        <v>19</v>
      </c>
      <c r="G60" s="2" t="s">
        <v>20</v>
      </c>
      <c r="H60" s="2" t="s">
        <v>15</v>
      </c>
      <c r="I60" s="2" t="s">
        <v>37</v>
      </c>
      <c r="J60" s="44" t="s">
        <v>23</v>
      </c>
    </row>
    <row r="61" spans="1:10" x14ac:dyDescent="0.3">
      <c r="A61" s="43" t="s">
        <v>89</v>
      </c>
      <c r="B61" s="2" t="s">
        <v>25</v>
      </c>
      <c r="C61" s="2" t="s">
        <v>43</v>
      </c>
      <c r="D61" s="2">
        <v>5</v>
      </c>
      <c r="E61" s="2">
        <v>7198699361</v>
      </c>
      <c r="F61" s="2" t="s">
        <v>13</v>
      </c>
      <c r="G61" s="2" t="s">
        <v>14</v>
      </c>
      <c r="H61" s="2" t="s">
        <v>15</v>
      </c>
      <c r="I61" s="2" t="s">
        <v>22</v>
      </c>
      <c r="J61" s="44" t="s">
        <v>17</v>
      </c>
    </row>
    <row r="62" spans="1:10" x14ac:dyDescent="0.3">
      <c r="A62" s="43" t="s">
        <v>90</v>
      </c>
      <c r="B62" s="2" t="s">
        <v>35</v>
      </c>
      <c r="C62" s="2" t="s">
        <v>43</v>
      </c>
      <c r="D62" s="2">
        <v>1</v>
      </c>
      <c r="E62" s="2">
        <v>9510854464</v>
      </c>
      <c r="F62" s="2" t="s">
        <v>13</v>
      </c>
      <c r="G62" s="2" t="s">
        <v>14</v>
      </c>
      <c r="H62" s="2" t="s">
        <v>21</v>
      </c>
      <c r="I62" s="2" t="s">
        <v>27</v>
      </c>
      <c r="J62" s="44" t="s">
        <v>17</v>
      </c>
    </row>
    <row r="63" spans="1:10" x14ac:dyDescent="0.3">
      <c r="A63" s="43" t="s">
        <v>91</v>
      </c>
      <c r="B63" s="2" t="s">
        <v>35</v>
      </c>
      <c r="C63" s="2" t="s">
        <v>36</v>
      </c>
      <c r="D63" s="2">
        <v>1</v>
      </c>
      <c r="E63" s="2">
        <v>8756328718</v>
      </c>
      <c r="F63" s="2" t="s">
        <v>13</v>
      </c>
      <c r="G63" s="2" t="s">
        <v>20</v>
      </c>
      <c r="H63" s="2" t="s">
        <v>15</v>
      </c>
      <c r="I63" s="2" t="s">
        <v>16</v>
      </c>
      <c r="J63" s="44" t="s">
        <v>17</v>
      </c>
    </row>
    <row r="64" spans="1:10" x14ac:dyDescent="0.3">
      <c r="A64" s="43" t="s">
        <v>92</v>
      </c>
      <c r="B64" s="2" t="s">
        <v>11</v>
      </c>
      <c r="C64" s="2" t="s">
        <v>36</v>
      </c>
      <c r="D64" s="2">
        <v>3</v>
      </c>
      <c r="E64" s="2">
        <v>8111844125</v>
      </c>
      <c r="F64" s="2" t="s">
        <v>13</v>
      </c>
      <c r="G64" s="2" t="s">
        <v>14</v>
      </c>
      <c r="H64" s="2" t="s">
        <v>15</v>
      </c>
      <c r="I64" s="2" t="s">
        <v>41</v>
      </c>
      <c r="J64" s="44" t="s">
        <v>17</v>
      </c>
    </row>
    <row r="65" spans="1:10" x14ac:dyDescent="0.3">
      <c r="A65" s="43" t="s">
        <v>93</v>
      </c>
      <c r="B65" s="2" t="s">
        <v>11</v>
      </c>
      <c r="C65" s="2" t="s">
        <v>26</v>
      </c>
      <c r="D65" s="2">
        <v>3</v>
      </c>
      <c r="E65" s="2">
        <v>9383367846</v>
      </c>
      <c r="F65" s="2" t="s">
        <v>19</v>
      </c>
      <c r="G65" s="2" t="s">
        <v>14</v>
      </c>
      <c r="H65" s="2" t="s">
        <v>15</v>
      </c>
      <c r="I65" s="2" t="s">
        <v>22</v>
      </c>
      <c r="J65" s="44" t="s">
        <v>23</v>
      </c>
    </row>
    <row r="66" spans="1:10" x14ac:dyDescent="0.3">
      <c r="A66" s="43" t="s">
        <v>94</v>
      </c>
      <c r="B66" s="2" t="s">
        <v>11</v>
      </c>
      <c r="C66" s="2" t="s">
        <v>33</v>
      </c>
      <c r="D66" s="2">
        <v>3</v>
      </c>
      <c r="E66" s="2">
        <v>6676790613</v>
      </c>
      <c r="F66" s="2" t="s">
        <v>19</v>
      </c>
      <c r="G66" s="2" t="s">
        <v>20</v>
      </c>
      <c r="H66" s="2" t="s">
        <v>15</v>
      </c>
      <c r="I66" s="2" t="s">
        <v>22</v>
      </c>
      <c r="J66" s="44" t="s">
        <v>22</v>
      </c>
    </row>
    <row r="67" spans="1:10" x14ac:dyDescent="0.3">
      <c r="A67" s="43" t="s">
        <v>95</v>
      </c>
      <c r="B67" s="2" t="s">
        <v>11</v>
      </c>
      <c r="C67" s="2" t="s">
        <v>12</v>
      </c>
      <c r="D67" s="2">
        <v>3</v>
      </c>
      <c r="E67" s="2">
        <v>6503352129</v>
      </c>
      <c r="F67" s="2" t="s">
        <v>13</v>
      </c>
      <c r="G67" s="2" t="s">
        <v>14</v>
      </c>
      <c r="H67" s="2" t="s">
        <v>21</v>
      </c>
      <c r="I67" s="2" t="s">
        <v>27</v>
      </c>
      <c r="J67" s="44" t="s">
        <v>17</v>
      </c>
    </row>
    <row r="68" spans="1:10" x14ac:dyDescent="0.3">
      <c r="A68" s="43" t="s">
        <v>96</v>
      </c>
      <c r="B68" s="2" t="s">
        <v>35</v>
      </c>
      <c r="C68" s="2" t="s">
        <v>26</v>
      </c>
      <c r="D68" s="2">
        <v>1</v>
      </c>
      <c r="E68" s="2">
        <v>6812154144</v>
      </c>
      <c r="F68" s="2" t="s">
        <v>19</v>
      </c>
      <c r="G68" s="2" t="s">
        <v>20</v>
      </c>
      <c r="H68" s="2" t="s">
        <v>15</v>
      </c>
      <c r="I68" s="2" t="s">
        <v>22</v>
      </c>
      <c r="J68" s="44" t="s">
        <v>17</v>
      </c>
    </row>
    <row r="69" spans="1:10" x14ac:dyDescent="0.3">
      <c r="A69" s="43" t="s">
        <v>97</v>
      </c>
      <c r="B69" s="2" t="s">
        <v>11</v>
      </c>
      <c r="C69" s="2" t="s">
        <v>33</v>
      </c>
      <c r="D69" s="2">
        <v>3</v>
      </c>
      <c r="E69" s="2">
        <v>8905105497</v>
      </c>
      <c r="F69" s="2" t="s">
        <v>19</v>
      </c>
      <c r="G69" s="2" t="s">
        <v>14</v>
      </c>
      <c r="H69" s="2" t="s">
        <v>21</v>
      </c>
      <c r="I69" s="2" t="s">
        <v>27</v>
      </c>
      <c r="J69" s="44" t="s">
        <v>17</v>
      </c>
    </row>
    <row r="70" spans="1:10" x14ac:dyDescent="0.3">
      <c r="A70" s="43" t="s">
        <v>98</v>
      </c>
      <c r="B70" s="2" t="s">
        <v>11</v>
      </c>
      <c r="C70" s="2" t="s">
        <v>12</v>
      </c>
      <c r="D70" s="2">
        <v>3</v>
      </c>
      <c r="E70" s="2">
        <v>8799457176</v>
      </c>
      <c r="F70" s="2" t="s">
        <v>13</v>
      </c>
      <c r="G70" s="2" t="s">
        <v>14</v>
      </c>
      <c r="H70" s="2" t="s">
        <v>21</v>
      </c>
      <c r="I70" s="2" t="s">
        <v>22</v>
      </c>
      <c r="J70" s="44" t="s">
        <v>17</v>
      </c>
    </row>
    <row r="71" spans="1:10" x14ac:dyDescent="0.3">
      <c r="A71" s="43" t="s">
        <v>99</v>
      </c>
      <c r="B71" s="2" t="s">
        <v>11</v>
      </c>
      <c r="C71" s="2" t="s">
        <v>43</v>
      </c>
      <c r="D71" s="2">
        <v>3</v>
      </c>
      <c r="E71" s="2">
        <v>6353238458</v>
      </c>
      <c r="F71" s="2" t="s">
        <v>13</v>
      </c>
      <c r="G71" s="2" t="s">
        <v>20</v>
      </c>
      <c r="H71" s="2" t="s">
        <v>15</v>
      </c>
      <c r="I71" s="2" t="s">
        <v>22</v>
      </c>
      <c r="J71" s="44" t="s">
        <v>23</v>
      </c>
    </row>
    <row r="72" spans="1:10" x14ac:dyDescent="0.3">
      <c r="A72" s="43" t="s">
        <v>100</v>
      </c>
      <c r="B72" s="2" t="s">
        <v>25</v>
      </c>
      <c r="C72" s="2" t="s">
        <v>12</v>
      </c>
      <c r="D72" s="2">
        <v>5</v>
      </c>
      <c r="E72" s="2">
        <v>8818744554</v>
      </c>
      <c r="F72" s="2" t="s">
        <v>19</v>
      </c>
      <c r="G72" s="2" t="s">
        <v>14</v>
      </c>
      <c r="H72" s="2" t="s">
        <v>21</v>
      </c>
      <c r="I72" s="2" t="s">
        <v>41</v>
      </c>
      <c r="J72" s="44" t="s">
        <v>23</v>
      </c>
    </row>
    <row r="73" spans="1:10" x14ac:dyDescent="0.3">
      <c r="A73" s="43" t="s">
        <v>101</v>
      </c>
      <c r="B73" s="2" t="s">
        <v>35</v>
      </c>
      <c r="C73" s="2" t="s">
        <v>43</v>
      </c>
      <c r="D73" s="2">
        <v>1</v>
      </c>
      <c r="E73" s="2">
        <v>9424927040</v>
      </c>
      <c r="F73" s="2" t="s">
        <v>19</v>
      </c>
      <c r="G73" s="2" t="s">
        <v>20</v>
      </c>
      <c r="H73" s="2" t="s">
        <v>15</v>
      </c>
      <c r="I73" s="2" t="s">
        <v>22</v>
      </c>
      <c r="J73" s="44" t="s">
        <v>22</v>
      </c>
    </row>
    <row r="74" spans="1:10" x14ac:dyDescent="0.3">
      <c r="A74" s="43" t="s">
        <v>102</v>
      </c>
      <c r="B74" s="2" t="s">
        <v>32</v>
      </c>
      <c r="C74" s="2" t="s">
        <v>43</v>
      </c>
      <c r="D74" s="2">
        <v>7</v>
      </c>
      <c r="E74" s="2">
        <v>7598011615</v>
      </c>
      <c r="F74" s="2" t="s">
        <v>13</v>
      </c>
      <c r="G74" s="2" t="s">
        <v>20</v>
      </c>
      <c r="H74" s="2" t="s">
        <v>15</v>
      </c>
      <c r="I74" s="2" t="s">
        <v>29</v>
      </c>
      <c r="J74" s="44" t="s">
        <v>22</v>
      </c>
    </row>
    <row r="75" spans="1:10" x14ac:dyDescent="0.3">
      <c r="A75" s="43" t="s">
        <v>103</v>
      </c>
      <c r="B75" s="2" t="s">
        <v>11</v>
      </c>
      <c r="C75" s="2" t="s">
        <v>43</v>
      </c>
      <c r="D75" s="2">
        <v>3</v>
      </c>
      <c r="E75" s="2">
        <v>9576782874</v>
      </c>
      <c r="F75" s="2" t="s">
        <v>13</v>
      </c>
      <c r="G75" s="2" t="s">
        <v>14</v>
      </c>
      <c r="H75" s="2" t="s">
        <v>21</v>
      </c>
      <c r="I75" s="2" t="s">
        <v>41</v>
      </c>
      <c r="J75" s="44" t="s">
        <v>23</v>
      </c>
    </row>
    <row r="76" spans="1:10" x14ac:dyDescent="0.3">
      <c r="A76" s="43" t="s">
        <v>104</v>
      </c>
      <c r="B76" s="2" t="s">
        <v>25</v>
      </c>
      <c r="C76" s="2" t="s">
        <v>36</v>
      </c>
      <c r="D76" s="2">
        <v>5</v>
      </c>
      <c r="E76" s="2">
        <v>9355691350</v>
      </c>
      <c r="F76" s="2" t="s">
        <v>13</v>
      </c>
      <c r="G76" s="2" t="s">
        <v>14</v>
      </c>
      <c r="H76" s="2" t="s">
        <v>21</v>
      </c>
      <c r="I76" s="2" t="s">
        <v>29</v>
      </c>
      <c r="J76" s="44" t="s">
        <v>22</v>
      </c>
    </row>
    <row r="77" spans="1:10" x14ac:dyDescent="0.3">
      <c r="A77" s="43" t="s">
        <v>105</v>
      </c>
      <c r="B77" s="2" t="s">
        <v>32</v>
      </c>
      <c r="C77" s="2" t="s">
        <v>36</v>
      </c>
      <c r="D77" s="2">
        <v>7</v>
      </c>
      <c r="E77" s="2">
        <v>6568918318</v>
      </c>
      <c r="F77" s="2" t="s">
        <v>19</v>
      </c>
      <c r="G77" s="2" t="s">
        <v>14</v>
      </c>
      <c r="H77" s="2" t="s">
        <v>15</v>
      </c>
      <c r="I77" s="2" t="s">
        <v>41</v>
      </c>
      <c r="J77" s="44" t="s">
        <v>23</v>
      </c>
    </row>
    <row r="78" spans="1:10" x14ac:dyDescent="0.3">
      <c r="A78" s="43" t="s">
        <v>106</v>
      </c>
      <c r="B78" s="2" t="s">
        <v>32</v>
      </c>
      <c r="C78" s="2" t="s">
        <v>26</v>
      </c>
      <c r="D78" s="2">
        <v>7</v>
      </c>
      <c r="E78" s="2">
        <v>8534088133</v>
      </c>
      <c r="F78" s="2" t="s">
        <v>19</v>
      </c>
      <c r="G78" s="2" t="s">
        <v>20</v>
      </c>
      <c r="H78" s="2" t="s">
        <v>21</v>
      </c>
      <c r="I78" s="2" t="s">
        <v>37</v>
      </c>
      <c r="J78" s="44" t="s">
        <v>22</v>
      </c>
    </row>
    <row r="79" spans="1:10" x14ac:dyDescent="0.3">
      <c r="A79" s="43" t="s">
        <v>107</v>
      </c>
      <c r="B79" s="2" t="s">
        <v>25</v>
      </c>
      <c r="C79" s="2" t="s">
        <v>43</v>
      </c>
      <c r="D79" s="2">
        <v>5</v>
      </c>
      <c r="E79" s="2">
        <v>9488762609</v>
      </c>
      <c r="F79" s="2" t="s">
        <v>19</v>
      </c>
      <c r="G79" s="2" t="s">
        <v>20</v>
      </c>
      <c r="H79" s="2" t="s">
        <v>15</v>
      </c>
      <c r="I79" s="2" t="s">
        <v>29</v>
      </c>
      <c r="J79" s="44" t="s">
        <v>23</v>
      </c>
    </row>
    <row r="80" spans="1:10" x14ac:dyDescent="0.3">
      <c r="A80" s="43" t="s">
        <v>108</v>
      </c>
      <c r="B80" s="2" t="s">
        <v>25</v>
      </c>
      <c r="C80" s="2" t="s">
        <v>26</v>
      </c>
      <c r="D80" s="2">
        <v>5</v>
      </c>
      <c r="E80" s="2">
        <v>6783558278</v>
      </c>
      <c r="F80" s="2" t="s">
        <v>19</v>
      </c>
      <c r="G80" s="2" t="s">
        <v>20</v>
      </c>
      <c r="H80" s="2" t="s">
        <v>21</v>
      </c>
      <c r="I80" s="2" t="s">
        <v>22</v>
      </c>
      <c r="J80" s="44" t="s">
        <v>23</v>
      </c>
    </row>
    <row r="81" spans="1:10" x14ac:dyDescent="0.3">
      <c r="A81" s="43" t="s">
        <v>109</v>
      </c>
      <c r="B81" s="2" t="s">
        <v>32</v>
      </c>
      <c r="C81" s="2" t="s">
        <v>43</v>
      </c>
      <c r="D81" s="2">
        <v>7</v>
      </c>
      <c r="E81" s="2">
        <v>7114639370</v>
      </c>
      <c r="F81" s="2" t="s">
        <v>19</v>
      </c>
      <c r="G81" s="2" t="s">
        <v>20</v>
      </c>
      <c r="H81" s="2" t="s">
        <v>15</v>
      </c>
      <c r="I81" s="2" t="s">
        <v>16</v>
      </c>
      <c r="J81" s="44" t="s">
        <v>22</v>
      </c>
    </row>
    <row r="82" spans="1:10" x14ac:dyDescent="0.3">
      <c r="A82" s="43" t="s">
        <v>110</v>
      </c>
      <c r="B82" s="2" t="s">
        <v>32</v>
      </c>
      <c r="C82" s="2" t="s">
        <v>43</v>
      </c>
      <c r="D82" s="2">
        <v>7</v>
      </c>
      <c r="E82" s="2">
        <v>6590416131</v>
      </c>
      <c r="F82" s="2" t="s">
        <v>19</v>
      </c>
      <c r="G82" s="2" t="s">
        <v>20</v>
      </c>
      <c r="H82" s="2" t="s">
        <v>21</v>
      </c>
      <c r="I82" s="2" t="s">
        <v>22</v>
      </c>
      <c r="J82" s="44" t="s">
        <v>22</v>
      </c>
    </row>
    <row r="83" spans="1:10" x14ac:dyDescent="0.3">
      <c r="A83" s="43" t="s">
        <v>111</v>
      </c>
      <c r="B83" s="2" t="s">
        <v>35</v>
      </c>
      <c r="C83" s="2" t="s">
        <v>26</v>
      </c>
      <c r="D83" s="2">
        <v>1</v>
      </c>
      <c r="E83" s="2">
        <v>8466558590</v>
      </c>
      <c r="F83" s="2" t="s">
        <v>13</v>
      </c>
      <c r="G83" s="2" t="s">
        <v>14</v>
      </c>
      <c r="H83" s="2" t="s">
        <v>15</v>
      </c>
      <c r="I83" s="2" t="s">
        <v>37</v>
      </c>
      <c r="J83" s="44" t="s">
        <v>17</v>
      </c>
    </row>
    <row r="84" spans="1:10" x14ac:dyDescent="0.3">
      <c r="A84" s="43" t="s">
        <v>112</v>
      </c>
      <c r="B84" s="2" t="s">
        <v>35</v>
      </c>
      <c r="C84" s="2" t="s">
        <v>43</v>
      </c>
      <c r="D84" s="2">
        <v>1</v>
      </c>
      <c r="E84" s="2">
        <v>9661950055</v>
      </c>
      <c r="F84" s="2" t="s">
        <v>19</v>
      </c>
      <c r="G84" s="2" t="s">
        <v>20</v>
      </c>
      <c r="H84" s="2" t="s">
        <v>15</v>
      </c>
      <c r="I84" s="2" t="s">
        <v>22</v>
      </c>
      <c r="J84" s="44" t="s">
        <v>22</v>
      </c>
    </row>
    <row r="85" spans="1:10" x14ac:dyDescent="0.3">
      <c r="A85" s="43" t="s">
        <v>113</v>
      </c>
      <c r="B85" s="2" t="s">
        <v>25</v>
      </c>
      <c r="C85" s="2" t="s">
        <v>33</v>
      </c>
      <c r="D85" s="2">
        <v>5</v>
      </c>
      <c r="E85" s="2">
        <v>7224290632</v>
      </c>
      <c r="F85" s="2" t="s">
        <v>13</v>
      </c>
      <c r="G85" s="2" t="s">
        <v>14</v>
      </c>
      <c r="H85" s="2" t="s">
        <v>21</v>
      </c>
      <c r="I85" s="2" t="s">
        <v>22</v>
      </c>
      <c r="J85" s="44" t="s">
        <v>22</v>
      </c>
    </row>
    <row r="86" spans="1:10" x14ac:dyDescent="0.3">
      <c r="A86" s="43" t="s">
        <v>114</v>
      </c>
      <c r="B86" s="2" t="s">
        <v>32</v>
      </c>
      <c r="C86" s="2" t="s">
        <v>43</v>
      </c>
      <c r="D86" s="2">
        <v>7</v>
      </c>
      <c r="E86" s="2">
        <v>9402112728</v>
      </c>
      <c r="F86" s="2" t="s">
        <v>19</v>
      </c>
      <c r="G86" s="2" t="s">
        <v>20</v>
      </c>
      <c r="H86" s="2" t="s">
        <v>21</v>
      </c>
      <c r="I86" s="2" t="s">
        <v>27</v>
      </c>
      <c r="J86" s="44" t="s">
        <v>22</v>
      </c>
    </row>
    <row r="87" spans="1:10" x14ac:dyDescent="0.3">
      <c r="A87" s="43" t="s">
        <v>115</v>
      </c>
      <c r="B87" s="2" t="s">
        <v>25</v>
      </c>
      <c r="C87" s="2" t="s">
        <v>26</v>
      </c>
      <c r="D87" s="2">
        <v>5</v>
      </c>
      <c r="E87" s="2">
        <v>8957856655</v>
      </c>
      <c r="F87" s="2" t="s">
        <v>19</v>
      </c>
      <c r="G87" s="2" t="s">
        <v>14</v>
      </c>
      <c r="H87" s="2" t="s">
        <v>21</v>
      </c>
      <c r="I87" s="2" t="s">
        <v>27</v>
      </c>
      <c r="J87" s="44" t="s">
        <v>23</v>
      </c>
    </row>
    <row r="88" spans="1:10" x14ac:dyDescent="0.3">
      <c r="A88" s="43" t="s">
        <v>116</v>
      </c>
      <c r="B88" s="2" t="s">
        <v>35</v>
      </c>
      <c r="C88" s="2" t="s">
        <v>12</v>
      </c>
      <c r="D88" s="2">
        <v>1</v>
      </c>
      <c r="E88" s="2">
        <v>9703547982</v>
      </c>
      <c r="F88" s="2" t="s">
        <v>19</v>
      </c>
      <c r="G88" s="2" t="s">
        <v>20</v>
      </c>
      <c r="H88" s="2" t="s">
        <v>21</v>
      </c>
      <c r="I88" s="2" t="s">
        <v>29</v>
      </c>
      <c r="J88" s="44" t="s">
        <v>22</v>
      </c>
    </row>
    <row r="89" spans="1:10" x14ac:dyDescent="0.3">
      <c r="A89" s="43" t="s">
        <v>117</v>
      </c>
      <c r="B89" s="2" t="s">
        <v>25</v>
      </c>
      <c r="C89" s="2" t="s">
        <v>12</v>
      </c>
      <c r="D89" s="2">
        <v>5</v>
      </c>
      <c r="E89" s="2">
        <v>6308037387</v>
      </c>
      <c r="F89" s="2" t="s">
        <v>13</v>
      </c>
      <c r="G89" s="2" t="s">
        <v>14</v>
      </c>
      <c r="H89" s="2" t="s">
        <v>15</v>
      </c>
      <c r="I89" s="2" t="s">
        <v>41</v>
      </c>
      <c r="J89" s="44" t="s">
        <v>17</v>
      </c>
    </row>
    <row r="90" spans="1:10" x14ac:dyDescent="0.3">
      <c r="A90" s="43" t="s">
        <v>118</v>
      </c>
      <c r="B90" s="2" t="s">
        <v>35</v>
      </c>
      <c r="C90" s="2" t="s">
        <v>43</v>
      </c>
      <c r="D90" s="2">
        <v>1</v>
      </c>
      <c r="E90" s="2">
        <v>8880845684</v>
      </c>
      <c r="F90" s="2" t="s">
        <v>19</v>
      </c>
      <c r="G90" s="2" t="s">
        <v>14</v>
      </c>
      <c r="H90" s="2" t="s">
        <v>15</v>
      </c>
      <c r="I90" s="2" t="s">
        <v>22</v>
      </c>
      <c r="J90" s="44" t="s">
        <v>17</v>
      </c>
    </row>
    <row r="91" spans="1:10" x14ac:dyDescent="0.3">
      <c r="A91" s="43" t="s">
        <v>101</v>
      </c>
      <c r="B91" s="2" t="s">
        <v>25</v>
      </c>
      <c r="C91" s="2" t="s">
        <v>26</v>
      </c>
      <c r="D91" s="2">
        <v>5</v>
      </c>
      <c r="E91" s="2">
        <v>9623694323</v>
      </c>
      <c r="F91" s="2" t="s">
        <v>13</v>
      </c>
      <c r="G91" s="2" t="s">
        <v>14</v>
      </c>
      <c r="H91" s="2" t="s">
        <v>15</v>
      </c>
      <c r="I91" s="2" t="s">
        <v>22</v>
      </c>
      <c r="J91" s="44" t="s">
        <v>22</v>
      </c>
    </row>
    <row r="92" spans="1:10" x14ac:dyDescent="0.3">
      <c r="A92" s="43" t="s">
        <v>119</v>
      </c>
      <c r="B92" s="2" t="s">
        <v>35</v>
      </c>
      <c r="C92" s="2" t="s">
        <v>36</v>
      </c>
      <c r="D92" s="2">
        <v>1</v>
      </c>
      <c r="E92" s="2">
        <v>7932129220</v>
      </c>
      <c r="F92" s="2" t="s">
        <v>19</v>
      </c>
      <c r="G92" s="2" t="s">
        <v>20</v>
      </c>
      <c r="H92" s="2" t="s">
        <v>15</v>
      </c>
      <c r="I92" s="2" t="s">
        <v>22</v>
      </c>
      <c r="J92" s="44" t="s">
        <v>22</v>
      </c>
    </row>
    <row r="93" spans="1:10" x14ac:dyDescent="0.3">
      <c r="A93" s="43" t="s">
        <v>120</v>
      </c>
      <c r="B93" s="2" t="s">
        <v>35</v>
      </c>
      <c r="C93" s="2" t="s">
        <v>43</v>
      </c>
      <c r="D93" s="2">
        <v>1</v>
      </c>
      <c r="E93" s="2">
        <v>6715218212</v>
      </c>
      <c r="F93" s="2" t="s">
        <v>13</v>
      </c>
      <c r="G93" s="2" t="s">
        <v>14</v>
      </c>
      <c r="H93" s="2" t="s">
        <v>15</v>
      </c>
      <c r="I93" s="2" t="s">
        <v>16</v>
      </c>
      <c r="J93" s="44" t="s">
        <v>17</v>
      </c>
    </row>
    <row r="94" spans="1:10" x14ac:dyDescent="0.3">
      <c r="A94" s="43" t="s">
        <v>121</v>
      </c>
      <c r="B94" s="2" t="s">
        <v>11</v>
      </c>
      <c r="C94" s="2" t="s">
        <v>12</v>
      </c>
      <c r="D94" s="2">
        <v>3</v>
      </c>
      <c r="E94" s="2">
        <v>9212516858</v>
      </c>
      <c r="F94" s="2" t="s">
        <v>19</v>
      </c>
      <c r="G94" s="2" t="s">
        <v>20</v>
      </c>
      <c r="H94" s="2" t="s">
        <v>15</v>
      </c>
      <c r="I94" s="2" t="s">
        <v>27</v>
      </c>
      <c r="J94" s="44" t="s">
        <v>22</v>
      </c>
    </row>
    <row r="95" spans="1:10" x14ac:dyDescent="0.3">
      <c r="A95" s="43" t="s">
        <v>122</v>
      </c>
      <c r="B95" s="2" t="s">
        <v>25</v>
      </c>
      <c r="C95" s="2" t="s">
        <v>36</v>
      </c>
      <c r="D95" s="2">
        <v>5</v>
      </c>
      <c r="E95" s="2">
        <v>6682518690</v>
      </c>
      <c r="F95" s="2" t="s">
        <v>13</v>
      </c>
      <c r="G95" s="2" t="s">
        <v>20</v>
      </c>
      <c r="H95" s="2" t="s">
        <v>15</v>
      </c>
      <c r="I95" s="2" t="s">
        <v>37</v>
      </c>
      <c r="J95" s="44" t="s">
        <v>22</v>
      </c>
    </row>
    <row r="96" spans="1:10" x14ac:dyDescent="0.3">
      <c r="A96" s="43" t="s">
        <v>123</v>
      </c>
      <c r="B96" s="2" t="s">
        <v>35</v>
      </c>
      <c r="C96" s="2" t="s">
        <v>12</v>
      </c>
      <c r="D96" s="2">
        <v>1</v>
      </c>
      <c r="E96" s="2">
        <v>6901412110</v>
      </c>
      <c r="F96" s="2" t="s">
        <v>13</v>
      </c>
      <c r="G96" s="2" t="s">
        <v>20</v>
      </c>
      <c r="H96" s="2" t="s">
        <v>21</v>
      </c>
      <c r="I96" s="2" t="s">
        <v>37</v>
      </c>
      <c r="J96" s="44" t="s">
        <v>22</v>
      </c>
    </row>
    <row r="97" spans="1:10" x14ac:dyDescent="0.3">
      <c r="A97" s="43" t="s">
        <v>124</v>
      </c>
      <c r="B97" s="2" t="s">
        <v>35</v>
      </c>
      <c r="C97" s="2" t="s">
        <v>33</v>
      </c>
      <c r="D97" s="2">
        <v>1</v>
      </c>
      <c r="E97" s="2">
        <v>7687706194</v>
      </c>
      <c r="F97" s="2" t="s">
        <v>19</v>
      </c>
      <c r="G97" s="2" t="s">
        <v>14</v>
      </c>
      <c r="H97" s="2" t="s">
        <v>15</v>
      </c>
      <c r="I97" s="2" t="s">
        <v>29</v>
      </c>
      <c r="J97" s="44" t="s">
        <v>23</v>
      </c>
    </row>
    <row r="98" spans="1:10" x14ac:dyDescent="0.3">
      <c r="A98" s="43" t="s">
        <v>125</v>
      </c>
      <c r="B98" s="2" t="s">
        <v>11</v>
      </c>
      <c r="C98" s="2" t="s">
        <v>43</v>
      </c>
      <c r="D98" s="2">
        <v>3</v>
      </c>
      <c r="E98" s="2">
        <v>8276143334</v>
      </c>
      <c r="F98" s="2" t="s">
        <v>19</v>
      </c>
      <c r="G98" s="2" t="s">
        <v>20</v>
      </c>
      <c r="H98" s="2" t="s">
        <v>21</v>
      </c>
      <c r="I98" s="2" t="s">
        <v>37</v>
      </c>
      <c r="J98" s="44" t="s">
        <v>17</v>
      </c>
    </row>
    <row r="99" spans="1:10" x14ac:dyDescent="0.3">
      <c r="A99" s="43" t="s">
        <v>126</v>
      </c>
      <c r="B99" s="2" t="s">
        <v>25</v>
      </c>
      <c r="C99" s="2" t="s">
        <v>36</v>
      </c>
      <c r="D99" s="2">
        <v>5</v>
      </c>
      <c r="E99" s="2">
        <v>8143011853</v>
      </c>
      <c r="F99" s="2" t="s">
        <v>13</v>
      </c>
      <c r="G99" s="2" t="s">
        <v>20</v>
      </c>
      <c r="H99" s="2" t="s">
        <v>15</v>
      </c>
      <c r="I99" s="2" t="s">
        <v>22</v>
      </c>
      <c r="J99" s="44" t="s">
        <v>22</v>
      </c>
    </row>
    <row r="100" spans="1:10" x14ac:dyDescent="0.3">
      <c r="A100" s="43" t="s">
        <v>127</v>
      </c>
      <c r="B100" s="2" t="s">
        <v>11</v>
      </c>
      <c r="C100" s="2" t="s">
        <v>33</v>
      </c>
      <c r="D100" s="2">
        <v>3</v>
      </c>
      <c r="E100" s="2">
        <v>9532838511</v>
      </c>
      <c r="F100" s="2" t="s">
        <v>13</v>
      </c>
      <c r="G100" s="2" t="s">
        <v>20</v>
      </c>
      <c r="H100" s="2" t="s">
        <v>21</v>
      </c>
      <c r="I100" s="2" t="s">
        <v>41</v>
      </c>
      <c r="J100" s="44" t="s">
        <v>17</v>
      </c>
    </row>
    <row r="101" spans="1:10" x14ac:dyDescent="0.3">
      <c r="A101" s="43" t="s">
        <v>128</v>
      </c>
      <c r="B101" s="2" t="s">
        <v>11</v>
      </c>
      <c r="C101" s="2" t="s">
        <v>43</v>
      </c>
      <c r="D101" s="2">
        <v>3</v>
      </c>
      <c r="E101" s="2">
        <v>6887653316</v>
      </c>
      <c r="F101" s="2" t="s">
        <v>19</v>
      </c>
      <c r="G101" s="2" t="s">
        <v>20</v>
      </c>
      <c r="H101" s="2" t="s">
        <v>15</v>
      </c>
      <c r="I101" s="2" t="s">
        <v>27</v>
      </c>
      <c r="J101" s="44" t="s">
        <v>17</v>
      </c>
    </row>
    <row r="102" spans="1:10" x14ac:dyDescent="0.3">
      <c r="A102" s="43" t="s">
        <v>69</v>
      </c>
      <c r="B102" s="2" t="s">
        <v>11</v>
      </c>
      <c r="C102" s="2" t="s">
        <v>26</v>
      </c>
      <c r="D102" s="2">
        <v>3</v>
      </c>
      <c r="E102" s="2">
        <v>7361517482</v>
      </c>
      <c r="F102" s="2" t="s">
        <v>19</v>
      </c>
      <c r="G102" s="2" t="s">
        <v>14</v>
      </c>
      <c r="H102" s="2" t="s">
        <v>21</v>
      </c>
      <c r="I102" s="2" t="s">
        <v>22</v>
      </c>
      <c r="J102" s="44" t="s">
        <v>17</v>
      </c>
    </row>
    <row r="103" spans="1:10" x14ac:dyDescent="0.3">
      <c r="A103" s="43" t="s">
        <v>129</v>
      </c>
      <c r="B103" s="2" t="s">
        <v>35</v>
      </c>
      <c r="C103" s="2" t="s">
        <v>12</v>
      </c>
      <c r="D103" s="2">
        <v>1</v>
      </c>
      <c r="E103" s="2">
        <v>8498773128</v>
      </c>
      <c r="F103" s="2" t="s">
        <v>19</v>
      </c>
      <c r="G103" s="2" t="s">
        <v>14</v>
      </c>
      <c r="H103" s="2" t="s">
        <v>21</v>
      </c>
      <c r="I103" s="2" t="s">
        <v>22</v>
      </c>
      <c r="J103" s="44" t="s">
        <v>17</v>
      </c>
    </row>
    <row r="104" spans="1:10" x14ac:dyDescent="0.3">
      <c r="A104" s="43" t="s">
        <v>130</v>
      </c>
      <c r="B104" s="2" t="s">
        <v>32</v>
      </c>
      <c r="C104" s="2" t="s">
        <v>43</v>
      </c>
      <c r="D104" s="2">
        <v>7</v>
      </c>
      <c r="E104" s="2">
        <v>6859661098</v>
      </c>
      <c r="F104" s="2" t="s">
        <v>13</v>
      </c>
      <c r="G104" s="2" t="s">
        <v>20</v>
      </c>
      <c r="H104" s="2" t="s">
        <v>21</v>
      </c>
      <c r="I104" s="2" t="s">
        <v>29</v>
      </c>
      <c r="J104" s="44" t="s">
        <v>23</v>
      </c>
    </row>
    <row r="105" spans="1:10" x14ac:dyDescent="0.3">
      <c r="A105" s="43" t="s">
        <v>131</v>
      </c>
      <c r="B105" s="2" t="s">
        <v>25</v>
      </c>
      <c r="C105" s="2" t="s">
        <v>36</v>
      </c>
      <c r="D105" s="2">
        <v>5</v>
      </c>
      <c r="E105" s="2">
        <v>9734558695</v>
      </c>
      <c r="F105" s="2" t="s">
        <v>19</v>
      </c>
      <c r="G105" s="2" t="s">
        <v>14</v>
      </c>
      <c r="H105" s="2" t="s">
        <v>21</v>
      </c>
      <c r="I105" s="2" t="s">
        <v>29</v>
      </c>
      <c r="J105" s="44" t="s">
        <v>22</v>
      </c>
    </row>
    <row r="106" spans="1:10" x14ac:dyDescent="0.3">
      <c r="A106" s="43" t="s">
        <v>132</v>
      </c>
      <c r="B106" s="2" t="s">
        <v>11</v>
      </c>
      <c r="C106" s="2" t="s">
        <v>26</v>
      </c>
      <c r="D106" s="2">
        <v>3</v>
      </c>
      <c r="E106" s="2">
        <v>6157105091</v>
      </c>
      <c r="F106" s="2" t="s">
        <v>19</v>
      </c>
      <c r="G106" s="2" t="s">
        <v>14</v>
      </c>
      <c r="H106" s="2" t="s">
        <v>21</v>
      </c>
      <c r="I106" s="2" t="s">
        <v>22</v>
      </c>
      <c r="J106" s="44" t="s">
        <v>17</v>
      </c>
    </row>
    <row r="107" spans="1:10" x14ac:dyDescent="0.3">
      <c r="A107" s="43" t="s">
        <v>133</v>
      </c>
      <c r="B107" s="2" t="s">
        <v>32</v>
      </c>
      <c r="C107" s="2" t="s">
        <v>43</v>
      </c>
      <c r="D107" s="2">
        <v>7</v>
      </c>
      <c r="E107" s="2">
        <v>9448379542</v>
      </c>
      <c r="F107" s="2" t="s">
        <v>13</v>
      </c>
      <c r="G107" s="2" t="s">
        <v>20</v>
      </c>
      <c r="H107" s="2" t="s">
        <v>15</v>
      </c>
      <c r="I107" s="2" t="s">
        <v>27</v>
      </c>
      <c r="J107" s="44" t="s">
        <v>22</v>
      </c>
    </row>
    <row r="108" spans="1:10" x14ac:dyDescent="0.3">
      <c r="A108" s="43" t="s">
        <v>134</v>
      </c>
      <c r="B108" s="2" t="s">
        <v>32</v>
      </c>
      <c r="C108" s="2" t="s">
        <v>36</v>
      </c>
      <c r="D108" s="2">
        <v>7</v>
      </c>
      <c r="E108" s="2">
        <v>6178349156</v>
      </c>
      <c r="F108" s="2" t="s">
        <v>19</v>
      </c>
      <c r="G108" s="2" t="s">
        <v>14</v>
      </c>
      <c r="H108" s="2" t="s">
        <v>15</v>
      </c>
      <c r="I108" s="2" t="s">
        <v>29</v>
      </c>
      <c r="J108" s="44" t="s">
        <v>17</v>
      </c>
    </row>
    <row r="109" spans="1:10" x14ac:dyDescent="0.3">
      <c r="A109" s="43" t="s">
        <v>135</v>
      </c>
      <c r="B109" s="2" t="s">
        <v>11</v>
      </c>
      <c r="C109" s="2" t="s">
        <v>33</v>
      </c>
      <c r="D109" s="2">
        <v>3</v>
      </c>
      <c r="E109" s="2">
        <v>8850593444</v>
      </c>
      <c r="F109" s="2" t="s">
        <v>13</v>
      </c>
      <c r="G109" s="2" t="s">
        <v>20</v>
      </c>
      <c r="H109" s="2" t="s">
        <v>15</v>
      </c>
      <c r="I109" s="2" t="s">
        <v>22</v>
      </c>
      <c r="J109" s="44" t="s">
        <v>22</v>
      </c>
    </row>
    <row r="110" spans="1:10" x14ac:dyDescent="0.3">
      <c r="A110" s="43" t="s">
        <v>136</v>
      </c>
      <c r="B110" s="2" t="s">
        <v>35</v>
      </c>
      <c r="C110" s="2" t="s">
        <v>43</v>
      </c>
      <c r="D110" s="2">
        <v>1</v>
      </c>
      <c r="E110" s="2">
        <v>7540656138</v>
      </c>
      <c r="F110" s="2" t="s">
        <v>19</v>
      </c>
      <c r="G110" s="2" t="s">
        <v>20</v>
      </c>
      <c r="H110" s="2" t="s">
        <v>21</v>
      </c>
      <c r="I110" s="2" t="s">
        <v>22</v>
      </c>
      <c r="J110" s="44" t="s">
        <v>23</v>
      </c>
    </row>
    <row r="111" spans="1:10" x14ac:dyDescent="0.3">
      <c r="A111" s="43" t="s">
        <v>137</v>
      </c>
      <c r="B111" s="2" t="s">
        <v>35</v>
      </c>
      <c r="C111" s="2" t="s">
        <v>36</v>
      </c>
      <c r="D111" s="2">
        <v>1</v>
      </c>
      <c r="E111" s="2">
        <v>7415594741</v>
      </c>
      <c r="F111" s="2" t="s">
        <v>13</v>
      </c>
      <c r="G111" s="2" t="s">
        <v>20</v>
      </c>
      <c r="H111" s="2" t="s">
        <v>21</v>
      </c>
      <c r="I111" s="2" t="s">
        <v>29</v>
      </c>
      <c r="J111" s="44" t="s">
        <v>22</v>
      </c>
    </row>
    <row r="112" spans="1:10" x14ac:dyDescent="0.3">
      <c r="A112" s="43" t="s">
        <v>138</v>
      </c>
      <c r="B112" s="2" t="s">
        <v>35</v>
      </c>
      <c r="C112" s="2" t="s">
        <v>12</v>
      </c>
      <c r="D112" s="2">
        <v>1</v>
      </c>
      <c r="E112" s="2">
        <v>9145866386</v>
      </c>
      <c r="F112" s="2" t="s">
        <v>19</v>
      </c>
      <c r="G112" s="2" t="s">
        <v>14</v>
      </c>
      <c r="H112" s="2" t="s">
        <v>21</v>
      </c>
      <c r="I112" s="2" t="s">
        <v>29</v>
      </c>
      <c r="J112" s="44" t="s">
        <v>22</v>
      </c>
    </row>
    <row r="113" spans="1:10" x14ac:dyDescent="0.3">
      <c r="A113" s="43" t="s">
        <v>139</v>
      </c>
      <c r="B113" s="2" t="s">
        <v>11</v>
      </c>
      <c r="C113" s="2" t="s">
        <v>36</v>
      </c>
      <c r="D113" s="2">
        <v>3</v>
      </c>
      <c r="E113" s="2">
        <v>7125620888</v>
      </c>
      <c r="F113" s="2" t="s">
        <v>19</v>
      </c>
      <c r="G113" s="2" t="s">
        <v>14</v>
      </c>
      <c r="H113" s="2" t="s">
        <v>21</v>
      </c>
      <c r="I113" s="2" t="s">
        <v>29</v>
      </c>
      <c r="J113" s="44" t="s">
        <v>23</v>
      </c>
    </row>
    <row r="114" spans="1:10" x14ac:dyDescent="0.3">
      <c r="A114" s="43" t="s">
        <v>140</v>
      </c>
      <c r="B114" s="2" t="s">
        <v>32</v>
      </c>
      <c r="C114" s="2" t="s">
        <v>36</v>
      </c>
      <c r="D114" s="2">
        <v>7</v>
      </c>
      <c r="E114" s="2">
        <v>8454879720</v>
      </c>
      <c r="F114" s="2" t="s">
        <v>13</v>
      </c>
      <c r="G114" s="2" t="s">
        <v>14</v>
      </c>
      <c r="H114" s="2" t="s">
        <v>15</v>
      </c>
      <c r="I114" s="2" t="s">
        <v>41</v>
      </c>
      <c r="J114" s="44" t="s">
        <v>23</v>
      </c>
    </row>
    <row r="115" spans="1:10" x14ac:dyDescent="0.3">
      <c r="A115" s="43" t="s">
        <v>140</v>
      </c>
      <c r="B115" s="2" t="s">
        <v>11</v>
      </c>
      <c r="C115" s="2" t="s">
        <v>36</v>
      </c>
      <c r="D115" s="2">
        <v>3</v>
      </c>
      <c r="E115" s="2">
        <v>6223507926</v>
      </c>
      <c r="F115" s="2" t="s">
        <v>19</v>
      </c>
      <c r="G115" s="2" t="s">
        <v>14</v>
      </c>
      <c r="H115" s="2" t="s">
        <v>15</v>
      </c>
      <c r="I115" s="2" t="s">
        <v>41</v>
      </c>
      <c r="J115" s="44" t="s">
        <v>22</v>
      </c>
    </row>
    <row r="116" spans="1:10" x14ac:dyDescent="0.3">
      <c r="A116" s="43" t="s">
        <v>141</v>
      </c>
      <c r="B116" s="2" t="s">
        <v>11</v>
      </c>
      <c r="C116" s="2" t="s">
        <v>33</v>
      </c>
      <c r="D116" s="2">
        <v>3</v>
      </c>
      <c r="E116" s="2">
        <v>7276354356</v>
      </c>
      <c r="F116" s="2" t="s">
        <v>13</v>
      </c>
      <c r="G116" s="2" t="s">
        <v>14</v>
      </c>
      <c r="H116" s="2" t="s">
        <v>15</v>
      </c>
      <c r="I116" s="2" t="s">
        <v>41</v>
      </c>
      <c r="J116" s="44" t="s">
        <v>22</v>
      </c>
    </row>
    <row r="117" spans="1:10" x14ac:dyDescent="0.3">
      <c r="A117" s="43" t="s">
        <v>142</v>
      </c>
      <c r="B117" s="2" t="s">
        <v>11</v>
      </c>
      <c r="C117" s="2" t="s">
        <v>36</v>
      </c>
      <c r="D117" s="2">
        <v>3</v>
      </c>
      <c r="E117" s="2">
        <v>6250787339</v>
      </c>
      <c r="F117" s="2" t="s">
        <v>19</v>
      </c>
      <c r="G117" s="2" t="s">
        <v>14</v>
      </c>
      <c r="H117" s="2" t="s">
        <v>15</v>
      </c>
      <c r="I117" s="2" t="s">
        <v>27</v>
      </c>
      <c r="J117" s="44" t="s">
        <v>23</v>
      </c>
    </row>
    <row r="118" spans="1:10" x14ac:dyDescent="0.3">
      <c r="A118" s="43" t="s">
        <v>143</v>
      </c>
      <c r="B118" s="2" t="s">
        <v>25</v>
      </c>
      <c r="C118" s="2" t="s">
        <v>12</v>
      </c>
      <c r="D118" s="2">
        <v>5</v>
      </c>
      <c r="E118" s="2">
        <v>9353099314</v>
      </c>
      <c r="F118" s="2" t="s">
        <v>19</v>
      </c>
      <c r="G118" s="2" t="s">
        <v>20</v>
      </c>
      <c r="H118" s="2" t="s">
        <v>15</v>
      </c>
      <c r="I118" s="2" t="s">
        <v>27</v>
      </c>
      <c r="J118" s="44" t="s">
        <v>17</v>
      </c>
    </row>
    <row r="119" spans="1:10" x14ac:dyDescent="0.3">
      <c r="A119" s="43" t="s">
        <v>144</v>
      </c>
      <c r="B119" s="2" t="s">
        <v>35</v>
      </c>
      <c r="C119" s="2" t="s">
        <v>33</v>
      </c>
      <c r="D119" s="2">
        <v>1</v>
      </c>
      <c r="E119" s="2">
        <v>9328278943</v>
      </c>
      <c r="F119" s="2" t="s">
        <v>19</v>
      </c>
      <c r="G119" s="2" t="s">
        <v>20</v>
      </c>
      <c r="H119" s="2" t="s">
        <v>21</v>
      </c>
      <c r="I119" s="2" t="s">
        <v>27</v>
      </c>
      <c r="J119" s="44" t="s">
        <v>23</v>
      </c>
    </row>
    <row r="120" spans="1:10" x14ac:dyDescent="0.3">
      <c r="A120" s="43" t="s">
        <v>145</v>
      </c>
      <c r="B120" s="2" t="s">
        <v>25</v>
      </c>
      <c r="C120" s="2" t="s">
        <v>26</v>
      </c>
      <c r="D120" s="2">
        <v>5</v>
      </c>
      <c r="E120" s="2">
        <v>8859283949</v>
      </c>
      <c r="F120" s="2" t="s">
        <v>19</v>
      </c>
      <c r="G120" s="2" t="s">
        <v>20</v>
      </c>
      <c r="H120" s="2" t="s">
        <v>15</v>
      </c>
      <c r="I120" s="2" t="s">
        <v>37</v>
      </c>
      <c r="J120" s="44" t="s">
        <v>22</v>
      </c>
    </row>
    <row r="121" spans="1:10" x14ac:dyDescent="0.3">
      <c r="A121" s="43" t="s">
        <v>146</v>
      </c>
      <c r="B121" s="2" t="s">
        <v>11</v>
      </c>
      <c r="C121" s="2" t="s">
        <v>12</v>
      </c>
      <c r="D121" s="2">
        <v>3</v>
      </c>
      <c r="E121" s="2">
        <v>7025327456</v>
      </c>
      <c r="F121" s="2" t="s">
        <v>13</v>
      </c>
      <c r="G121" s="2" t="s">
        <v>20</v>
      </c>
      <c r="H121" s="2" t="s">
        <v>15</v>
      </c>
      <c r="I121" s="2" t="s">
        <v>16</v>
      </c>
      <c r="J121" s="44" t="s">
        <v>22</v>
      </c>
    </row>
    <row r="122" spans="1:10" x14ac:dyDescent="0.3">
      <c r="A122" s="43" t="s">
        <v>147</v>
      </c>
      <c r="B122" s="2" t="s">
        <v>25</v>
      </c>
      <c r="C122" s="2" t="s">
        <v>26</v>
      </c>
      <c r="D122" s="2">
        <v>5</v>
      </c>
      <c r="E122" s="2">
        <v>8908130483</v>
      </c>
      <c r="F122" s="2" t="s">
        <v>13</v>
      </c>
      <c r="G122" s="2" t="s">
        <v>14</v>
      </c>
      <c r="H122" s="2" t="s">
        <v>15</v>
      </c>
      <c r="I122" s="2" t="s">
        <v>41</v>
      </c>
      <c r="J122" s="44" t="s">
        <v>17</v>
      </c>
    </row>
    <row r="123" spans="1:10" x14ac:dyDescent="0.3">
      <c r="A123" s="43" t="s">
        <v>148</v>
      </c>
      <c r="B123" s="2" t="s">
        <v>11</v>
      </c>
      <c r="C123" s="2" t="s">
        <v>12</v>
      </c>
      <c r="D123" s="2">
        <v>3</v>
      </c>
      <c r="E123" s="2">
        <v>9647080659</v>
      </c>
      <c r="F123" s="2" t="s">
        <v>19</v>
      </c>
      <c r="G123" s="2" t="s">
        <v>14</v>
      </c>
      <c r="H123" s="2" t="s">
        <v>21</v>
      </c>
      <c r="I123" s="2" t="s">
        <v>22</v>
      </c>
      <c r="J123" s="44" t="s">
        <v>23</v>
      </c>
    </row>
    <row r="124" spans="1:10" x14ac:dyDescent="0.3">
      <c r="A124" s="43" t="s">
        <v>149</v>
      </c>
      <c r="B124" s="2" t="s">
        <v>11</v>
      </c>
      <c r="C124" s="2" t="s">
        <v>43</v>
      </c>
      <c r="D124" s="2">
        <v>3</v>
      </c>
      <c r="E124" s="2">
        <v>7637570444</v>
      </c>
      <c r="F124" s="2" t="s">
        <v>19</v>
      </c>
      <c r="G124" s="2" t="s">
        <v>14</v>
      </c>
      <c r="H124" s="2" t="s">
        <v>21</v>
      </c>
      <c r="I124" s="2" t="s">
        <v>41</v>
      </c>
      <c r="J124" s="44" t="s">
        <v>22</v>
      </c>
    </row>
    <row r="125" spans="1:10" x14ac:dyDescent="0.3">
      <c r="A125" s="43" t="s">
        <v>150</v>
      </c>
      <c r="B125" s="2" t="s">
        <v>11</v>
      </c>
      <c r="C125" s="2" t="s">
        <v>43</v>
      </c>
      <c r="D125" s="2">
        <v>3</v>
      </c>
      <c r="E125" s="2">
        <v>8293855360</v>
      </c>
      <c r="F125" s="2" t="s">
        <v>19</v>
      </c>
      <c r="G125" s="2" t="s">
        <v>20</v>
      </c>
      <c r="H125" s="2" t="s">
        <v>15</v>
      </c>
      <c r="I125" s="2" t="s">
        <v>22</v>
      </c>
      <c r="J125" s="44" t="s">
        <v>22</v>
      </c>
    </row>
    <row r="126" spans="1:10" x14ac:dyDescent="0.3">
      <c r="A126" s="43" t="s">
        <v>151</v>
      </c>
      <c r="B126" s="2" t="s">
        <v>11</v>
      </c>
      <c r="C126" s="2" t="s">
        <v>33</v>
      </c>
      <c r="D126" s="2">
        <v>3</v>
      </c>
      <c r="E126" s="2">
        <v>8653670336</v>
      </c>
      <c r="F126" s="2" t="s">
        <v>19</v>
      </c>
      <c r="G126" s="2" t="s">
        <v>20</v>
      </c>
      <c r="H126" s="2" t="s">
        <v>15</v>
      </c>
      <c r="I126" s="2" t="s">
        <v>41</v>
      </c>
      <c r="J126" s="44" t="s">
        <v>17</v>
      </c>
    </row>
    <row r="127" spans="1:10" x14ac:dyDescent="0.3">
      <c r="A127" s="43" t="s">
        <v>152</v>
      </c>
      <c r="B127" s="2" t="s">
        <v>32</v>
      </c>
      <c r="C127" s="2" t="s">
        <v>26</v>
      </c>
      <c r="D127" s="2">
        <v>7</v>
      </c>
      <c r="E127" s="2">
        <v>6384894424</v>
      </c>
      <c r="F127" s="2" t="s">
        <v>13</v>
      </c>
      <c r="G127" s="2" t="s">
        <v>20</v>
      </c>
      <c r="H127" s="2" t="s">
        <v>15</v>
      </c>
      <c r="I127" s="2" t="s">
        <v>37</v>
      </c>
      <c r="J127" s="44" t="s">
        <v>17</v>
      </c>
    </row>
    <row r="128" spans="1:10" x14ac:dyDescent="0.3">
      <c r="A128" s="43" t="s">
        <v>153</v>
      </c>
      <c r="B128" s="2" t="s">
        <v>25</v>
      </c>
      <c r="C128" s="2" t="s">
        <v>12</v>
      </c>
      <c r="D128" s="2">
        <v>5</v>
      </c>
      <c r="E128" s="2">
        <v>8451262589</v>
      </c>
      <c r="F128" s="2" t="s">
        <v>19</v>
      </c>
      <c r="G128" s="2" t="s">
        <v>14</v>
      </c>
      <c r="H128" s="2" t="s">
        <v>15</v>
      </c>
      <c r="I128" s="2" t="s">
        <v>41</v>
      </c>
      <c r="J128" s="44" t="s">
        <v>17</v>
      </c>
    </row>
    <row r="129" spans="1:10" x14ac:dyDescent="0.3">
      <c r="A129" s="43" t="s">
        <v>154</v>
      </c>
      <c r="B129" s="2" t="s">
        <v>32</v>
      </c>
      <c r="C129" s="2" t="s">
        <v>43</v>
      </c>
      <c r="D129" s="2">
        <v>7</v>
      </c>
      <c r="E129" s="2">
        <v>9047283200</v>
      </c>
      <c r="F129" s="2" t="s">
        <v>13</v>
      </c>
      <c r="G129" s="2" t="s">
        <v>20</v>
      </c>
      <c r="H129" s="2" t="s">
        <v>15</v>
      </c>
      <c r="I129" s="2" t="s">
        <v>41</v>
      </c>
      <c r="J129" s="44" t="s">
        <v>17</v>
      </c>
    </row>
    <row r="130" spans="1:10" x14ac:dyDescent="0.3">
      <c r="A130" s="43" t="s">
        <v>155</v>
      </c>
      <c r="B130" s="2" t="s">
        <v>25</v>
      </c>
      <c r="C130" s="2" t="s">
        <v>12</v>
      </c>
      <c r="D130" s="2">
        <v>5</v>
      </c>
      <c r="E130" s="2">
        <v>7496307145</v>
      </c>
      <c r="F130" s="2" t="s">
        <v>13</v>
      </c>
      <c r="G130" s="2" t="s">
        <v>14</v>
      </c>
      <c r="H130" s="2" t="s">
        <v>15</v>
      </c>
      <c r="I130" s="2" t="s">
        <v>37</v>
      </c>
      <c r="J130" s="44" t="s">
        <v>23</v>
      </c>
    </row>
    <row r="131" spans="1:10" x14ac:dyDescent="0.3">
      <c r="A131" s="43" t="s">
        <v>156</v>
      </c>
      <c r="B131" s="2" t="s">
        <v>35</v>
      </c>
      <c r="C131" s="2" t="s">
        <v>33</v>
      </c>
      <c r="D131" s="2">
        <v>1</v>
      </c>
      <c r="E131" s="2">
        <v>6238874101</v>
      </c>
      <c r="F131" s="2" t="s">
        <v>19</v>
      </c>
      <c r="G131" s="2" t="s">
        <v>14</v>
      </c>
      <c r="H131" s="2" t="s">
        <v>15</v>
      </c>
      <c r="I131" s="2" t="s">
        <v>37</v>
      </c>
      <c r="J131" s="44" t="s">
        <v>23</v>
      </c>
    </row>
    <row r="132" spans="1:10" x14ac:dyDescent="0.3">
      <c r="A132" s="43" t="s">
        <v>157</v>
      </c>
      <c r="B132" s="2" t="s">
        <v>35</v>
      </c>
      <c r="C132" s="2" t="s">
        <v>43</v>
      </c>
      <c r="D132" s="2">
        <v>1</v>
      </c>
      <c r="E132" s="2">
        <v>9755659587</v>
      </c>
      <c r="F132" s="2" t="s">
        <v>19</v>
      </c>
      <c r="G132" s="2" t="s">
        <v>14</v>
      </c>
      <c r="H132" s="2" t="s">
        <v>21</v>
      </c>
      <c r="I132" s="2" t="s">
        <v>22</v>
      </c>
      <c r="J132" s="44" t="s">
        <v>17</v>
      </c>
    </row>
    <row r="133" spans="1:10" x14ac:dyDescent="0.3">
      <c r="A133" s="43" t="s">
        <v>158</v>
      </c>
      <c r="B133" s="2" t="s">
        <v>35</v>
      </c>
      <c r="C133" s="2" t="s">
        <v>12</v>
      </c>
      <c r="D133" s="2">
        <v>1</v>
      </c>
      <c r="E133" s="2">
        <v>7600829031</v>
      </c>
      <c r="F133" s="2" t="s">
        <v>19</v>
      </c>
      <c r="G133" s="2" t="s">
        <v>14</v>
      </c>
      <c r="H133" s="2" t="s">
        <v>15</v>
      </c>
      <c r="I133" s="2" t="s">
        <v>37</v>
      </c>
      <c r="J133" s="44" t="s">
        <v>23</v>
      </c>
    </row>
    <row r="134" spans="1:10" x14ac:dyDescent="0.3">
      <c r="A134" s="43" t="s">
        <v>159</v>
      </c>
      <c r="B134" s="2" t="s">
        <v>25</v>
      </c>
      <c r="C134" s="2" t="s">
        <v>12</v>
      </c>
      <c r="D134" s="2">
        <v>5</v>
      </c>
      <c r="E134" s="2">
        <v>7811790353</v>
      </c>
      <c r="F134" s="2" t="s">
        <v>19</v>
      </c>
      <c r="G134" s="2" t="s">
        <v>20</v>
      </c>
      <c r="H134" s="2" t="s">
        <v>21</v>
      </c>
      <c r="I134" s="2" t="s">
        <v>27</v>
      </c>
      <c r="J134" s="44" t="s">
        <v>22</v>
      </c>
    </row>
    <row r="135" spans="1:10" x14ac:dyDescent="0.3">
      <c r="A135" s="43" t="s">
        <v>160</v>
      </c>
      <c r="B135" s="2" t="s">
        <v>25</v>
      </c>
      <c r="C135" s="2" t="s">
        <v>12</v>
      </c>
      <c r="D135" s="2">
        <v>5</v>
      </c>
      <c r="E135" s="2">
        <v>6374361460</v>
      </c>
      <c r="F135" s="2" t="s">
        <v>13</v>
      </c>
      <c r="G135" s="2" t="s">
        <v>20</v>
      </c>
      <c r="H135" s="2" t="s">
        <v>21</v>
      </c>
      <c r="I135" s="2" t="s">
        <v>22</v>
      </c>
      <c r="J135" s="44" t="s">
        <v>22</v>
      </c>
    </row>
    <row r="136" spans="1:10" x14ac:dyDescent="0.3">
      <c r="A136" s="43" t="s">
        <v>161</v>
      </c>
      <c r="B136" s="2" t="s">
        <v>25</v>
      </c>
      <c r="C136" s="2" t="s">
        <v>33</v>
      </c>
      <c r="D136" s="2">
        <v>5</v>
      </c>
      <c r="E136" s="2">
        <v>6446944373</v>
      </c>
      <c r="F136" s="2" t="s">
        <v>19</v>
      </c>
      <c r="G136" s="2" t="s">
        <v>20</v>
      </c>
      <c r="H136" s="2" t="s">
        <v>15</v>
      </c>
      <c r="I136" s="2" t="s">
        <v>37</v>
      </c>
      <c r="J136" s="44" t="s">
        <v>22</v>
      </c>
    </row>
    <row r="137" spans="1:10" x14ac:dyDescent="0.3">
      <c r="A137" s="43" t="s">
        <v>162</v>
      </c>
      <c r="B137" s="2" t="s">
        <v>25</v>
      </c>
      <c r="C137" s="2" t="s">
        <v>12</v>
      </c>
      <c r="D137" s="2">
        <v>5</v>
      </c>
      <c r="E137" s="2">
        <v>6744565986</v>
      </c>
      <c r="F137" s="2" t="s">
        <v>13</v>
      </c>
      <c r="G137" s="2" t="s">
        <v>14</v>
      </c>
      <c r="H137" s="2" t="s">
        <v>21</v>
      </c>
      <c r="I137" s="2" t="s">
        <v>41</v>
      </c>
      <c r="J137" s="44" t="s">
        <v>17</v>
      </c>
    </row>
    <row r="138" spans="1:10" x14ac:dyDescent="0.3">
      <c r="A138" s="43" t="s">
        <v>163</v>
      </c>
      <c r="B138" s="2" t="s">
        <v>35</v>
      </c>
      <c r="C138" s="2" t="s">
        <v>33</v>
      </c>
      <c r="D138" s="2">
        <v>1</v>
      </c>
      <c r="E138" s="2">
        <v>8103405826</v>
      </c>
      <c r="F138" s="2" t="s">
        <v>13</v>
      </c>
      <c r="G138" s="2" t="s">
        <v>20</v>
      </c>
      <c r="H138" s="2" t="s">
        <v>15</v>
      </c>
      <c r="I138" s="2" t="s">
        <v>27</v>
      </c>
      <c r="J138" s="44" t="s">
        <v>22</v>
      </c>
    </row>
    <row r="139" spans="1:10" x14ac:dyDescent="0.3">
      <c r="A139" s="43" t="s">
        <v>164</v>
      </c>
      <c r="B139" s="2" t="s">
        <v>11</v>
      </c>
      <c r="C139" s="2" t="s">
        <v>12</v>
      </c>
      <c r="D139" s="2">
        <v>3</v>
      </c>
      <c r="E139" s="2">
        <v>6960751126</v>
      </c>
      <c r="F139" s="2" t="s">
        <v>13</v>
      </c>
      <c r="G139" s="2" t="s">
        <v>14</v>
      </c>
      <c r="H139" s="2" t="s">
        <v>21</v>
      </c>
      <c r="I139" s="2" t="s">
        <v>29</v>
      </c>
      <c r="J139" s="44" t="s">
        <v>17</v>
      </c>
    </row>
    <row r="140" spans="1:10" x14ac:dyDescent="0.3">
      <c r="A140" s="43" t="s">
        <v>165</v>
      </c>
      <c r="B140" s="2" t="s">
        <v>32</v>
      </c>
      <c r="C140" s="2" t="s">
        <v>26</v>
      </c>
      <c r="D140" s="2">
        <v>7</v>
      </c>
      <c r="E140" s="2">
        <v>7907620877</v>
      </c>
      <c r="F140" s="2" t="s">
        <v>19</v>
      </c>
      <c r="G140" s="2" t="s">
        <v>20</v>
      </c>
      <c r="H140" s="2" t="s">
        <v>15</v>
      </c>
      <c r="I140" s="2" t="s">
        <v>41</v>
      </c>
      <c r="J140" s="44" t="s">
        <v>22</v>
      </c>
    </row>
    <row r="141" spans="1:10" x14ac:dyDescent="0.3">
      <c r="A141" s="43" t="s">
        <v>166</v>
      </c>
      <c r="B141" s="2" t="s">
        <v>35</v>
      </c>
      <c r="C141" s="2" t="s">
        <v>36</v>
      </c>
      <c r="D141" s="2">
        <v>1</v>
      </c>
      <c r="E141" s="2">
        <v>9565776106</v>
      </c>
      <c r="F141" s="2" t="s">
        <v>19</v>
      </c>
      <c r="G141" s="2" t="s">
        <v>20</v>
      </c>
      <c r="H141" s="2" t="s">
        <v>15</v>
      </c>
      <c r="I141" s="2" t="s">
        <v>27</v>
      </c>
      <c r="J141" s="44" t="s">
        <v>17</v>
      </c>
    </row>
    <row r="142" spans="1:10" x14ac:dyDescent="0.3">
      <c r="A142" s="43" t="s">
        <v>167</v>
      </c>
      <c r="B142" s="2" t="s">
        <v>11</v>
      </c>
      <c r="C142" s="2" t="s">
        <v>36</v>
      </c>
      <c r="D142" s="2">
        <v>3</v>
      </c>
      <c r="E142" s="2">
        <v>8764974317</v>
      </c>
      <c r="F142" s="2" t="s">
        <v>19</v>
      </c>
      <c r="G142" s="2" t="s">
        <v>20</v>
      </c>
      <c r="H142" s="2" t="s">
        <v>21</v>
      </c>
      <c r="I142" s="2" t="s">
        <v>27</v>
      </c>
      <c r="J142" s="44" t="s">
        <v>22</v>
      </c>
    </row>
    <row r="143" spans="1:10" x14ac:dyDescent="0.3">
      <c r="A143" s="43" t="s">
        <v>168</v>
      </c>
      <c r="B143" s="2" t="s">
        <v>11</v>
      </c>
      <c r="C143" s="2" t="s">
        <v>36</v>
      </c>
      <c r="D143" s="2">
        <v>3</v>
      </c>
      <c r="E143" s="2">
        <v>8614255190</v>
      </c>
      <c r="F143" s="2" t="s">
        <v>13</v>
      </c>
      <c r="G143" s="2" t="s">
        <v>20</v>
      </c>
      <c r="H143" s="2" t="s">
        <v>15</v>
      </c>
      <c r="I143" s="2" t="s">
        <v>41</v>
      </c>
      <c r="J143" s="44" t="s">
        <v>17</v>
      </c>
    </row>
    <row r="144" spans="1:10" x14ac:dyDescent="0.3">
      <c r="A144" s="43" t="s">
        <v>169</v>
      </c>
      <c r="B144" s="2" t="s">
        <v>11</v>
      </c>
      <c r="C144" s="2" t="s">
        <v>33</v>
      </c>
      <c r="D144" s="2">
        <v>3</v>
      </c>
      <c r="E144" s="2">
        <v>7075735790</v>
      </c>
      <c r="F144" s="2" t="s">
        <v>13</v>
      </c>
      <c r="G144" s="2" t="s">
        <v>20</v>
      </c>
      <c r="H144" s="2" t="s">
        <v>21</v>
      </c>
      <c r="I144" s="2" t="s">
        <v>27</v>
      </c>
      <c r="J144" s="44" t="s">
        <v>23</v>
      </c>
    </row>
    <row r="145" spans="1:10" x14ac:dyDescent="0.3">
      <c r="A145" s="43" t="s">
        <v>170</v>
      </c>
      <c r="B145" s="2" t="s">
        <v>35</v>
      </c>
      <c r="C145" s="2" t="s">
        <v>12</v>
      </c>
      <c r="D145" s="2">
        <v>1</v>
      </c>
      <c r="E145" s="2">
        <v>6841136105</v>
      </c>
      <c r="F145" s="2" t="s">
        <v>13</v>
      </c>
      <c r="G145" s="2" t="s">
        <v>20</v>
      </c>
      <c r="H145" s="2" t="s">
        <v>15</v>
      </c>
      <c r="I145" s="2" t="s">
        <v>22</v>
      </c>
      <c r="J145" s="44" t="s">
        <v>17</v>
      </c>
    </row>
    <row r="146" spans="1:10" x14ac:dyDescent="0.3">
      <c r="A146" s="43" t="s">
        <v>171</v>
      </c>
      <c r="B146" s="2" t="s">
        <v>25</v>
      </c>
      <c r="C146" s="2" t="s">
        <v>12</v>
      </c>
      <c r="D146" s="2">
        <v>5</v>
      </c>
      <c r="E146" s="2">
        <v>9879224090</v>
      </c>
      <c r="F146" s="2" t="s">
        <v>13</v>
      </c>
      <c r="G146" s="2" t="s">
        <v>14</v>
      </c>
      <c r="H146" s="2" t="s">
        <v>15</v>
      </c>
      <c r="I146" s="2" t="s">
        <v>41</v>
      </c>
      <c r="J146" s="44" t="s">
        <v>22</v>
      </c>
    </row>
    <row r="147" spans="1:10" x14ac:dyDescent="0.3">
      <c r="A147" s="43" t="s">
        <v>172</v>
      </c>
      <c r="B147" s="2" t="s">
        <v>32</v>
      </c>
      <c r="C147" s="2" t="s">
        <v>43</v>
      </c>
      <c r="D147" s="2">
        <v>7</v>
      </c>
      <c r="E147" s="2">
        <v>7871019475</v>
      </c>
      <c r="F147" s="2" t="s">
        <v>19</v>
      </c>
      <c r="G147" s="2" t="s">
        <v>20</v>
      </c>
      <c r="H147" s="2" t="s">
        <v>15</v>
      </c>
      <c r="I147" s="2" t="s">
        <v>29</v>
      </c>
      <c r="J147" s="44" t="s">
        <v>22</v>
      </c>
    </row>
    <row r="148" spans="1:10" x14ac:dyDescent="0.3">
      <c r="A148" s="43" t="s">
        <v>173</v>
      </c>
      <c r="B148" s="2" t="s">
        <v>25</v>
      </c>
      <c r="C148" s="2" t="s">
        <v>12</v>
      </c>
      <c r="D148" s="2">
        <v>5</v>
      </c>
      <c r="E148" s="2">
        <v>9668771037</v>
      </c>
      <c r="F148" s="2" t="s">
        <v>13</v>
      </c>
      <c r="G148" s="2" t="s">
        <v>14</v>
      </c>
      <c r="H148" s="2" t="s">
        <v>21</v>
      </c>
      <c r="I148" s="2" t="s">
        <v>41</v>
      </c>
      <c r="J148" s="44" t="s">
        <v>17</v>
      </c>
    </row>
    <row r="149" spans="1:10" x14ac:dyDescent="0.3">
      <c r="A149" s="43" t="s">
        <v>174</v>
      </c>
      <c r="B149" s="2" t="s">
        <v>25</v>
      </c>
      <c r="C149" s="2" t="s">
        <v>12</v>
      </c>
      <c r="D149" s="2">
        <v>5</v>
      </c>
      <c r="E149" s="2">
        <v>7203514151</v>
      </c>
      <c r="F149" s="2" t="s">
        <v>13</v>
      </c>
      <c r="G149" s="2" t="s">
        <v>20</v>
      </c>
      <c r="H149" s="2" t="s">
        <v>15</v>
      </c>
      <c r="I149" s="2" t="s">
        <v>41</v>
      </c>
      <c r="J149" s="44" t="s">
        <v>22</v>
      </c>
    </row>
    <row r="150" spans="1:10" x14ac:dyDescent="0.3">
      <c r="A150" s="43" t="s">
        <v>175</v>
      </c>
      <c r="B150" s="2" t="s">
        <v>11</v>
      </c>
      <c r="C150" s="2" t="s">
        <v>12</v>
      </c>
      <c r="D150" s="2">
        <v>3</v>
      </c>
      <c r="E150" s="2">
        <v>9164811063</v>
      </c>
      <c r="F150" s="2" t="s">
        <v>19</v>
      </c>
      <c r="G150" s="2" t="s">
        <v>20</v>
      </c>
      <c r="H150" s="2" t="s">
        <v>15</v>
      </c>
      <c r="I150" s="2" t="s">
        <v>22</v>
      </c>
      <c r="J150" s="44" t="s">
        <v>22</v>
      </c>
    </row>
    <row r="151" spans="1:10" x14ac:dyDescent="0.3">
      <c r="A151" s="43" t="s">
        <v>176</v>
      </c>
      <c r="B151" s="2" t="s">
        <v>32</v>
      </c>
      <c r="C151" s="2" t="s">
        <v>36</v>
      </c>
      <c r="D151" s="2">
        <v>7</v>
      </c>
      <c r="E151" s="2">
        <v>8671471316</v>
      </c>
      <c r="F151" s="2" t="s">
        <v>13</v>
      </c>
      <c r="G151" s="2" t="s">
        <v>20</v>
      </c>
      <c r="H151" s="2" t="s">
        <v>15</v>
      </c>
      <c r="I151" s="2" t="s">
        <v>22</v>
      </c>
      <c r="J151" s="44" t="s">
        <v>22</v>
      </c>
    </row>
    <row r="152" spans="1:10" x14ac:dyDescent="0.3">
      <c r="A152" s="43" t="s">
        <v>177</v>
      </c>
      <c r="B152" s="2" t="s">
        <v>11</v>
      </c>
      <c r="C152" s="2" t="s">
        <v>26</v>
      </c>
      <c r="D152" s="2">
        <v>3</v>
      </c>
      <c r="E152" s="2">
        <v>7270688568</v>
      </c>
      <c r="F152" s="2" t="s">
        <v>13</v>
      </c>
      <c r="G152" s="2" t="s">
        <v>14</v>
      </c>
      <c r="H152" s="2" t="s">
        <v>21</v>
      </c>
      <c r="I152" s="2" t="s">
        <v>16</v>
      </c>
      <c r="J152" s="44" t="s">
        <v>22</v>
      </c>
    </row>
    <row r="153" spans="1:10" x14ac:dyDescent="0.3">
      <c r="A153" s="43" t="s">
        <v>178</v>
      </c>
      <c r="B153" s="2" t="s">
        <v>35</v>
      </c>
      <c r="C153" s="2" t="s">
        <v>36</v>
      </c>
      <c r="D153" s="2">
        <v>1</v>
      </c>
      <c r="E153" s="2">
        <v>7068670117</v>
      </c>
      <c r="F153" s="2" t="s">
        <v>13</v>
      </c>
      <c r="G153" s="2" t="s">
        <v>20</v>
      </c>
      <c r="H153" s="2" t="s">
        <v>15</v>
      </c>
      <c r="I153" s="2" t="s">
        <v>22</v>
      </c>
      <c r="J153" s="44" t="s">
        <v>17</v>
      </c>
    </row>
    <row r="154" spans="1:10" x14ac:dyDescent="0.3">
      <c r="A154" s="43" t="s">
        <v>179</v>
      </c>
      <c r="B154" s="2" t="s">
        <v>11</v>
      </c>
      <c r="C154" s="2" t="s">
        <v>43</v>
      </c>
      <c r="D154" s="2">
        <v>3</v>
      </c>
      <c r="E154" s="2">
        <v>9700700797</v>
      </c>
      <c r="F154" s="2" t="s">
        <v>13</v>
      </c>
      <c r="G154" s="2" t="s">
        <v>14</v>
      </c>
      <c r="H154" s="2" t="s">
        <v>21</v>
      </c>
      <c r="I154" s="2" t="s">
        <v>41</v>
      </c>
      <c r="J154" s="44" t="s">
        <v>17</v>
      </c>
    </row>
    <row r="155" spans="1:10" x14ac:dyDescent="0.3">
      <c r="A155" s="43" t="s">
        <v>180</v>
      </c>
      <c r="B155" s="2" t="s">
        <v>35</v>
      </c>
      <c r="C155" s="2" t="s">
        <v>12</v>
      </c>
      <c r="D155" s="2">
        <v>1</v>
      </c>
      <c r="E155" s="2">
        <v>7314717194</v>
      </c>
      <c r="F155" s="2" t="s">
        <v>19</v>
      </c>
      <c r="G155" s="2" t="s">
        <v>20</v>
      </c>
      <c r="H155" s="2" t="s">
        <v>21</v>
      </c>
      <c r="I155" s="2" t="s">
        <v>29</v>
      </c>
      <c r="J155" s="44" t="s">
        <v>22</v>
      </c>
    </row>
    <row r="156" spans="1:10" x14ac:dyDescent="0.3">
      <c r="A156" s="43" t="s">
        <v>181</v>
      </c>
      <c r="B156" s="2" t="s">
        <v>11</v>
      </c>
      <c r="C156" s="2" t="s">
        <v>26</v>
      </c>
      <c r="D156" s="2">
        <v>3</v>
      </c>
      <c r="E156" s="2">
        <v>7334286231</v>
      </c>
      <c r="F156" s="2" t="s">
        <v>19</v>
      </c>
      <c r="G156" s="2" t="s">
        <v>20</v>
      </c>
      <c r="H156" s="2" t="s">
        <v>15</v>
      </c>
      <c r="I156" s="2" t="s">
        <v>22</v>
      </c>
      <c r="J156" s="44" t="s">
        <v>22</v>
      </c>
    </row>
    <row r="157" spans="1:10" x14ac:dyDescent="0.3">
      <c r="A157" s="43" t="s">
        <v>182</v>
      </c>
      <c r="B157" s="2" t="s">
        <v>11</v>
      </c>
      <c r="C157" s="2" t="s">
        <v>26</v>
      </c>
      <c r="D157" s="2">
        <v>3</v>
      </c>
      <c r="E157" s="2">
        <v>6591128066</v>
      </c>
      <c r="F157" s="2" t="s">
        <v>13</v>
      </c>
      <c r="G157" s="2" t="s">
        <v>20</v>
      </c>
      <c r="H157" s="2" t="s">
        <v>15</v>
      </c>
      <c r="I157" s="2" t="s">
        <v>27</v>
      </c>
      <c r="J157" s="44" t="s">
        <v>22</v>
      </c>
    </row>
    <row r="158" spans="1:10" x14ac:dyDescent="0.3">
      <c r="A158" s="43" t="s">
        <v>183</v>
      </c>
      <c r="B158" s="2" t="s">
        <v>35</v>
      </c>
      <c r="C158" s="2" t="s">
        <v>43</v>
      </c>
      <c r="D158" s="2">
        <v>1</v>
      </c>
      <c r="E158" s="2">
        <v>6063070983</v>
      </c>
      <c r="F158" s="2" t="s">
        <v>19</v>
      </c>
      <c r="G158" s="2" t="s">
        <v>14</v>
      </c>
      <c r="H158" s="2" t="s">
        <v>15</v>
      </c>
      <c r="I158" s="2" t="s">
        <v>27</v>
      </c>
      <c r="J158" s="44" t="s">
        <v>22</v>
      </c>
    </row>
    <row r="159" spans="1:10" x14ac:dyDescent="0.3">
      <c r="A159" s="43" t="s">
        <v>184</v>
      </c>
      <c r="B159" s="2" t="s">
        <v>11</v>
      </c>
      <c r="C159" s="2" t="s">
        <v>36</v>
      </c>
      <c r="D159" s="2">
        <v>3</v>
      </c>
      <c r="E159" s="2">
        <v>9407431266</v>
      </c>
      <c r="F159" s="2" t="s">
        <v>19</v>
      </c>
      <c r="G159" s="2" t="s">
        <v>20</v>
      </c>
      <c r="H159" s="2" t="s">
        <v>15</v>
      </c>
      <c r="I159" s="2" t="s">
        <v>29</v>
      </c>
      <c r="J159" s="44" t="s">
        <v>23</v>
      </c>
    </row>
    <row r="160" spans="1:10" x14ac:dyDescent="0.3">
      <c r="A160" s="43" t="s">
        <v>185</v>
      </c>
      <c r="B160" s="2" t="s">
        <v>25</v>
      </c>
      <c r="C160" s="2" t="s">
        <v>36</v>
      </c>
      <c r="D160" s="2">
        <v>5</v>
      </c>
      <c r="E160" s="2">
        <v>8273697068</v>
      </c>
      <c r="F160" s="2" t="s">
        <v>13</v>
      </c>
      <c r="G160" s="2" t="s">
        <v>14</v>
      </c>
      <c r="H160" s="2" t="s">
        <v>21</v>
      </c>
      <c r="I160" s="2" t="s">
        <v>29</v>
      </c>
      <c r="J160" s="44" t="s">
        <v>23</v>
      </c>
    </row>
    <row r="161" spans="1:10" x14ac:dyDescent="0.3">
      <c r="A161" s="43" t="s">
        <v>186</v>
      </c>
      <c r="B161" s="2" t="s">
        <v>11</v>
      </c>
      <c r="C161" s="2" t="s">
        <v>36</v>
      </c>
      <c r="D161" s="2">
        <v>3</v>
      </c>
      <c r="E161" s="2">
        <v>9879545883</v>
      </c>
      <c r="F161" s="2" t="s">
        <v>19</v>
      </c>
      <c r="G161" s="2" t="s">
        <v>20</v>
      </c>
      <c r="H161" s="2" t="s">
        <v>21</v>
      </c>
      <c r="I161" s="2" t="s">
        <v>22</v>
      </c>
      <c r="J161" s="44" t="s">
        <v>17</v>
      </c>
    </row>
    <row r="162" spans="1:10" x14ac:dyDescent="0.3">
      <c r="A162" s="43" t="s">
        <v>187</v>
      </c>
      <c r="B162" s="2" t="s">
        <v>35</v>
      </c>
      <c r="C162" s="2" t="s">
        <v>33</v>
      </c>
      <c r="D162" s="2">
        <v>1</v>
      </c>
      <c r="E162" s="2">
        <v>6954326748</v>
      </c>
      <c r="F162" s="2" t="s">
        <v>19</v>
      </c>
      <c r="G162" s="2" t="s">
        <v>20</v>
      </c>
      <c r="H162" s="2" t="s">
        <v>15</v>
      </c>
      <c r="I162" s="2" t="s">
        <v>29</v>
      </c>
      <c r="J162" s="44" t="s">
        <v>23</v>
      </c>
    </row>
    <row r="163" spans="1:10" x14ac:dyDescent="0.3">
      <c r="A163" s="43" t="s">
        <v>188</v>
      </c>
      <c r="B163" s="2" t="s">
        <v>25</v>
      </c>
      <c r="C163" s="2" t="s">
        <v>36</v>
      </c>
      <c r="D163" s="2">
        <v>5</v>
      </c>
      <c r="E163" s="2">
        <v>8606376171</v>
      </c>
      <c r="F163" s="2" t="s">
        <v>19</v>
      </c>
      <c r="G163" s="2" t="s">
        <v>20</v>
      </c>
      <c r="H163" s="2" t="s">
        <v>15</v>
      </c>
      <c r="I163" s="2" t="s">
        <v>29</v>
      </c>
      <c r="J163" s="44" t="s">
        <v>23</v>
      </c>
    </row>
    <row r="164" spans="1:10" x14ac:dyDescent="0.3">
      <c r="A164" s="43" t="s">
        <v>189</v>
      </c>
      <c r="B164" s="2" t="s">
        <v>11</v>
      </c>
      <c r="C164" s="2" t="s">
        <v>33</v>
      </c>
      <c r="D164" s="2">
        <v>3</v>
      </c>
      <c r="E164" s="2">
        <v>6658324986</v>
      </c>
      <c r="F164" s="2" t="s">
        <v>13</v>
      </c>
      <c r="G164" s="2" t="s">
        <v>20</v>
      </c>
      <c r="H164" s="2" t="s">
        <v>21</v>
      </c>
      <c r="I164" s="2" t="s">
        <v>22</v>
      </c>
      <c r="J164" s="44" t="s">
        <v>17</v>
      </c>
    </row>
    <row r="165" spans="1:10" x14ac:dyDescent="0.3">
      <c r="A165" s="43" t="s">
        <v>190</v>
      </c>
      <c r="B165" s="2" t="s">
        <v>11</v>
      </c>
      <c r="C165" s="2" t="s">
        <v>12</v>
      </c>
      <c r="D165" s="2">
        <v>3</v>
      </c>
      <c r="E165" s="2">
        <v>6975936691</v>
      </c>
      <c r="F165" s="2" t="s">
        <v>13</v>
      </c>
      <c r="G165" s="2" t="s">
        <v>14</v>
      </c>
      <c r="H165" s="2" t="s">
        <v>15</v>
      </c>
      <c r="I165" s="2" t="s">
        <v>29</v>
      </c>
      <c r="J165" s="44" t="s">
        <v>17</v>
      </c>
    </row>
    <row r="166" spans="1:10" x14ac:dyDescent="0.3">
      <c r="A166" s="43" t="s">
        <v>191</v>
      </c>
      <c r="B166" s="2" t="s">
        <v>25</v>
      </c>
      <c r="C166" s="2" t="s">
        <v>43</v>
      </c>
      <c r="D166" s="2">
        <v>5</v>
      </c>
      <c r="E166" s="2">
        <v>7292782057</v>
      </c>
      <c r="F166" s="2" t="s">
        <v>19</v>
      </c>
      <c r="G166" s="2" t="s">
        <v>14</v>
      </c>
      <c r="H166" s="2" t="s">
        <v>21</v>
      </c>
      <c r="I166" s="2" t="s">
        <v>27</v>
      </c>
      <c r="J166" s="44" t="s">
        <v>23</v>
      </c>
    </row>
    <row r="167" spans="1:10" x14ac:dyDescent="0.3">
      <c r="A167" s="43" t="s">
        <v>192</v>
      </c>
      <c r="B167" s="2" t="s">
        <v>11</v>
      </c>
      <c r="C167" s="2" t="s">
        <v>12</v>
      </c>
      <c r="D167" s="2">
        <v>3</v>
      </c>
      <c r="E167" s="2">
        <v>9639956501</v>
      </c>
      <c r="F167" s="2" t="s">
        <v>19</v>
      </c>
      <c r="G167" s="2" t="s">
        <v>20</v>
      </c>
      <c r="H167" s="2" t="s">
        <v>15</v>
      </c>
      <c r="I167" s="2" t="s">
        <v>22</v>
      </c>
      <c r="J167" s="44" t="s">
        <v>23</v>
      </c>
    </row>
    <row r="168" spans="1:10" x14ac:dyDescent="0.3">
      <c r="A168" s="43" t="s">
        <v>193</v>
      </c>
      <c r="B168" s="2" t="s">
        <v>35</v>
      </c>
      <c r="C168" s="2" t="s">
        <v>33</v>
      </c>
      <c r="D168" s="2">
        <v>1</v>
      </c>
      <c r="E168" s="2">
        <v>7892758248</v>
      </c>
      <c r="F168" s="2" t="s">
        <v>13</v>
      </c>
      <c r="G168" s="2" t="s">
        <v>14</v>
      </c>
      <c r="H168" s="2" t="s">
        <v>15</v>
      </c>
      <c r="I168" s="2" t="s">
        <v>16</v>
      </c>
      <c r="J168" s="44" t="s">
        <v>22</v>
      </c>
    </row>
    <row r="169" spans="1:10" x14ac:dyDescent="0.3">
      <c r="A169" s="43" t="s">
        <v>194</v>
      </c>
      <c r="B169" s="2" t="s">
        <v>35</v>
      </c>
      <c r="C169" s="2" t="s">
        <v>36</v>
      </c>
      <c r="D169" s="2">
        <v>1</v>
      </c>
      <c r="E169" s="2">
        <v>9161364260</v>
      </c>
      <c r="F169" s="2" t="s">
        <v>13</v>
      </c>
      <c r="G169" s="2" t="s">
        <v>14</v>
      </c>
      <c r="H169" s="2" t="s">
        <v>21</v>
      </c>
      <c r="I169" s="2" t="s">
        <v>22</v>
      </c>
      <c r="J169" s="44" t="s">
        <v>22</v>
      </c>
    </row>
    <row r="170" spans="1:10" x14ac:dyDescent="0.3">
      <c r="A170" s="43" t="s">
        <v>195</v>
      </c>
      <c r="B170" s="2" t="s">
        <v>25</v>
      </c>
      <c r="C170" s="2" t="s">
        <v>26</v>
      </c>
      <c r="D170" s="2">
        <v>5</v>
      </c>
      <c r="E170" s="2">
        <v>8247327953</v>
      </c>
      <c r="F170" s="2" t="s">
        <v>13</v>
      </c>
      <c r="G170" s="2" t="s">
        <v>20</v>
      </c>
      <c r="H170" s="2" t="s">
        <v>15</v>
      </c>
      <c r="I170" s="2" t="s">
        <v>22</v>
      </c>
      <c r="J170" s="44" t="s">
        <v>17</v>
      </c>
    </row>
    <row r="171" spans="1:10" x14ac:dyDescent="0.3">
      <c r="A171" s="43" t="s">
        <v>196</v>
      </c>
      <c r="B171" s="2" t="s">
        <v>11</v>
      </c>
      <c r="C171" s="2" t="s">
        <v>43</v>
      </c>
      <c r="D171" s="2">
        <v>3</v>
      </c>
      <c r="E171" s="2">
        <v>6794903931</v>
      </c>
      <c r="F171" s="2" t="s">
        <v>19</v>
      </c>
      <c r="G171" s="2" t="s">
        <v>14</v>
      </c>
      <c r="H171" s="2" t="s">
        <v>15</v>
      </c>
      <c r="I171" s="2" t="s">
        <v>22</v>
      </c>
      <c r="J171" s="44" t="s">
        <v>22</v>
      </c>
    </row>
    <row r="172" spans="1:10" x14ac:dyDescent="0.3">
      <c r="A172" s="43" t="s">
        <v>197</v>
      </c>
      <c r="B172" s="2" t="s">
        <v>11</v>
      </c>
      <c r="C172" s="2" t="s">
        <v>33</v>
      </c>
      <c r="D172" s="2">
        <v>3</v>
      </c>
      <c r="E172" s="2">
        <v>9822401303</v>
      </c>
      <c r="F172" s="2" t="s">
        <v>13</v>
      </c>
      <c r="G172" s="2" t="s">
        <v>14</v>
      </c>
      <c r="H172" s="2" t="s">
        <v>21</v>
      </c>
      <c r="I172" s="2" t="s">
        <v>37</v>
      </c>
      <c r="J172" s="44" t="s">
        <v>23</v>
      </c>
    </row>
    <row r="173" spans="1:10" x14ac:dyDescent="0.3">
      <c r="A173" s="43" t="s">
        <v>198</v>
      </c>
      <c r="B173" s="2" t="s">
        <v>11</v>
      </c>
      <c r="C173" s="2" t="s">
        <v>33</v>
      </c>
      <c r="D173" s="2">
        <v>3</v>
      </c>
      <c r="E173" s="2">
        <v>9508773883</v>
      </c>
      <c r="F173" s="2" t="s">
        <v>19</v>
      </c>
      <c r="G173" s="2" t="s">
        <v>20</v>
      </c>
      <c r="H173" s="2" t="s">
        <v>15</v>
      </c>
      <c r="I173" s="2" t="s">
        <v>27</v>
      </c>
      <c r="J173" s="44" t="s">
        <v>22</v>
      </c>
    </row>
    <row r="174" spans="1:10" x14ac:dyDescent="0.3">
      <c r="A174" s="43" t="s">
        <v>199</v>
      </c>
      <c r="B174" s="2" t="s">
        <v>32</v>
      </c>
      <c r="C174" s="2" t="s">
        <v>12</v>
      </c>
      <c r="D174" s="2">
        <v>7</v>
      </c>
      <c r="E174" s="2">
        <v>7683981022</v>
      </c>
      <c r="F174" s="2" t="s">
        <v>13</v>
      </c>
      <c r="G174" s="2" t="s">
        <v>20</v>
      </c>
      <c r="H174" s="2" t="s">
        <v>21</v>
      </c>
      <c r="I174" s="2" t="s">
        <v>37</v>
      </c>
      <c r="J174" s="44" t="s">
        <v>23</v>
      </c>
    </row>
    <row r="175" spans="1:10" x14ac:dyDescent="0.3">
      <c r="A175" s="43" t="s">
        <v>200</v>
      </c>
      <c r="B175" s="2" t="s">
        <v>11</v>
      </c>
      <c r="C175" s="2" t="s">
        <v>33</v>
      </c>
      <c r="D175" s="2">
        <v>3</v>
      </c>
      <c r="E175" s="2">
        <v>9998783356</v>
      </c>
      <c r="F175" s="2" t="s">
        <v>19</v>
      </c>
      <c r="G175" s="2" t="s">
        <v>14</v>
      </c>
      <c r="H175" s="2" t="s">
        <v>15</v>
      </c>
      <c r="I175" s="2" t="s">
        <v>22</v>
      </c>
      <c r="J175" s="44" t="s">
        <v>17</v>
      </c>
    </row>
    <row r="176" spans="1:10" x14ac:dyDescent="0.3">
      <c r="A176" s="43" t="s">
        <v>201</v>
      </c>
      <c r="B176" s="2" t="s">
        <v>35</v>
      </c>
      <c r="C176" s="2" t="s">
        <v>26</v>
      </c>
      <c r="D176" s="2">
        <v>1</v>
      </c>
      <c r="E176" s="2">
        <v>8162140057</v>
      </c>
      <c r="F176" s="2" t="s">
        <v>13</v>
      </c>
      <c r="G176" s="2" t="s">
        <v>20</v>
      </c>
      <c r="H176" s="2" t="s">
        <v>21</v>
      </c>
      <c r="I176" s="2" t="s">
        <v>22</v>
      </c>
      <c r="J176" s="44" t="s">
        <v>23</v>
      </c>
    </row>
    <row r="177" spans="1:10" x14ac:dyDescent="0.3">
      <c r="A177" s="43" t="s">
        <v>202</v>
      </c>
      <c r="B177" s="2" t="s">
        <v>32</v>
      </c>
      <c r="C177" s="2" t="s">
        <v>12</v>
      </c>
      <c r="D177" s="2">
        <v>7</v>
      </c>
      <c r="E177" s="2">
        <v>8420516381</v>
      </c>
      <c r="F177" s="2" t="s">
        <v>19</v>
      </c>
      <c r="G177" s="2" t="s">
        <v>20</v>
      </c>
      <c r="H177" s="2" t="s">
        <v>21</v>
      </c>
      <c r="I177" s="2" t="s">
        <v>41</v>
      </c>
      <c r="J177" s="44" t="s">
        <v>23</v>
      </c>
    </row>
    <row r="178" spans="1:10" x14ac:dyDescent="0.3">
      <c r="A178" s="43" t="s">
        <v>203</v>
      </c>
      <c r="B178" s="2" t="s">
        <v>35</v>
      </c>
      <c r="C178" s="2" t="s">
        <v>12</v>
      </c>
      <c r="D178" s="2">
        <v>1</v>
      </c>
      <c r="E178" s="2">
        <v>8396038611</v>
      </c>
      <c r="F178" s="2" t="s">
        <v>19</v>
      </c>
      <c r="G178" s="2" t="s">
        <v>14</v>
      </c>
      <c r="H178" s="2" t="s">
        <v>21</v>
      </c>
      <c r="I178" s="2" t="s">
        <v>22</v>
      </c>
      <c r="J178" s="44" t="s">
        <v>23</v>
      </c>
    </row>
    <row r="179" spans="1:10" x14ac:dyDescent="0.3">
      <c r="A179" s="43" t="s">
        <v>204</v>
      </c>
      <c r="B179" s="2" t="s">
        <v>35</v>
      </c>
      <c r="C179" s="2" t="s">
        <v>33</v>
      </c>
      <c r="D179" s="2">
        <v>1</v>
      </c>
      <c r="E179" s="2">
        <v>7418073673</v>
      </c>
      <c r="F179" s="2" t="s">
        <v>13</v>
      </c>
      <c r="G179" s="2" t="s">
        <v>20</v>
      </c>
      <c r="H179" s="2" t="s">
        <v>15</v>
      </c>
      <c r="I179" s="2" t="s">
        <v>37</v>
      </c>
      <c r="J179" s="44" t="s">
        <v>17</v>
      </c>
    </row>
    <row r="180" spans="1:10" x14ac:dyDescent="0.3">
      <c r="A180" s="43" t="s">
        <v>205</v>
      </c>
      <c r="B180" s="2" t="s">
        <v>11</v>
      </c>
      <c r="C180" s="2" t="s">
        <v>12</v>
      </c>
      <c r="D180" s="2">
        <v>3</v>
      </c>
      <c r="E180" s="2">
        <v>8334003743</v>
      </c>
      <c r="F180" s="2" t="s">
        <v>19</v>
      </c>
      <c r="G180" s="2" t="s">
        <v>20</v>
      </c>
      <c r="H180" s="2" t="s">
        <v>21</v>
      </c>
      <c r="I180" s="2" t="s">
        <v>22</v>
      </c>
      <c r="J180" s="44" t="s">
        <v>23</v>
      </c>
    </row>
    <row r="181" spans="1:10" x14ac:dyDescent="0.3">
      <c r="A181" s="43" t="s">
        <v>206</v>
      </c>
      <c r="B181" s="2" t="s">
        <v>25</v>
      </c>
      <c r="C181" s="2" t="s">
        <v>26</v>
      </c>
      <c r="D181" s="2">
        <v>5</v>
      </c>
      <c r="E181" s="2">
        <v>6549299163</v>
      </c>
      <c r="F181" s="2" t="s">
        <v>19</v>
      </c>
      <c r="G181" s="2" t="s">
        <v>20</v>
      </c>
      <c r="H181" s="2" t="s">
        <v>21</v>
      </c>
      <c r="I181" s="2" t="s">
        <v>16</v>
      </c>
      <c r="J181" s="44" t="s">
        <v>17</v>
      </c>
    </row>
    <row r="182" spans="1:10" x14ac:dyDescent="0.3">
      <c r="A182" s="43" t="s">
        <v>207</v>
      </c>
      <c r="B182" s="2" t="s">
        <v>25</v>
      </c>
      <c r="C182" s="2" t="s">
        <v>33</v>
      </c>
      <c r="D182" s="2">
        <v>5</v>
      </c>
      <c r="E182" s="2">
        <v>9020157913</v>
      </c>
      <c r="F182" s="2" t="s">
        <v>13</v>
      </c>
      <c r="G182" s="2" t="s">
        <v>20</v>
      </c>
      <c r="H182" s="2" t="s">
        <v>21</v>
      </c>
      <c r="I182" s="2" t="s">
        <v>41</v>
      </c>
      <c r="J182" s="44" t="s">
        <v>23</v>
      </c>
    </row>
    <row r="183" spans="1:10" x14ac:dyDescent="0.3">
      <c r="A183" s="43" t="s">
        <v>208</v>
      </c>
      <c r="B183" s="2" t="s">
        <v>11</v>
      </c>
      <c r="C183" s="2" t="s">
        <v>43</v>
      </c>
      <c r="D183" s="2">
        <v>3</v>
      </c>
      <c r="E183" s="2">
        <v>9761958156</v>
      </c>
      <c r="F183" s="2" t="s">
        <v>13</v>
      </c>
      <c r="G183" s="2" t="s">
        <v>14</v>
      </c>
      <c r="H183" s="2" t="s">
        <v>21</v>
      </c>
      <c r="I183" s="2" t="s">
        <v>22</v>
      </c>
      <c r="J183" s="44" t="s">
        <v>22</v>
      </c>
    </row>
    <row r="184" spans="1:10" x14ac:dyDescent="0.3">
      <c r="A184" s="43" t="s">
        <v>209</v>
      </c>
      <c r="B184" s="2" t="s">
        <v>25</v>
      </c>
      <c r="C184" s="2" t="s">
        <v>12</v>
      </c>
      <c r="D184" s="2">
        <v>5</v>
      </c>
      <c r="E184" s="2">
        <v>6350611883</v>
      </c>
      <c r="F184" s="2" t="s">
        <v>19</v>
      </c>
      <c r="G184" s="2" t="s">
        <v>20</v>
      </c>
      <c r="H184" s="2" t="s">
        <v>21</v>
      </c>
      <c r="I184" s="2" t="s">
        <v>37</v>
      </c>
      <c r="J184" s="44" t="s">
        <v>17</v>
      </c>
    </row>
    <row r="185" spans="1:10" x14ac:dyDescent="0.3">
      <c r="A185" s="43" t="s">
        <v>210</v>
      </c>
      <c r="B185" s="2" t="s">
        <v>25</v>
      </c>
      <c r="C185" s="2" t="s">
        <v>33</v>
      </c>
      <c r="D185" s="2">
        <v>5</v>
      </c>
      <c r="E185" s="2">
        <v>9644626288</v>
      </c>
      <c r="F185" s="2" t="s">
        <v>19</v>
      </c>
      <c r="G185" s="2" t="s">
        <v>14</v>
      </c>
      <c r="H185" s="2" t="s">
        <v>15</v>
      </c>
      <c r="I185" s="2" t="s">
        <v>22</v>
      </c>
      <c r="J185" s="44" t="s">
        <v>23</v>
      </c>
    </row>
    <row r="186" spans="1:10" x14ac:dyDescent="0.3">
      <c r="A186" s="43" t="s">
        <v>211</v>
      </c>
      <c r="B186" s="2" t="s">
        <v>32</v>
      </c>
      <c r="C186" s="2" t="s">
        <v>26</v>
      </c>
      <c r="D186" s="2">
        <v>7</v>
      </c>
      <c r="E186" s="2">
        <v>9648394647</v>
      </c>
      <c r="F186" s="2" t="s">
        <v>19</v>
      </c>
      <c r="G186" s="2" t="s">
        <v>20</v>
      </c>
      <c r="H186" s="2" t="s">
        <v>21</v>
      </c>
      <c r="I186" s="2" t="s">
        <v>22</v>
      </c>
      <c r="J186" s="44" t="s">
        <v>23</v>
      </c>
    </row>
    <row r="187" spans="1:10" x14ac:dyDescent="0.3">
      <c r="A187" s="43" t="s">
        <v>212</v>
      </c>
      <c r="B187" s="2" t="s">
        <v>32</v>
      </c>
      <c r="C187" s="2" t="s">
        <v>26</v>
      </c>
      <c r="D187" s="2">
        <v>7</v>
      </c>
      <c r="E187" s="2">
        <v>8823168499</v>
      </c>
      <c r="F187" s="2" t="s">
        <v>19</v>
      </c>
      <c r="G187" s="2" t="s">
        <v>20</v>
      </c>
      <c r="H187" s="2" t="s">
        <v>15</v>
      </c>
      <c r="I187" s="2" t="s">
        <v>22</v>
      </c>
      <c r="J187" s="44" t="s">
        <v>22</v>
      </c>
    </row>
    <row r="188" spans="1:10" x14ac:dyDescent="0.3">
      <c r="A188" s="43" t="s">
        <v>213</v>
      </c>
      <c r="B188" s="2" t="s">
        <v>32</v>
      </c>
      <c r="C188" s="2" t="s">
        <v>33</v>
      </c>
      <c r="D188" s="2">
        <v>7</v>
      </c>
      <c r="E188" s="2">
        <v>8258272626</v>
      </c>
      <c r="F188" s="2" t="s">
        <v>19</v>
      </c>
      <c r="G188" s="2" t="s">
        <v>20</v>
      </c>
      <c r="H188" s="2" t="s">
        <v>15</v>
      </c>
      <c r="I188" s="2" t="s">
        <v>22</v>
      </c>
      <c r="J188" s="44" t="s">
        <v>17</v>
      </c>
    </row>
    <row r="189" spans="1:10" x14ac:dyDescent="0.3">
      <c r="A189" s="43" t="s">
        <v>214</v>
      </c>
      <c r="B189" s="2" t="s">
        <v>25</v>
      </c>
      <c r="C189" s="2" t="s">
        <v>33</v>
      </c>
      <c r="D189" s="2">
        <v>5</v>
      </c>
      <c r="E189" s="2">
        <v>6705599047</v>
      </c>
      <c r="F189" s="2" t="s">
        <v>13</v>
      </c>
      <c r="G189" s="2" t="s">
        <v>20</v>
      </c>
      <c r="H189" s="2" t="s">
        <v>21</v>
      </c>
      <c r="I189" s="2" t="s">
        <v>22</v>
      </c>
      <c r="J189" s="44" t="s">
        <v>23</v>
      </c>
    </row>
    <row r="190" spans="1:10" x14ac:dyDescent="0.3">
      <c r="A190" s="43" t="s">
        <v>215</v>
      </c>
      <c r="B190" s="2" t="s">
        <v>11</v>
      </c>
      <c r="C190" s="2" t="s">
        <v>33</v>
      </c>
      <c r="D190" s="2">
        <v>3</v>
      </c>
      <c r="E190" s="2">
        <v>9897094064</v>
      </c>
      <c r="F190" s="2" t="s">
        <v>13</v>
      </c>
      <c r="G190" s="2" t="s">
        <v>14</v>
      </c>
      <c r="H190" s="2" t="s">
        <v>21</v>
      </c>
      <c r="I190" s="2" t="s">
        <v>29</v>
      </c>
      <c r="J190" s="44" t="s">
        <v>17</v>
      </c>
    </row>
    <row r="191" spans="1:10" x14ac:dyDescent="0.3">
      <c r="A191" s="43" t="s">
        <v>216</v>
      </c>
      <c r="B191" s="2" t="s">
        <v>25</v>
      </c>
      <c r="C191" s="2" t="s">
        <v>12</v>
      </c>
      <c r="D191" s="2">
        <v>5</v>
      </c>
      <c r="E191" s="2">
        <v>6525704052</v>
      </c>
      <c r="F191" s="2" t="s">
        <v>13</v>
      </c>
      <c r="G191" s="2" t="s">
        <v>20</v>
      </c>
      <c r="H191" s="2" t="s">
        <v>21</v>
      </c>
      <c r="I191" s="2" t="s">
        <v>22</v>
      </c>
      <c r="J191" s="44" t="s">
        <v>23</v>
      </c>
    </row>
    <row r="192" spans="1:10" x14ac:dyDescent="0.3">
      <c r="A192" s="43" t="s">
        <v>217</v>
      </c>
      <c r="B192" s="2" t="s">
        <v>25</v>
      </c>
      <c r="C192" s="2" t="s">
        <v>36</v>
      </c>
      <c r="D192" s="2">
        <v>5</v>
      </c>
      <c r="E192" s="2">
        <v>7825327920</v>
      </c>
      <c r="F192" s="2" t="s">
        <v>13</v>
      </c>
      <c r="G192" s="2" t="s">
        <v>20</v>
      </c>
      <c r="H192" s="2" t="s">
        <v>21</v>
      </c>
      <c r="I192" s="2" t="s">
        <v>22</v>
      </c>
      <c r="J192" s="44" t="s">
        <v>22</v>
      </c>
    </row>
    <row r="193" spans="1:10" x14ac:dyDescent="0.3">
      <c r="A193" s="43" t="s">
        <v>218</v>
      </c>
      <c r="B193" s="2" t="s">
        <v>11</v>
      </c>
      <c r="C193" s="2" t="s">
        <v>43</v>
      </c>
      <c r="D193" s="2">
        <v>3</v>
      </c>
      <c r="E193" s="2">
        <v>6041928240</v>
      </c>
      <c r="F193" s="2" t="s">
        <v>19</v>
      </c>
      <c r="G193" s="2" t="s">
        <v>20</v>
      </c>
      <c r="H193" s="2" t="s">
        <v>21</v>
      </c>
      <c r="I193" s="2" t="s">
        <v>22</v>
      </c>
      <c r="J193" s="44" t="s">
        <v>23</v>
      </c>
    </row>
    <row r="194" spans="1:10" x14ac:dyDescent="0.3">
      <c r="A194" s="43" t="s">
        <v>219</v>
      </c>
      <c r="B194" s="2" t="s">
        <v>11</v>
      </c>
      <c r="C194" s="2" t="s">
        <v>33</v>
      </c>
      <c r="D194" s="2">
        <v>3</v>
      </c>
      <c r="E194" s="2">
        <v>9957523367</v>
      </c>
      <c r="F194" s="2" t="s">
        <v>13</v>
      </c>
      <c r="G194" s="2" t="s">
        <v>20</v>
      </c>
      <c r="H194" s="2" t="s">
        <v>21</v>
      </c>
      <c r="I194" s="2" t="s">
        <v>22</v>
      </c>
      <c r="J194" s="44" t="s">
        <v>17</v>
      </c>
    </row>
    <row r="195" spans="1:10" x14ac:dyDescent="0.3">
      <c r="A195" s="43" t="s">
        <v>220</v>
      </c>
      <c r="B195" s="2" t="s">
        <v>25</v>
      </c>
      <c r="C195" s="2" t="s">
        <v>12</v>
      </c>
      <c r="D195" s="2">
        <v>5</v>
      </c>
      <c r="E195" s="2">
        <v>7438690398</v>
      </c>
      <c r="F195" s="2" t="s">
        <v>13</v>
      </c>
      <c r="G195" s="2" t="s">
        <v>20</v>
      </c>
      <c r="H195" s="2" t="s">
        <v>15</v>
      </c>
      <c r="I195" s="2" t="s">
        <v>22</v>
      </c>
      <c r="J195" s="44" t="s">
        <v>17</v>
      </c>
    </row>
    <row r="196" spans="1:10" x14ac:dyDescent="0.3">
      <c r="A196" s="43" t="s">
        <v>221</v>
      </c>
      <c r="B196" s="2" t="s">
        <v>32</v>
      </c>
      <c r="C196" s="2" t="s">
        <v>43</v>
      </c>
      <c r="D196" s="2">
        <v>7</v>
      </c>
      <c r="E196" s="2">
        <v>6167025734</v>
      </c>
      <c r="F196" s="2" t="s">
        <v>19</v>
      </c>
      <c r="G196" s="2" t="s">
        <v>20</v>
      </c>
      <c r="H196" s="2" t="s">
        <v>21</v>
      </c>
      <c r="I196" s="2" t="s">
        <v>29</v>
      </c>
      <c r="J196" s="44" t="s">
        <v>22</v>
      </c>
    </row>
    <row r="197" spans="1:10" x14ac:dyDescent="0.3">
      <c r="A197" s="43" t="s">
        <v>222</v>
      </c>
      <c r="B197" s="2" t="s">
        <v>11</v>
      </c>
      <c r="C197" s="2" t="s">
        <v>43</v>
      </c>
      <c r="D197" s="2">
        <v>3</v>
      </c>
      <c r="E197" s="2">
        <v>6262727617</v>
      </c>
      <c r="F197" s="2" t="s">
        <v>19</v>
      </c>
      <c r="G197" s="2" t="s">
        <v>20</v>
      </c>
      <c r="H197" s="2" t="s">
        <v>21</v>
      </c>
      <c r="I197" s="2" t="s">
        <v>22</v>
      </c>
      <c r="J197" s="44" t="s">
        <v>23</v>
      </c>
    </row>
    <row r="198" spans="1:10" x14ac:dyDescent="0.3">
      <c r="A198" s="43" t="s">
        <v>223</v>
      </c>
      <c r="B198" s="2" t="s">
        <v>25</v>
      </c>
      <c r="C198" s="2" t="s">
        <v>43</v>
      </c>
      <c r="D198" s="2">
        <v>5</v>
      </c>
      <c r="E198" s="2">
        <v>7220972702</v>
      </c>
      <c r="F198" s="2" t="s">
        <v>13</v>
      </c>
      <c r="G198" s="2" t="s">
        <v>20</v>
      </c>
      <c r="H198" s="2" t="s">
        <v>21</v>
      </c>
      <c r="I198" s="2" t="s">
        <v>16</v>
      </c>
      <c r="J198" s="44" t="s">
        <v>22</v>
      </c>
    </row>
    <row r="199" spans="1:10" x14ac:dyDescent="0.3">
      <c r="A199" s="43" t="s">
        <v>224</v>
      </c>
      <c r="B199" s="2" t="s">
        <v>11</v>
      </c>
      <c r="C199" s="2" t="s">
        <v>26</v>
      </c>
      <c r="D199" s="2">
        <v>3</v>
      </c>
      <c r="E199" s="2">
        <v>8429504300</v>
      </c>
      <c r="F199" s="2" t="s">
        <v>19</v>
      </c>
      <c r="G199" s="2" t="s">
        <v>20</v>
      </c>
      <c r="H199" s="2" t="s">
        <v>21</v>
      </c>
      <c r="I199" s="2" t="s">
        <v>37</v>
      </c>
      <c r="J199" s="44" t="s">
        <v>17</v>
      </c>
    </row>
    <row r="200" spans="1:10" x14ac:dyDescent="0.3">
      <c r="A200" s="43" t="s">
        <v>225</v>
      </c>
      <c r="B200" s="2" t="s">
        <v>32</v>
      </c>
      <c r="C200" s="2" t="s">
        <v>26</v>
      </c>
      <c r="D200" s="2">
        <v>7</v>
      </c>
      <c r="E200" s="2">
        <v>7295585678</v>
      </c>
      <c r="F200" s="2" t="s">
        <v>19</v>
      </c>
      <c r="G200" s="2" t="s">
        <v>14</v>
      </c>
      <c r="H200" s="2" t="s">
        <v>15</v>
      </c>
      <c r="I200" s="2" t="s">
        <v>27</v>
      </c>
      <c r="J200" s="44" t="s">
        <v>17</v>
      </c>
    </row>
    <row r="201" spans="1:10" x14ac:dyDescent="0.3">
      <c r="A201" s="43" t="s">
        <v>226</v>
      </c>
      <c r="B201" s="2" t="s">
        <v>35</v>
      </c>
      <c r="C201" s="2" t="s">
        <v>26</v>
      </c>
      <c r="D201" s="2">
        <v>1</v>
      </c>
      <c r="E201" s="2">
        <v>8083959508</v>
      </c>
      <c r="F201" s="2" t="s">
        <v>19</v>
      </c>
      <c r="G201" s="2" t="s">
        <v>20</v>
      </c>
      <c r="H201" s="2" t="s">
        <v>15</v>
      </c>
      <c r="I201" s="2" t="s">
        <v>22</v>
      </c>
      <c r="J201" s="44" t="s">
        <v>22</v>
      </c>
    </row>
    <row r="202" spans="1:10" x14ac:dyDescent="0.3">
      <c r="A202" s="43" t="s">
        <v>227</v>
      </c>
      <c r="B202" s="2" t="s">
        <v>32</v>
      </c>
      <c r="C202" s="2" t="s">
        <v>36</v>
      </c>
      <c r="D202" s="2">
        <v>7</v>
      </c>
      <c r="E202" s="2">
        <v>8407487849</v>
      </c>
      <c r="F202" s="2" t="s">
        <v>19</v>
      </c>
      <c r="G202" s="2" t="s">
        <v>14</v>
      </c>
      <c r="H202" s="2" t="s">
        <v>15</v>
      </c>
      <c r="I202" s="2" t="s">
        <v>22</v>
      </c>
      <c r="J202" s="44" t="s">
        <v>23</v>
      </c>
    </row>
    <row r="203" spans="1:10" x14ac:dyDescent="0.3">
      <c r="A203" s="43" t="s">
        <v>228</v>
      </c>
      <c r="B203" s="2" t="s">
        <v>32</v>
      </c>
      <c r="C203" s="2" t="s">
        <v>43</v>
      </c>
      <c r="D203" s="2">
        <v>7</v>
      </c>
      <c r="E203" s="2">
        <v>8386575048</v>
      </c>
      <c r="F203" s="2" t="s">
        <v>19</v>
      </c>
      <c r="G203" s="2" t="s">
        <v>20</v>
      </c>
      <c r="H203" s="2" t="s">
        <v>21</v>
      </c>
      <c r="I203" s="2" t="s">
        <v>37</v>
      </c>
      <c r="J203" s="44" t="s">
        <v>23</v>
      </c>
    </row>
    <row r="204" spans="1:10" x14ac:dyDescent="0.3">
      <c r="A204" s="43" t="s">
        <v>229</v>
      </c>
      <c r="B204" s="2" t="s">
        <v>11</v>
      </c>
      <c r="C204" s="2" t="s">
        <v>12</v>
      </c>
      <c r="D204" s="2">
        <v>3</v>
      </c>
      <c r="E204" s="2">
        <v>7959427548</v>
      </c>
      <c r="F204" s="2" t="s">
        <v>19</v>
      </c>
      <c r="G204" s="2" t="s">
        <v>20</v>
      </c>
      <c r="H204" s="2" t="s">
        <v>21</v>
      </c>
      <c r="I204" s="2" t="s">
        <v>27</v>
      </c>
      <c r="J204" s="44" t="s">
        <v>17</v>
      </c>
    </row>
    <row r="205" spans="1:10" x14ac:dyDescent="0.3">
      <c r="A205" s="43" t="s">
        <v>230</v>
      </c>
      <c r="B205" s="2" t="s">
        <v>32</v>
      </c>
      <c r="C205" s="2" t="s">
        <v>43</v>
      </c>
      <c r="D205" s="2">
        <v>7</v>
      </c>
      <c r="E205" s="2">
        <v>9650489619</v>
      </c>
      <c r="F205" s="2" t="s">
        <v>13</v>
      </c>
      <c r="G205" s="2" t="s">
        <v>20</v>
      </c>
      <c r="H205" s="2" t="s">
        <v>21</v>
      </c>
      <c r="I205" s="2" t="s">
        <v>37</v>
      </c>
      <c r="J205" s="44" t="s">
        <v>23</v>
      </c>
    </row>
    <row r="206" spans="1:10" x14ac:dyDescent="0.3">
      <c r="A206" s="43" t="s">
        <v>231</v>
      </c>
      <c r="B206" s="2" t="s">
        <v>35</v>
      </c>
      <c r="C206" s="2" t="s">
        <v>26</v>
      </c>
      <c r="D206" s="2">
        <v>1</v>
      </c>
      <c r="E206" s="2">
        <v>7266693099</v>
      </c>
      <c r="F206" s="2" t="s">
        <v>13</v>
      </c>
      <c r="G206" s="2" t="s">
        <v>14</v>
      </c>
      <c r="H206" s="2" t="s">
        <v>15</v>
      </c>
      <c r="I206" s="2" t="s">
        <v>16</v>
      </c>
      <c r="J206" s="44" t="s">
        <v>17</v>
      </c>
    </row>
    <row r="207" spans="1:10" x14ac:dyDescent="0.3">
      <c r="A207" s="43" t="s">
        <v>232</v>
      </c>
      <c r="B207" s="2" t="s">
        <v>32</v>
      </c>
      <c r="C207" s="2" t="s">
        <v>36</v>
      </c>
      <c r="D207" s="2">
        <v>7</v>
      </c>
      <c r="E207" s="2">
        <v>6967100195</v>
      </c>
      <c r="F207" s="2" t="s">
        <v>19</v>
      </c>
      <c r="G207" s="2" t="s">
        <v>20</v>
      </c>
      <c r="H207" s="2" t="s">
        <v>21</v>
      </c>
      <c r="I207" s="2" t="s">
        <v>22</v>
      </c>
      <c r="J207" s="44" t="s">
        <v>22</v>
      </c>
    </row>
    <row r="208" spans="1:10" x14ac:dyDescent="0.3">
      <c r="A208" s="43" t="s">
        <v>233</v>
      </c>
      <c r="B208" s="2" t="s">
        <v>35</v>
      </c>
      <c r="C208" s="2" t="s">
        <v>43</v>
      </c>
      <c r="D208" s="2">
        <v>1</v>
      </c>
      <c r="E208" s="2">
        <v>8363850369</v>
      </c>
      <c r="F208" s="2" t="s">
        <v>13</v>
      </c>
      <c r="G208" s="2" t="s">
        <v>20</v>
      </c>
      <c r="H208" s="2" t="s">
        <v>21</v>
      </c>
      <c r="I208" s="2" t="s">
        <v>37</v>
      </c>
      <c r="J208" s="44" t="s">
        <v>17</v>
      </c>
    </row>
    <row r="209" spans="1:10" x14ac:dyDescent="0.3">
      <c r="A209" s="43" t="s">
        <v>234</v>
      </c>
      <c r="B209" s="2" t="s">
        <v>11</v>
      </c>
      <c r="C209" s="2" t="s">
        <v>33</v>
      </c>
      <c r="D209" s="2">
        <v>3</v>
      </c>
      <c r="E209" s="2">
        <v>6866298228</v>
      </c>
      <c r="F209" s="2" t="s">
        <v>13</v>
      </c>
      <c r="G209" s="2" t="s">
        <v>20</v>
      </c>
      <c r="H209" s="2" t="s">
        <v>15</v>
      </c>
      <c r="I209" s="2" t="s">
        <v>41</v>
      </c>
      <c r="J209" s="44" t="s">
        <v>22</v>
      </c>
    </row>
    <row r="210" spans="1:10" x14ac:dyDescent="0.3">
      <c r="A210" s="43" t="s">
        <v>235</v>
      </c>
      <c r="B210" s="2" t="s">
        <v>32</v>
      </c>
      <c r="C210" s="2" t="s">
        <v>33</v>
      </c>
      <c r="D210" s="2">
        <v>7</v>
      </c>
      <c r="E210" s="2">
        <v>6267426911</v>
      </c>
      <c r="F210" s="2" t="s">
        <v>13</v>
      </c>
      <c r="G210" s="2" t="s">
        <v>20</v>
      </c>
      <c r="H210" s="2" t="s">
        <v>15</v>
      </c>
      <c r="I210" s="2" t="s">
        <v>41</v>
      </c>
      <c r="J210" s="44" t="s">
        <v>22</v>
      </c>
    </row>
    <row r="211" spans="1:10" x14ac:dyDescent="0.3">
      <c r="A211" s="43" t="s">
        <v>236</v>
      </c>
      <c r="B211" s="2" t="s">
        <v>11</v>
      </c>
      <c r="C211" s="2" t="s">
        <v>33</v>
      </c>
      <c r="D211" s="2">
        <v>3</v>
      </c>
      <c r="E211" s="2">
        <v>7222501355</v>
      </c>
      <c r="F211" s="2" t="s">
        <v>19</v>
      </c>
      <c r="G211" s="2" t="s">
        <v>14</v>
      </c>
      <c r="H211" s="2" t="s">
        <v>21</v>
      </c>
      <c r="I211" s="2" t="s">
        <v>27</v>
      </c>
      <c r="J211" s="44" t="s">
        <v>22</v>
      </c>
    </row>
    <row r="212" spans="1:10" x14ac:dyDescent="0.3">
      <c r="A212" s="43" t="s">
        <v>237</v>
      </c>
      <c r="B212" s="2" t="s">
        <v>25</v>
      </c>
      <c r="C212" s="2" t="s">
        <v>43</v>
      </c>
      <c r="D212" s="2">
        <v>5</v>
      </c>
      <c r="E212" s="2">
        <v>9611732855</v>
      </c>
      <c r="F212" s="2" t="s">
        <v>19</v>
      </c>
      <c r="G212" s="2" t="s">
        <v>14</v>
      </c>
      <c r="H212" s="2" t="s">
        <v>15</v>
      </c>
      <c r="I212" s="2" t="s">
        <v>37</v>
      </c>
      <c r="J212" s="44" t="s">
        <v>23</v>
      </c>
    </row>
    <row r="213" spans="1:10" x14ac:dyDescent="0.3">
      <c r="A213" s="43" t="s">
        <v>238</v>
      </c>
      <c r="B213" s="2" t="s">
        <v>25</v>
      </c>
      <c r="C213" s="2" t="s">
        <v>43</v>
      </c>
      <c r="D213" s="2">
        <v>5</v>
      </c>
      <c r="E213" s="2">
        <v>9725796636</v>
      </c>
      <c r="F213" s="2" t="s">
        <v>19</v>
      </c>
      <c r="G213" s="2" t="s">
        <v>14</v>
      </c>
      <c r="H213" s="2" t="s">
        <v>21</v>
      </c>
      <c r="I213" s="2" t="s">
        <v>16</v>
      </c>
      <c r="J213" s="44" t="s">
        <v>23</v>
      </c>
    </row>
    <row r="214" spans="1:10" x14ac:dyDescent="0.3">
      <c r="A214" s="43" t="s">
        <v>239</v>
      </c>
      <c r="B214" s="2" t="s">
        <v>32</v>
      </c>
      <c r="C214" s="2" t="s">
        <v>26</v>
      </c>
      <c r="D214" s="2">
        <v>7</v>
      </c>
      <c r="E214" s="2">
        <v>9502345108</v>
      </c>
      <c r="F214" s="2" t="s">
        <v>19</v>
      </c>
      <c r="G214" s="2" t="s">
        <v>14</v>
      </c>
      <c r="H214" s="2" t="s">
        <v>21</v>
      </c>
      <c r="I214" s="2" t="s">
        <v>27</v>
      </c>
      <c r="J214" s="44" t="s">
        <v>17</v>
      </c>
    </row>
    <row r="215" spans="1:10" x14ac:dyDescent="0.3">
      <c r="A215" s="43" t="s">
        <v>240</v>
      </c>
      <c r="B215" s="2" t="s">
        <v>32</v>
      </c>
      <c r="C215" s="2" t="s">
        <v>43</v>
      </c>
      <c r="D215" s="2">
        <v>7</v>
      </c>
      <c r="E215" s="2">
        <v>6626290114</v>
      </c>
      <c r="F215" s="2" t="s">
        <v>13</v>
      </c>
      <c r="G215" s="2" t="s">
        <v>14</v>
      </c>
      <c r="H215" s="2" t="s">
        <v>15</v>
      </c>
      <c r="I215" s="2" t="s">
        <v>27</v>
      </c>
      <c r="J215" s="44" t="s">
        <v>23</v>
      </c>
    </row>
    <row r="216" spans="1:10" x14ac:dyDescent="0.3">
      <c r="A216" s="43" t="s">
        <v>241</v>
      </c>
      <c r="B216" s="2" t="s">
        <v>11</v>
      </c>
      <c r="C216" s="2" t="s">
        <v>26</v>
      </c>
      <c r="D216" s="2">
        <v>3</v>
      </c>
      <c r="E216" s="2">
        <v>8514209100</v>
      </c>
      <c r="F216" s="2" t="s">
        <v>19</v>
      </c>
      <c r="G216" s="2" t="s">
        <v>20</v>
      </c>
      <c r="H216" s="2" t="s">
        <v>21</v>
      </c>
      <c r="I216" s="2" t="s">
        <v>22</v>
      </c>
      <c r="J216" s="44" t="s">
        <v>22</v>
      </c>
    </row>
    <row r="217" spans="1:10" x14ac:dyDescent="0.3">
      <c r="A217" s="43" t="s">
        <v>242</v>
      </c>
      <c r="B217" s="2" t="s">
        <v>35</v>
      </c>
      <c r="C217" s="2" t="s">
        <v>36</v>
      </c>
      <c r="D217" s="2">
        <v>1</v>
      </c>
      <c r="E217" s="2">
        <v>7997041169</v>
      </c>
      <c r="F217" s="2" t="s">
        <v>13</v>
      </c>
      <c r="G217" s="2" t="s">
        <v>14</v>
      </c>
      <c r="H217" s="2" t="s">
        <v>15</v>
      </c>
      <c r="I217" s="2" t="s">
        <v>16</v>
      </c>
      <c r="J217" s="44" t="s">
        <v>23</v>
      </c>
    </row>
    <row r="218" spans="1:10" x14ac:dyDescent="0.3">
      <c r="A218" s="43" t="s">
        <v>243</v>
      </c>
      <c r="B218" s="2" t="s">
        <v>35</v>
      </c>
      <c r="C218" s="2" t="s">
        <v>26</v>
      </c>
      <c r="D218" s="2">
        <v>1</v>
      </c>
      <c r="E218" s="2">
        <v>8892986939</v>
      </c>
      <c r="F218" s="2" t="s">
        <v>19</v>
      </c>
      <c r="G218" s="2" t="s">
        <v>14</v>
      </c>
      <c r="H218" s="2" t="s">
        <v>21</v>
      </c>
      <c r="I218" s="2" t="s">
        <v>16</v>
      </c>
      <c r="J218" s="44" t="s">
        <v>17</v>
      </c>
    </row>
    <row r="219" spans="1:10" x14ac:dyDescent="0.3">
      <c r="A219" s="43" t="s">
        <v>244</v>
      </c>
      <c r="B219" s="2" t="s">
        <v>32</v>
      </c>
      <c r="C219" s="2" t="s">
        <v>33</v>
      </c>
      <c r="D219" s="2">
        <v>7</v>
      </c>
      <c r="E219" s="2">
        <v>7811731818</v>
      </c>
      <c r="F219" s="2" t="s">
        <v>19</v>
      </c>
      <c r="G219" s="2" t="s">
        <v>20</v>
      </c>
      <c r="H219" s="2" t="s">
        <v>15</v>
      </c>
      <c r="I219" s="2" t="s">
        <v>29</v>
      </c>
      <c r="J219" s="44" t="s">
        <v>22</v>
      </c>
    </row>
    <row r="220" spans="1:10" x14ac:dyDescent="0.3">
      <c r="A220" s="43" t="s">
        <v>245</v>
      </c>
      <c r="B220" s="2" t="s">
        <v>32</v>
      </c>
      <c r="C220" s="2" t="s">
        <v>36</v>
      </c>
      <c r="D220" s="2">
        <v>7</v>
      </c>
      <c r="E220" s="2">
        <v>6442387570</v>
      </c>
      <c r="F220" s="2" t="s">
        <v>19</v>
      </c>
      <c r="G220" s="2" t="s">
        <v>20</v>
      </c>
      <c r="H220" s="2" t="s">
        <v>15</v>
      </c>
      <c r="I220" s="2" t="s">
        <v>22</v>
      </c>
      <c r="J220" s="44" t="s">
        <v>17</v>
      </c>
    </row>
    <row r="221" spans="1:10" x14ac:dyDescent="0.3">
      <c r="A221" s="43" t="s">
        <v>246</v>
      </c>
      <c r="B221" s="2" t="s">
        <v>32</v>
      </c>
      <c r="C221" s="2" t="s">
        <v>33</v>
      </c>
      <c r="D221" s="2">
        <v>7</v>
      </c>
      <c r="E221" s="2">
        <v>7503032656</v>
      </c>
      <c r="F221" s="2" t="s">
        <v>19</v>
      </c>
      <c r="G221" s="2" t="s">
        <v>14</v>
      </c>
      <c r="H221" s="2" t="s">
        <v>15</v>
      </c>
      <c r="I221" s="2" t="s">
        <v>27</v>
      </c>
      <c r="J221" s="44" t="s">
        <v>23</v>
      </c>
    </row>
    <row r="222" spans="1:10" x14ac:dyDescent="0.3">
      <c r="A222" s="43" t="s">
        <v>247</v>
      </c>
      <c r="B222" s="2" t="s">
        <v>11</v>
      </c>
      <c r="C222" s="2" t="s">
        <v>26</v>
      </c>
      <c r="D222" s="2">
        <v>3</v>
      </c>
      <c r="E222" s="2">
        <v>8696706768</v>
      </c>
      <c r="F222" s="2" t="s">
        <v>13</v>
      </c>
      <c r="G222" s="2" t="s">
        <v>14</v>
      </c>
      <c r="H222" s="2" t="s">
        <v>21</v>
      </c>
      <c r="I222" s="2" t="s">
        <v>27</v>
      </c>
      <c r="J222" s="44" t="s">
        <v>22</v>
      </c>
    </row>
    <row r="223" spans="1:10" x14ac:dyDescent="0.3">
      <c r="A223" s="43" t="s">
        <v>248</v>
      </c>
      <c r="B223" s="2" t="s">
        <v>32</v>
      </c>
      <c r="C223" s="2" t="s">
        <v>33</v>
      </c>
      <c r="D223" s="2">
        <v>7</v>
      </c>
      <c r="E223" s="2">
        <v>6760935768</v>
      </c>
      <c r="F223" s="2" t="s">
        <v>19</v>
      </c>
      <c r="G223" s="2" t="s">
        <v>14</v>
      </c>
      <c r="H223" s="2" t="s">
        <v>15</v>
      </c>
      <c r="I223" s="2" t="s">
        <v>22</v>
      </c>
      <c r="J223" s="44" t="s">
        <v>22</v>
      </c>
    </row>
    <row r="224" spans="1:10" x14ac:dyDescent="0.3">
      <c r="A224" s="43" t="s">
        <v>249</v>
      </c>
      <c r="B224" s="2" t="s">
        <v>35</v>
      </c>
      <c r="C224" s="2" t="s">
        <v>33</v>
      </c>
      <c r="D224" s="2">
        <v>1</v>
      </c>
      <c r="E224" s="2">
        <v>9543400801</v>
      </c>
      <c r="F224" s="2" t="s">
        <v>13</v>
      </c>
      <c r="G224" s="2" t="s">
        <v>14</v>
      </c>
      <c r="H224" s="2" t="s">
        <v>15</v>
      </c>
      <c r="I224" s="2" t="s">
        <v>16</v>
      </c>
      <c r="J224" s="44" t="s">
        <v>17</v>
      </c>
    </row>
    <row r="225" spans="1:10" x14ac:dyDescent="0.3">
      <c r="A225" s="43" t="s">
        <v>250</v>
      </c>
      <c r="B225" s="2" t="s">
        <v>32</v>
      </c>
      <c r="C225" s="2" t="s">
        <v>43</v>
      </c>
      <c r="D225" s="2">
        <v>7</v>
      </c>
      <c r="E225" s="2">
        <v>8008795602</v>
      </c>
      <c r="F225" s="2" t="s">
        <v>19</v>
      </c>
      <c r="G225" s="2" t="s">
        <v>14</v>
      </c>
      <c r="H225" s="2" t="s">
        <v>15</v>
      </c>
      <c r="I225" s="2" t="s">
        <v>22</v>
      </c>
      <c r="J225" s="44" t="s">
        <v>17</v>
      </c>
    </row>
    <row r="226" spans="1:10" x14ac:dyDescent="0.3">
      <c r="A226" s="43" t="s">
        <v>251</v>
      </c>
      <c r="B226" s="2" t="s">
        <v>32</v>
      </c>
      <c r="C226" s="2" t="s">
        <v>33</v>
      </c>
      <c r="D226" s="2">
        <v>7</v>
      </c>
      <c r="E226" s="2">
        <v>7354403246</v>
      </c>
      <c r="F226" s="2" t="s">
        <v>19</v>
      </c>
      <c r="G226" s="2" t="s">
        <v>20</v>
      </c>
      <c r="H226" s="2" t="s">
        <v>15</v>
      </c>
      <c r="I226" s="2" t="s">
        <v>22</v>
      </c>
      <c r="J226" s="44" t="s">
        <v>17</v>
      </c>
    </row>
    <row r="227" spans="1:10" x14ac:dyDescent="0.3">
      <c r="A227" s="43" t="s">
        <v>252</v>
      </c>
      <c r="B227" s="2" t="s">
        <v>32</v>
      </c>
      <c r="C227" s="2" t="s">
        <v>12</v>
      </c>
      <c r="D227" s="2">
        <v>7</v>
      </c>
      <c r="E227" s="2">
        <v>6774563101</v>
      </c>
      <c r="F227" s="2" t="s">
        <v>13</v>
      </c>
      <c r="G227" s="2" t="s">
        <v>20</v>
      </c>
      <c r="H227" s="2" t="s">
        <v>15</v>
      </c>
      <c r="I227" s="2" t="s">
        <v>22</v>
      </c>
      <c r="J227" s="44" t="s">
        <v>23</v>
      </c>
    </row>
    <row r="228" spans="1:10" x14ac:dyDescent="0.3">
      <c r="A228" s="43" t="s">
        <v>253</v>
      </c>
      <c r="B228" s="2" t="s">
        <v>32</v>
      </c>
      <c r="C228" s="2" t="s">
        <v>43</v>
      </c>
      <c r="D228" s="2">
        <v>7</v>
      </c>
      <c r="E228" s="2">
        <v>6942766830</v>
      </c>
      <c r="F228" s="2" t="s">
        <v>13</v>
      </c>
      <c r="G228" s="2" t="s">
        <v>14</v>
      </c>
      <c r="H228" s="2" t="s">
        <v>21</v>
      </c>
      <c r="I228" s="2" t="s">
        <v>37</v>
      </c>
      <c r="J228" s="44" t="s">
        <v>22</v>
      </c>
    </row>
    <row r="229" spans="1:10" x14ac:dyDescent="0.3">
      <c r="A229" s="43" t="s">
        <v>254</v>
      </c>
      <c r="B229" s="2" t="s">
        <v>11</v>
      </c>
      <c r="C229" s="2" t="s">
        <v>33</v>
      </c>
      <c r="D229" s="2">
        <v>3</v>
      </c>
      <c r="E229" s="2">
        <v>6119945810</v>
      </c>
      <c r="F229" s="2" t="s">
        <v>19</v>
      </c>
      <c r="G229" s="2" t="s">
        <v>14</v>
      </c>
      <c r="H229" s="2" t="s">
        <v>21</v>
      </c>
      <c r="I229" s="2" t="s">
        <v>22</v>
      </c>
      <c r="J229" s="44" t="s">
        <v>23</v>
      </c>
    </row>
    <row r="230" spans="1:10" x14ac:dyDescent="0.3">
      <c r="A230" s="43" t="s">
        <v>255</v>
      </c>
      <c r="B230" s="2" t="s">
        <v>25</v>
      </c>
      <c r="C230" s="2" t="s">
        <v>12</v>
      </c>
      <c r="D230" s="2">
        <v>5</v>
      </c>
      <c r="E230" s="2">
        <v>6063974507</v>
      </c>
      <c r="F230" s="2" t="s">
        <v>19</v>
      </c>
      <c r="G230" s="2" t="s">
        <v>14</v>
      </c>
      <c r="H230" s="2" t="s">
        <v>15</v>
      </c>
      <c r="I230" s="2" t="s">
        <v>37</v>
      </c>
      <c r="J230" s="44" t="s">
        <v>22</v>
      </c>
    </row>
    <row r="231" spans="1:10" x14ac:dyDescent="0.3">
      <c r="A231" s="43" t="s">
        <v>256</v>
      </c>
      <c r="B231" s="2" t="s">
        <v>35</v>
      </c>
      <c r="C231" s="2" t="s">
        <v>43</v>
      </c>
      <c r="D231" s="2">
        <v>1</v>
      </c>
      <c r="E231" s="2">
        <v>8182528183</v>
      </c>
      <c r="F231" s="2" t="s">
        <v>13</v>
      </c>
      <c r="G231" s="2" t="s">
        <v>14</v>
      </c>
      <c r="H231" s="2" t="s">
        <v>21</v>
      </c>
      <c r="I231" s="2" t="s">
        <v>22</v>
      </c>
      <c r="J231" s="44" t="s">
        <v>23</v>
      </c>
    </row>
    <row r="232" spans="1:10" x14ac:dyDescent="0.3">
      <c r="A232" s="43" t="s">
        <v>257</v>
      </c>
      <c r="B232" s="2" t="s">
        <v>35</v>
      </c>
      <c r="C232" s="2" t="s">
        <v>26</v>
      </c>
      <c r="D232" s="2">
        <v>1</v>
      </c>
      <c r="E232" s="2">
        <v>9082299989</v>
      </c>
      <c r="F232" s="2" t="s">
        <v>13</v>
      </c>
      <c r="G232" s="2" t="s">
        <v>14</v>
      </c>
      <c r="H232" s="2" t="s">
        <v>15</v>
      </c>
      <c r="I232" s="2" t="s">
        <v>22</v>
      </c>
      <c r="J232" s="44" t="s">
        <v>22</v>
      </c>
    </row>
    <row r="233" spans="1:10" x14ac:dyDescent="0.3">
      <c r="A233" s="43" t="s">
        <v>258</v>
      </c>
      <c r="B233" s="2" t="s">
        <v>25</v>
      </c>
      <c r="C233" s="2" t="s">
        <v>12</v>
      </c>
      <c r="D233" s="2">
        <v>5</v>
      </c>
      <c r="E233" s="2">
        <v>7256217471</v>
      </c>
      <c r="F233" s="2" t="s">
        <v>13</v>
      </c>
      <c r="G233" s="2" t="s">
        <v>14</v>
      </c>
      <c r="H233" s="2" t="s">
        <v>21</v>
      </c>
      <c r="I233" s="2" t="s">
        <v>22</v>
      </c>
      <c r="J233" s="44" t="s">
        <v>23</v>
      </c>
    </row>
    <row r="234" spans="1:10" x14ac:dyDescent="0.3">
      <c r="A234" s="43" t="s">
        <v>259</v>
      </c>
      <c r="B234" s="2" t="s">
        <v>11</v>
      </c>
      <c r="C234" s="2" t="s">
        <v>12</v>
      </c>
      <c r="D234" s="2">
        <v>3</v>
      </c>
      <c r="E234" s="2">
        <v>7112911090</v>
      </c>
      <c r="F234" s="2" t="s">
        <v>19</v>
      </c>
      <c r="G234" s="2" t="s">
        <v>20</v>
      </c>
      <c r="H234" s="2" t="s">
        <v>21</v>
      </c>
      <c r="I234" s="2" t="s">
        <v>41</v>
      </c>
      <c r="J234" s="44" t="s">
        <v>23</v>
      </c>
    </row>
    <row r="235" spans="1:10" x14ac:dyDescent="0.3">
      <c r="A235" s="43" t="s">
        <v>260</v>
      </c>
      <c r="B235" s="2" t="s">
        <v>25</v>
      </c>
      <c r="C235" s="2" t="s">
        <v>43</v>
      </c>
      <c r="D235" s="2">
        <v>5</v>
      </c>
      <c r="E235" s="2">
        <v>7615308856</v>
      </c>
      <c r="F235" s="2" t="s">
        <v>19</v>
      </c>
      <c r="G235" s="2" t="s">
        <v>14</v>
      </c>
      <c r="H235" s="2" t="s">
        <v>21</v>
      </c>
      <c r="I235" s="2" t="s">
        <v>41</v>
      </c>
      <c r="J235" s="44" t="s">
        <v>23</v>
      </c>
    </row>
    <row r="236" spans="1:10" x14ac:dyDescent="0.3">
      <c r="A236" s="43" t="s">
        <v>261</v>
      </c>
      <c r="B236" s="2" t="s">
        <v>25</v>
      </c>
      <c r="C236" s="2" t="s">
        <v>33</v>
      </c>
      <c r="D236" s="2">
        <v>5</v>
      </c>
      <c r="E236" s="2">
        <v>9847899395</v>
      </c>
      <c r="F236" s="2" t="s">
        <v>19</v>
      </c>
      <c r="G236" s="2" t="s">
        <v>14</v>
      </c>
      <c r="H236" s="2" t="s">
        <v>15</v>
      </c>
      <c r="I236" s="2" t="s">
        <v>37</v>
      </c>
      <c r="J236" s="44" t="s">
        <v>22</v>
      </c>
    </row>
    <row r="237" spans="1:10" x14ac:dyDescent="0.3">
      <c r="A237" s="43" t="s">
        <v>262</v>
      </c>
      <c r="B237" s="2" t="s">
        <v>11</v>
      </c>
      <c r="C237" s="2" t="s">
        <v>33</v>
      </c>
      <c r="D237" s="2">
        <v>3</v>
      </c>
      <c r="E237" s="2">
        <v>7902422598</v>
      </c>
      <c r="F237" s="2" t="s">
        <v>19</v>
      </c>
      <c r="G237" s="2" t="s">
        <v>14</v>
      </c>
      <c r="H237" s="2" t="s">
        <v>15</v>
      </c>
      <c r="I237" s="2" t="s">
        <v>22</v>
      </c>
      <c r="J237" s="44" t="s">
        <v>23</v>
      </c>
    </row>
    <row r="238" spans="1:10" x14ac:dyDescent="0.3">
      <c r="A238" s="43" t="s">
        <v>263</v>
      </c>
      <c r="B238" s="2" t="s">
        <v>35</v>
      </c>
      <c r="C238" s="2" t="s">
        <v>12</v>
      </c>
      <c r="D238" s="2">
        <v>1</v>
      </c>
      <c r="E238" s="2">
        <v>6570307637</v>
      </c>
      <c r="F238" s="2" t="s">
        <v>13</v>
      </c>
      <c r="G238" s="2" t="s">
        <v>14</v>
      </c>
      <c r="H238" s="2" t="s">
        <v>21</v>
      </c>
      <c r="I238" s="2" t="s">
        <v>37</v>
      </c>
      <c r="J238" s="44" t="s">
        <v>17</v>
      </c>
    </row>
    <row r="239" spans="1:10" x14ac:dyDescent="0.3">
      <c r="A239" s="43" t="s">
        <v>264</v>
      </c>
      <c r="B239" s="2" t="s">
        <v>32</v>
      </c>
      <c r="C239" s="2" t="s">
        <v>12</v>
      </c>
      <c r="D239" s="2">
        <v>7</v>
      </c>
      <c r="E239" s="2">
        <v>6538891921</v>
      </c>
      <c r="F239" s="2" t="s">
        <v>19</v>
      </c>
      <c r="G239" s="2" t="s">
        <v>20</v>
      </c>
      <c r="H239" s="2" t="s">
        <v>21</v>
      </c>
      <c r="I239" s="2" t="s">
        <v>22</v>
      </c>
      <c r="J239" s="44" t="s">
        <v>17</v>
      </c>
    </row>
    <row r="240" spans="1:10" x14ac:dyDescent="0.3">
      <c r="A240" s="43" t="s">
        <v>265</v>
      </c>
      <c r="B240" s="2" t="s">
        <v>11</v>
      </c>
      <c r="C240" s="2" t="s">
        <v>12</v>
      </c>
      <c r="D240" s="2">
        <v>3</v>
      </c>
      <c r="E240" s="2">
        <v>6764981615</v>
      </c>
      <c r="F240" s="2" t="s">
        <v>19</v>
      </c>
      <c r="G240" s="2" t="s">
        <v>14</v>
      </c>
      <c r="H240" s="2" t="s">
        <v>21</v>
      </c>
      <c r="I240" s="2" t="s">
        <v>37</v>
      </c>
      <c r="J240" s="44" t="s">
        <v>22</v>
      </c>
    </row>
    <row r="241" spans="1:10" x14ac:dyDescent="0.3">
      <c r="A241" s="43" t="s">
        <v>127</v>
      </c>
      <c r="B241" s="2" t="s">
        <v>25</v>
      </c>
      <c r="C241" s="2" t="s">
        <v>26</v>
      </c>
      <c r="D241" s="2">
        <v>5</v>
      </c>
      <c r="E241" s="2">
        <v>6897919819</v>
      </c>
      <c r="F241" s="2" t="s">
        <v>19</v>
      </c>
      <c r="G241" s="2" t="s">
        <v>20</v>
      </c>
      <c r="H241" s="2" t="s">
        <v>15</v>
      </c>
      <c r="I241" s="2" t="s">
        <v>41</v>
      </c>
      <c r="J241" s="44" t="s">
        <v>22</v>
      </c>
    </row>
    <row r="242" spans="1:10" x14ac:dyDescent="0.3">
      <c r="A242" s="43" t="s">
        <v>266</v>
      </c>
      <c r="B242" s="2" t="s">
        <v>25</v>
      </c>
      <c r="C242" s="2" t="s">
        <v>12</v>
      </c>
      <c r="D242" s="2">
        <v>5</v>
      </c>
      <c r="E242" s="2">
        <v>7147300176</v>
      </c>
      <c r="F242" s="2" t="s">
        <v>19</v>
      </c>
      <c r="G242" s="2" t="s">
        <v>20</v>
      </c>
      <c r="H242" s="2" t="s">
        <v>15</v>
      </c>
      <c r="I242" s="2" t="s">
        <v>22</v>
      </c>
      <c r="J242" s="44" t="s">
        <v>23</v>
      </c>
    </row>
    <row r="243" spans="1:10" x14ac:dyDescent="0.3">
      <c r="A243" s="43" t="s">
        <v>267</v>
      </c>
      <c r="B243" s="2" t="s">
        <v>25</v>
      </c>
      <c r="C243" s="2" t="s">
        <v>43</v>
      </c>
      <c r="D243" s="2">
        <v>5</v>
      </c>
      <c r="E243" s="2">
        <v>9668041763</v>
      </c>
      <c r="F243" s="2" t="s">
        <v>13</v>
      </c>
      <c r="G243" s="2" t="s">
        <v>14</v>
      </c>
      <c r="H243" s="2" t="s">
        <v>15</v>
      </c>
      <c r="I243" s="2" t="s">
        <v>37</v>
      </c>
      <c r="J243" s="44" t="s">
        <v>22</v>
      </c>
    </row>
    <row r="244" spans="1:10" x14ac:dyDescent="0.3">
      <c r="A244" s="43" t="s">
        <v>268</v>
      </c>
      <c r="B244" s="2" t="s">
        <v>32</v>
      </c>
      <c r="C244" s="2" t="s">
        <v>12</v>
      </c>
      <c r="D244" s="2">
        <v>7</v>
      </c>
      <c r="E244" s="2">
        <v>7826892025</v>
      </c>
      <c r="F244" s="2" t="s">
        <v>13</v>
      </c>
      <c r="G244" s="2" t="s">
        <v>20</v>
      </c>
      <c r="H244" s="2" t="s">
        <v>15</v>
      </c>
      <c r="I244" s="2" t="s">
        <v>16</v>
      </c>
      <c r="J244" s="44" t="s">
        <v>22</v>
      </c>
    </row>
    <row r="245" spans="1:10" x14ac:dyDescent="0.3">
      <c r="A245" s="43" t="s">
        <v>269</v>
      </c>
      <c r="B245" s="2" t="s">
        <v>32</v>
      </c>
      <c r="C245" s="2" t="s">
        <v>26</v>
      </c>
      <c r="D245" s="2">
        <v>7</v>
      </c>
      <c r="E245" s="2">
        <v>8003475837</v>
      </c>
      <c r="F245" s="2" t="s">
        <v>19</v>
      </c>
      <c r="G245" s="2" t="s">
        <v>20</v>
      </c>
      <c r="H245" s="2" t="s">
        <v>15</v>
      </c>
      <c r="I245" s="2" t="s">
        <v>41</v>
      </c>
      <c r="J245" s="44" t="s">
        <v>23</v>
      </c>
    </row>
    <row r="246" spans="1:10" x14ac:dyDescent="0.3">
      <c r="A246" s="43" t="s">
        <v>270</v>
      </c>
      <c r="B246" s="2" t="s">
        <v>32</v>
      </c>
      <c r="C246" s="2" t="s">
        <v>43</v>
      </c>
      <c r="D246" s="2">
        <v>7</v>
      </c>
      <c r="E246" s="2">
        <v>8705613636</v>
      </c>
      <c r="F246" s="2" t="s">
        <v>19</v>
      </c>
      <c r="G246" s="2" t="s">
        <v>20</v>
      </c>
      <c r="H246" s="2" t="s">
        <v>21</v>
      </c>
      <c r="I246" s="2" t="s">
        <v>16</v>
      </c>
      <c r="J246" s="44" t="s">
        <v>22</v>
      </c>
    </row>
    <row r="247" spans="1:10" x14ac:dyDescent="0.3">
      <c r="A247" s="43" t="s">
        <v>271</v>
      </c>
      <c r="B247" s="2" t="s">
        <v>25</v>
      </c>
      <c r="C247" s="2" t="s">
        <v>33</v>
      </c>
      <c r="D247" s="2">
        <v>5</v>
      </c>
      <c r="E247" s="2">
        <v>6118847180</v>
      </c>
      <c r="F247" s="2" t="s">
        <v>13</v>
      </c>
      <c r="G247" s="2" t="s">
        <v>14</v>
      </c>
      <c r="H247" s="2" t="s">
        <v>15</v>
      </c>
      <c r="I247" s="2" t="s">
        <v>37</v>
      </c>
      <c r="J247" s="44" t="s">
        <v>17</v>
      </c>
    </row>
    <row r="248" spans="1:10" x14ac:dyDescent="0.3">
      <c r="A248" s="43" t="s">
        <v>272</v>
      </c>
      <c r="B248" s="2" t="s">
        <v>11</v>
      </c>
      <c r="C248" s="2" t="s">
        <v>12</v>
      </c>
      <c r="D248" s="2">
        <v>3</v>
      </c>
      <c r="E248" s="2">
        <v>9905412979</v>
      </c>
      <c r="F248" s="2" t="s">
        <v>13</v>
      </c>
      <c r="G248" s="2" t="s">
        <v>20</v>
      </c>
      <c r="H248" s="2" t="s">
        <v>15</v>
      </c>
      <c r="I248" s="2" t="s">
        <v>41</v>
      </c>
      <c r="J248" s="44" t="s">
        <v>22</v>
      </c>
    </row>
    <row r="249" spans="1:10" x14ac:dyDescent="0.3">
      <c r="A249" s="43" t="s">
        <v>273</v>
      </c>
      <c r="B249" s="2" t="s">
        <v>25</v>
      </c>
      <c r="C249" s="2" t="s">
        <v>33</v>
      </c>
      <c r="D249" s="2">
        <v>5</v>
      </c>
      <c r="E249" s="2">
        <v>7409594170</v>
      </c>
      <c r="F249" s="2" t="s">
        <v>13</v>
      </c>
      <c r="G249" s="2" t="s">
        <v>14</v>
      </c>
      <c r="H249" s="2" t="s">
        <v>15</v>
      </c>
      <c r="I249" s="2" t="s">
        <v>27</v>
      </c>
      <c r="J249" s="44" t="s">
        <v>22</v>
      </c>
    </row>
    <row r="250" spans="1:10" x14ac:dyDescent="0.3">
      <c r="A250" s="43" t="s">
        <v>274</v>
      </c>
      <c r="B250" s="2" t="s">
        <v>35</v>
      </c>
      <c r="C250" s="2" t="s">
        <v>26</v>
      </c>
      <c r="D250" s="2">
        <v>1</v>
      </c>
      <c r="E250" s="2">
        <v>6536982244</v>
      </c>
      <c r="F250" s="2" t="s">
        <v>13</v>
      </c>
      <c r="G250" s="2" t="s">
        <v>20</v>
      </c>
      <c r="H250" s="2" t="s">
        <v>21</v>
      </c>
      <c r="I250" s="2" t="s">
        <v>41</v>
      </c>
      <c r="J250" s="44" t="s">
        <v>22</v>
      </c>
    </row>
    <row r="251" spans="1:10" x14ac:dyDescent="0.3">
      <c r="A251" s="43" t="s">
        <v>275</v>
      </c>
      <c r="B251" s="2" t="s">
        <v>25</v>
      </c>
      <c r="C251" s="2" t="s">
        <v>33</v>
      </c>
      <c r="D251" s="2">
        <v>5</v>
      </c>
      <c r="E251" s="2">
        <v>7297304435</v>
      </c>
      <c r="F251" s="2" t="s">
        <v>13</v>
      </c>
      <c r="G251" s="2" t="s">
        <v>14</v>
      </c>
      <c r="H251" s="2" t="s">
        <v>21</v>
      </c>
      <c r="I251" s="2" t="s">
        <v>41</v>
      </c>
      <c r="J251" s="44" t="s">
        <v>17</v>
      </c>
    </row>
    <row r="252" spans="1:10" x14ac:dyDescent="0.3">
      <c r="A252" s="43" t="s">
        <v>276</v>
      </c>
      <c r="B252" s="2" t="s">
        <v>35</v>
      </c>
      <c r="C252" s="2" t="s">
        <v>12</v>
      </c>
      <c r="D252" s="2">
        <v>1</v>
      </c>
      <c r="E252" s="2">
        <v>9124302350</v>
      </c>
      <c r="F252" s="2" t="s">
        <v>13</v>
      </c>
      <c r="G252" s="2" t="s">
        <v>20</v>
      </c>
      <c r="H252" s="2" t="s">
        <v>15</v>
      </c>
      <c r="I252" s="2" t="s">
        <v>29</v>
      </c>
      <c r="J252" s="44" t="s">
        <v>17</v>
      </c>
    </row>
    <row r="253" spans="1:10" x14ac:dyDescent="0.3">
      <c r="A253" s="43" t="s">
        <v>277</v>
      </c>
      <c r="B253" s="2" t="s">
        <v>35</v>
      </c>
      <c r="C253" s="2" t="s">
        <v>26</v>
      </c>
      <c r="D253" s="2">
        <v>1</v>
      </c>
      <c r="E253" s="2">
        <v>9523962094</v>
      </c>
      <c r="F253" s="2" t="s">
        <v>13</v>
      </c>
      <c r="G253" s="2" t="s">
        <v>14</v>
      </c>
      <c r="H253" s="2" t="s">
        <v>15</v>
      </c>
      <c r="I253" s="2" t="s">
        <v>22</v>
      </c>
      <c r="J253" s="44" t="s">
        <v>22</v>
      </c>
    </row>
    <row r="254" spans="1:10" x14ac:dyDescent="0.3">
      <c r="A254" s="43" t="s">
        <v>278</v>
      </c>
      <c r="B254" s="2" t="s">
        <v>11</v>
      </c>
      <c r="C254" s="2" t="s">
        <v>12</v>
      </c>
      <c r="D254" s="2">
        <v>3</v>
      </c>
      <c r="E254" s="2">
        <v>7805019973</v>
      </c>
      <c r="F254" s="2" t="s">
        <v>13</v>
      </c>
      <c r="G254" s="2" t="s">
        <v>14</v>
      </c>
      <c r="H254" s="2" t="s">
        <v>21</v>
      </c>
      <c r="I254" s="2" t="s">
        <v>29</v>
      </c>
      <c r="J254" s="44" t="s">
        <v>23</v>
      </c>
    </row>
    <row r="255" spans="1:10" x14ac:dyDescent="0.3">
      <c r="A255" s="43" t="s">
        <v>279</v>
      </c>
      <c r="B255" s="2" t="s">
        <v>25</v>
      </c>
      <c r="C255" s="2" t="s">
        <v>43</v>
      </c>
      <c r="D255" s="2">
        <v>5</v>
      </c>
      <c r="E255" s="2">
        <v>8908711740</v>
      </c>
      <c r="F255" s="2" t="s">
        <v>19</v>
      </c>
      <c r="G255" s="2" t="s">
        <v>14</v>
      </c>
      <c r="H255" s="2" t="s">
        <v>21</v>
      </c>
      <c r="I255" s="2" t="s">
        <v>22</v>
      </c>
      <c r="J255" s="44" t="s">
        <v>23</v>
      </c>
    </row>
    <row r="256" spans="1:10" x14ac:dyDescent="0.3">
      <c r="A256" s="43" t="s">
        <v>280</v>
      </c>
      <c r="B256" s="2" t="s">
        <v>11</v>
      </c>
      <c r="C256" s="2" t="s">
        <v>36</v>
      </c>
      <c r="D256" s="2">
        <v>3</v>
      </c>
      <c r="E256" s="2">
        <v>9994241163</v>
      </c>
      <c r="F256" s="2" t="s">
        <v>19</v>
      </c>
      <c r="G256" s="2" t="s">
        <v>14</v>
      </c>
      <c r="H256" s="2" t="s">
        <v>21</v>
      </c>
      <c r="I256" s="2" t="s">
        <v>29</v>
      </c>
      <c r="J256" s="44" t="s">
        <v>22</v>
      </c>
    </row>
    <row r="257" spans="1:10" x14ac:dyDescent="0.3">
      <c r="A257" s="43" t="s">
        <v>281</v>
      </c>
      <c r="B257" s="2" t="s">
        <v>32</v>
      </c>
      <c r="C257" s="2" t="s">
        <v>12</v>
      </c>
      <c r="D257" s="2">
        <v>7</v>
      </c>
      <c r="E257" s="2">
        <v>7351683503</v>
      </c>
      <c r="F257" s="2" t="s">
        <v>13</v>
      </c>
      <c r="G257" s="2" t="s">
        <v>20</v>
      </c>
      <c r="H257" s="2" t="s">
        <v>21</v>
      </c>
      <c r="I257" s="2" t="s">
        <v>16</v>
      </c>
      <c r="J257" s="44" t="s">
        <v>17</v>
      </c>
    </row>
    <row r="258" spans="1:10" x14ac:dyDescent="0.3">
      <c r="A258" s="43" t="s">
        <v>282</v>
      </c>
      <c r="B258" s="2" t="s">
        <v>11</v>
      </c>
      <c r="C258" s="2" t="s">
        <v>36</v>
      </c>
      <c r="D258" s="2">
        <v>3</v>
      </c>
      <c r="E258" s="2">
        <v>8080619526</v>
      </c>
      <c r="F258" s="2" t="s">
        <v>19</v>
      </c>
      <c r="G258" s="2" t="s">
        <v>20</v>
      </c>
      <c r="H258" s="2" t="s">
        <v>15</v>
      </c>
      <c r="I258" s="2" t="s">
        <v>27</v>
      </c>
      <c r="J258" s="44" t="s">
        <v>23</v>
      </c>
    </row>
    <row r="259" spans="1:10" x14ac:dyDescent="0.3">
      <c r="A259" s="43" t="s">
        <v>283</v>
      </c>
      <c r="B259" s="2" t="s">
        <v>32</v>
      </c>
      <c r="C259" s="2" t="s">
        <v>12</v>
      </c>
      <c r="D259" s="2">
        <v>7</v>
      </c>
      <c r="E259" s="2">
        <v>8523942137</v>
      </c>
      <c r="F259" s="2" t="s">
        <v>19</v>
      </c>
      <c r="G259" s="2" t="s">
        <v>20</v>
      </c>
      <c r="H259" s="2" t="s">
        <v>21</v>
      </c>
      <c r="I259" s="2" t="s">
        <v>22</v>
      </c>
      <c r="J259" s="44" t="s">
        <v>17</v>
      </c>
    </row>
    <row r="260" spans="1:10" x14ac:dyDescent="0.3">
      <c r="A260" s="43" t="s">
        <v>284</v>
      </c>
      <c r="B260" s="2" t="s">
        <v>35</v>
      </c>
      <c r="C260" s="2" t="s">
        <v>43</v>
      </c>
      <c r="D260" s="2">
        <v>1</v>
      </c>
      <c r="E260" s="2">
        <v>6880452593</v>
      </c>
      <c r="F260" s="2" t="s">
        <v>13</v>
      </c>
      <c r="G260" s="2" t="s">
        <v>20</v>
      </c>
      <c r="H260" s="2" t="s">
        <v>21</v>
      </c>
      <c r="I260" s="2" t="s">
        <v>41</v>
      </c>
      <c r="J260" s="44" t="s">
        <v>23</v>
      </c>
    </row>
    <row r="261" spans="1:10" x14ac:dyDescent="0.3">
      <c r="A261" s="43" t="s">
        <v>285</v>
      </c>
      <c r="B261" s="2" t="s">
        <v>25</v>
      </c>
      <c r="C261" s="2" t="s">
        <v>33</v>
      </c>
      <c r="D261" s="2">
        <v>5</v>
      </c>
      <c r="E261" s="2">
        <v>7528675887</v>
      </c>
      <c r="F261" s="2" t="s">
        <v>13</v>
      </c>
      <c r="G261" s="2" t="s">
        <v>14</v>
      </c>
      <c r="H261" s="2" t="s">
        <v>21</v>
      </c>
      <c r="I261" s="2" t="s">
        <v>37</v>
      </c>
      <c r="J261" s="44" t="s">
        <v>22</v>
      </c>
    </row>
    <row r="262" spans="1:10" x14ac:dyDescent="0.3">
      <c r="A262" s="43" t="s">
        <v>286</v>
      </c>
      <c r="B262" s="2" t="s">
        <v>32</v>
      </c>
      <c r="C262" s="2" t="s">
        <v>26</v>
      </c>
      <c r="D262" s="2">
        <v>7</v>
      </c>
      <c r="E262" s="2">
        <v>9975716753</v>
      </c>
      <c r="F262" s="2" t="s">
        <v>19</v>
      </c>
      <c r="G262" s="2" t="s">
        <v>20</v>
      </c>
      <c r="H262" s="2" t="s">
        <v>15</v>
      </c>
      <c r="I262" s="2" t="s">
        <v>37</v>
      </c>
      <c r="J262" s="44" t="s">
        <v>22</v>
      </c>
    </row>
    <row r="263" spans="1:10" x14ac:dyDescent="0.3">
      <c r="A263" s="43" t="s">
        <v>287</v>
      </c>
      <c r="B263" s="2" t="s">
        <v>25</v>
      </c>
      <c r="C263" s="2" t="s">
        <v>12</v>
      </c>
      <c r="D263" s="2">
        <v>5</v>
      </c>
      <c r="E263" s="2">
        <v>7782042637</v>
      </c>
      <c r="F263" s="2" t="s">
        <v>19</v>
      </c>
      <c r="G263" s="2" t="s">
        <v>14</v>
      </c>
      <c r="H263" s="2" t="s">
        <v>21</v>
      </c>
      <c r="I263" s="2" t="s">
        <v>41</v>
      </c>
      <c r="J263" s="44" t="s">
        <v>17</v>
      </c>
    </row>
    <row r="264" spans="1:10" x14ac:dyDescent="0.3">
      <c r="A264" s="43" t="s">
        <v>288</v>
      </c>
      <c r="B264" s="2" t="s">
        <v>11</v>
      </c>
      <c r="C264" s="2" t="s">
        <v>26</v>
      </c>
      <c r="D264" s="2">
        <v>3</v>
      </c>
      <c r="E264" s="2">
        <v>8200682061</v>
      </c>
      <c r="F264" s="2" t="s">
        <v>19</v>
      </c>
      <c r="G264" s="2" t="s">
        <v>20</v>
      </c>
      <c r="H264" s="2" t="s">
        <v>21</v>
      </c>
      <c r="I264" s="2" t="s">
        <v>22</v>
      </c>
      <c r="J264" s="44" t="s">
        <v>23</v>
      </c>
    </row>
    <row r="265" spans="1:10" x14ac:dyDescent="0.3">
      <c r="A265" s="43" t="s">
        <v>289</v>
      </c>
      <c r="B265" s="2" t="s">
        <v>25</v>
      </c>
      <c r="C265" s="2" t="s">
        <v>33</v>
      </c>
      <c r="D265" s="2">
        <v>5</v>
      </c>
      <c r="E265" s="2">
        <v>6951338106</v>
      </c>
      <c r="F265" s="2" t="s">
        <v>13</v>
      </c>
      <c r="G265" s="2" t="s">
        <v>20</v>
      </c>
      <c r="H265" s="2" t="s">
        <v>21</v>
      </c>
      <c r="I265" s="2" t="s">
        <v>22</v>
      </c>
      <c r="J265" s="44" t="s">
        <v>22</v>
      </c>
    </row>
    <row r="266" spans="1:10" x14ac:dyDescent="0.3">
      <c r="A266" s="43" t="s">
        <v>290</v>
      </c>
      <c r="B266" s="2" t="s">
        <v>35</v>
      </c>
      <c r="C266" s="2" t="s">
        <v>12</v>
      </c>
      <c r="D266" s="2">
        <v>1</v>
      </c>
      <c r="E266" s="2">
        <v>6934987009</v>
      </c>
      <c r="F266" s="2" t="s">
        <v>19</v>
      </c>
      <c r="G266" s="2" t="s">
        <v>20</v>
      </c>
      <c r="H266" s="2" t="s">
        <v>15</v>
      </c>
      <c r="I266" s="2" t="s">
        <v>22</v>
      </c>
      <c r="J266" s="44" t="s">
        <v>23</v>
      </c>
    </row>
    <row r="267" spans="1:10" x14ac:dyDescent="0.3">
      <c r="A267" s="43" t="s">
        <v>240</v>
      </c>
      <c r="B267" s="2" t="s">
        <v>35</v>
      </c>
      <c r="C267" s="2" t="s">
        <v>12</v>
      </c>
      <c r="D267" s="2">
        <v>1</v>
      </c>
      <c r="E267" s="2">
        <v>9886073664</v>
      </c>
      <c r="F267" s="2" t="s">
        <v>13</v>
      </c>
      <c r="G267" s="2" t="s">
        <v>20</v>
      </c>
      <c r="H267" s="2" t="s">
        <v>15</v>
      </c>
      <c r="I267" s="2" t="s">
        <v>22</v>
      </c>
      <c r="J267" s="44" t="s">
        <v>22</v>
      </c>
    </row>
    <row r="268" spans="1:10" x14ac:dyDescent="0.3">
      <c r="A268" s="43" t="s">
        <v>291</v>
      </c>
      <c r="B268" s="2" t="s">
        <v>32</v>
      </c>
      <c r="C268" s="2" t="s">
        <v>36</v>
      </c>
      <c r="D268" s="2">
        <v>7</v>
      </c>
      <c r="E268" s="2">
        <v>9013296970</v>
      </c>
      <c r="F268" s="2" t="s">
        <v>19</v>
      </c>
      <c r="G268" s="2" t="s">
        <v>20</v>
      </c>
      <c r="H268" s="2" t="s">
        <v>15</v>
      </c>
      <c r="I268" s="2" t="s">
        <v>16</v>
      </c>
      <c r="J268" s="44" t="s">
        <v>23</v>
      </c>
    </row>
    <row r="269" spans="1:10" x14ac:dyDescent="0.3">
      <c r="A269" s="43" t="s">
        <v>292</v>
      </c>
      <c r="B269" s="2" t="s">
        <v>25</v>
      </c>
      <c r="C269" s="2" t="s">
        <v>43</v>
      </c>
      <c r="D269" s="2">
        <v>5</v>
      </c>
      <c r="E269" s="2">
        <v>9239147624</v>
      </c>
      <c r="F269" s="2" t="s">
        <v>19</v>
      </c>
      <c r="G269" s="2" t="s">
        <v>14</v>
      </c>
      <c r="H269" s="2" t="s">
        <v>21</v>
      </c>
      <c r="I269" s="2" t="s">
        <v>41</v>
      </c>
      <c r="J269" s="44" t="s">
        <v>22</v>
      </c>
    </row>
    <row r="270" spans="1:10" x14ac:dyDescent="0.3">
      <c r="A270" s="43" t="s">
        <v>293</v>
      </c>
      <c r="B270" s="2" t="s">
        <v>32</v>
      </c>
      <c r="C270" s="2" t="s">
        <v>26</v>
      </c>
      <c r="D270" s="2">
        <v>7</v>
      </c>
      <c r="E270" s="2">
        <v>7453021693</v>
      </c>
      <c r="F270" s="2" t="s">
        <v>13</v>
      </c>
      <c r="G270" s="2" t="s">
        <v>20</v>
      </c>
      <c r="H270" s="2" t="s">
        <v>15</v>
      </c>
      <c r="I270" s="2" t="s">
        <v>29</v>
      </c>
      <c r="J270" s="44" t="s">
        <v>22</v>
      </c>
    </row>
    <row r="271" spans="1:10" x14ac:dyDescent="0.3">
      <c r="A271" s="43" t="s">
        <v>294</v>
      </c>
      <c r="B271" s="2" t="s">
        <v>25</v>
      </c>
      <c r="C271" s="2" t="s">
        <v>26</v>
      </c>
      <c r="D271" s="2">
        <v>5</v>
      </c>
      <c r="E271" s="2">
        <v>7315120205</v>
      </c>
      <c r="F271" s="2" t="s">
        <v>19</v>
      </c>
      <c r="G271" s="2" t="s">
        <v>14</v>
      </c>
      <c r="H271" s="2" t="s">
        <v>21</v>
      </c>
      <c r="I271" s="2" t="s">
        <v>22</v>
      </c>
      <c r="J271" s="44" t="s">
        <v>17</v>
      </c>
    </row>
    <row r="272" spans="1:10" x14ac:dyDescent="0.3">
      <c r="A272" s="43" t="s">
        <v>295</v>
      </c>
      <c r="B272" s="2" t="s">
        <v>35</v>
      </c>
      <c r="C272" s="2" t="s">
        <v>43</v>
      </c>
      <c r="D272" s="2">
        <v>1</v>
      </c>
      <c r="E272" s="2">
        <v>6653290332</v>
      </c>
      <c r="F272" s="2" t="s">
        <v>19</v>
      </c>
      <c r="G272" s="2" t="s">
        <v>14</v>
      </c>
      <c r="H272" s="2" t="s">
        <v>15</v>
      </c>
      <c r="I272" s="2" t="s">
        <v>37</v>
      </c>
      <c r="J272" s="44" t="s">
        <v>22</v>
      </c>
    </row>
    <row r="273" spans="1:10" x14ac:dyDescent="0.3">
      <c r="A273" s="43" t="s">
        <v>52</v>
      </c>
      <c r="B273" s="2" t="s">
        <v>32</v>
      </c>
      <c r="C273" s="2" t="s">
        <v>36</v>
      </c>
      <c r="D273" s="2">
        <v>7</v>
      </c>
      <c r="E273" s="2">
        <v>8933456313</v>
      </c>
      <c r="F273" s="2" t="s">
        <v>19</v>
      </c>
      <c r="G273" s="2" t="s">
        <v>14</v>
      </c>
      <c r="H273" s="2" t="s">
        <v>15</v>
      </c>
      <c r="I273" s="2" t="s">
        <v>16</v>
      </c>
      <c r="J273" s="44" t="s">
        <v>22</v>
      </c>
    </row>
    <row r="274" spans="1:10" x14ac:dyDescent="0.3">
      <c r="A274" s="43" t="s">
        <v>296</v>
      </c>
      <c r="B274" s="2" t="s">
        <v>11</v>
      </c>
      <c r="C274" s="2" t="s">
        <v>36</v>
      </c>
      <c r="D274" s="2">
        <v>3</v>
      </c>
      <c r="E274" s="2">
        <v>9012070733</v>
      </c>
      <c r="F274" s="2" t="s">
        <v>13</v>
      </c>
      <c r="G274" s="2" t="s">
        <v>20</v>
      </c>
      <c r="H274" s="2" t="s">
        <v>21</v>
      </c>
      <c r="I274" s="2" t="s">
        <v>22</v>
      </c>
      <c r="J274" s="44" t="s">
        <v>22</v>
      </c>
    </row>
    <row r="275" spans="1:10" x14ac:dyDescent="0.3">
      <c r="A275" s="43" t="s">
        <v>297</v>
      </c>
      <c r="B275" s="2" t="s">
        <v>32</v>
      </c>
      <c r="C275" s="2" t="s">
        <v>33</v>
      </c>
      <c r="D275" s="2">
        <v>7</v>
      </c>
      <c r="E275" s="2">
        <v>8780588741</v>
      </c>
      <c r="F275" s="2" t="s">
        <v>19</v>
      </c>
      <c r="G275" s="2" t="s">
        <v>20</v>
      </c>
      <c r="H275" s="2" t="s">
        <v>15</v>
      </c>
      <c r="I275" s="2" t="s">
        <v>22</v>
      </c>
      <c r="J275" s="44" t="s">
        <v>22</v>
      </c>
    </row>
    <row r="276" spans="1:10" x14ac:dyDescent="0.3">
      <c r="A276" s="43" t="s">
        <v>132</v>
      </c>
      <c r="B276" s="2" t="s">
        <v>35</v>
      </c>
      <c r="C276" s="2" t="s">
        <v>43</v>
      </c>
      <c r="D276" s="2">
        <v>1</v>
      </c>
      <c r="E276" s="2">
        <v>6873896121</v>
      </c>
      <c r="F276" s="2" t="s">
        <v>19</v>
      </c>
      <c r="G276" s="2" t="s">
        <v>20</v>
      </c>
      <c r="H276" s="2" t="s">
        <v>21</v>
      </c>
      <c r="I276" s="2" t="s">
        <v>27</v>
      </c>
      <c r="J276" s="44" t="s">
        <v>23</v>
      </c>
    </row>
    <row r="277" spans="1:10" x14ac:dyDescent="0.3">
      <c r="A277" s="43" t="s">
        <v>298</v>
      </c>
      <c r="B277" s="2" t="s">
        <v>25</v>
      </c>
      <c r="C277" s="2" t="s">
        <v>33</v>
      </c>
      <c r="D277" s="2">
        <v>5</v>
      </c>
      <c r="E277" s="2">
        <v>6175040360</v>
      </c>
      <c r="F277" s="2" t="s">
        <v>13</v>
      </c>
      <c r="G277" s="2" t="s">
        <v>14</v>
      </c>
      <c r="H277" s="2" t="s">
        <v>15</v>
      </c>
      <c r="I277" s="2" t="s">
        <v>22</v>
      </c>
      <c r="J277" s="44" t="s">
        <v>23</v>
      </c>
    </row>
    <row r="278" spans="1:10" x14ac:dyDescent="0.3">
      <c r="A278" s="43" t="s">
        <v>299</v>
      </c>
      <c r="B278" s="2" t="s">
        <v>25</v>
      </c>
      <c r="C278" s="2" t="s">
        <v>33</v>
      </c>
      <c r="D278" s="2">
        <v>5</v>
      </c>
      <c r="E278" s="2">
        <v>7833947819</v>
      </c>
      <c r="F278" s="2" t="s">
        <v>19</v>
      </c>
      <c r="G278" s="2" t="s">
        <v>14</v>
      </c>
      <c r="H278" s="2" t="s">
        <v>15</v>
      </c>
      <c r="I278" s="2" t="s">
        <v>16</v>
      </c>
      <c r="J278" s="44" t="s">
        <v>23</v>
      </c>
    </row>
    <row r="279" spans="1:10" x14ac:dyDescent="0.3">
      <c r="A279" s="43" t="s">
        <v>300</v>
      </c>
      <c r="B279" s="2" t="s">
        <v>25</v>
      </c>
      <c r="C279" s="2" t="s">
        <v>12</v>
      </c>
      <c r="D279" s="2">
        <v>5</v>
      </c>
      <c r="E279" s="2">
        <v>7508540175</v>
      </c>
      <c r="F279" s="2" t="s">
        <v>19</v>
      </c>
      <c r="G279" s="2" t="s">
        <v>20</v>
      </c>
      <c r="H279" s="2" t="s">
        <v>21</v>
      </c>
      <c r="I279" s="2" t="s">
        <v>29</v>
      </c>
      <c r="J279" s="44" t="s">
        <v>22</v>
      </c>
    </row>
    <row r="280" spans="1:10" x14ac:dyDescent="0.3">
      <c r="A280" s="43" t="s">
        <v>301</v>
      </c>
      <c r="B280" s="2" t="s">
        <v>32</v>
      </c>
      <c r="C280" s="2" t="s">
        <v>36</v>
      </c>
      <c r="D280" s="2">
        <v>7</v>
      </c>
      <c r="E280" s="2">
        <v>8022301658</v>
      </c>
      <c r="F280" s="2" t="s">
        <v>19</v>
      </c>
      <c r="G280" s="2" t="s">
        <v>20</v>
      </c>
      <c r="H280" s="2" t="s">
        <v>15</v>
      </c>
      <c r="I280" s="2" t="s">
        <v>22</v>
      </c>
      <c r="J280" s="44" t="s">
        <v>23</v>
      </c>
    </row>
    <row r="281" spans="1:10" x14ac:dyDescent="0.3">
      <c r="A281" s="43" t="s">
        <v>302</v>
      </c>
      <c r="B281" s="2" t="s">
        <v>25</v>
      </c>
      <c r="C281" s="2" t="s">
        <v>26</v>
      </c>
      <c r="D281" s="2">
        <v>5</v>
      </c>
      <c r="E281" s="2">
        <v>8843845156</v>
      </c>
      <c r="F281" s="2" t="s">
        <v>13</v>
      </c>
      <c r="G281" s="2" t="s">
        <v>20</v>
      </c>
      <c r="H281" s="2" t="s">
        <v>15</v>
      </c>
      <c r="I281" s="2" t="s">
        <v>27</v>
      </c>
      <c r="J281" s="44" t="s">
        <v>22</v>
      </c>
    </row>
    <row r="282" spans="1:10" x14ac:dyDescent="0.3">
      <c r="A282" s="43" t="s">
        <v>303</v>
      </c>
      <c r="B282" s="2" t="s">
        <v>25</v>
      </c>
      <c r="C282" s="2" t="s">
        <v>26</v>
      </c>
      <c r="D282" s="2">
        <v>5</v>
      </c>
      <c r="E282" s="2">
        <v>6539639903</v>
      </c>
      <c r="F282" s="2" t="s">
        <v>19</v>
      </c>
      <c r="G282" s="2" t="s">
        <v>14</v>
      </c>
      <c r="H282" s="2" t="s">
        <v>15</v>
      </c>
      <c r="I282" s="2" t="s">
        <v>22</v>
      </c>
      <c r="J282" s="44" t="s">
        <v>22</v>
      </c>
    </row>
    <row r="283" spans="1:10" x14ac:dyDescent="0.3">
      <c r="A283" s="43" t="s">
        <v>304</v>
      </c>
      <c r="B283" s="2" t="s">
        <v>11</v>
      </c>
      <c r="C283" s="2" t="s">
        <v>43</v>
      </c>
      <c r="D283" s="2">
        <v>3</v>
      </c>
      <c r="E283" s="2">
        <v>9219332602</v>
      </c>
      <c r="F283" s="2" t="s">
        <v>19</v>
      </c>
      <c r="G283" s="2" t="s">
        <v>20</v>
      </c>
      <c r="H283" s="2" t="s">
        <v>21</v>
      </c>
      <c r="I283" s="2" t="s">
        <v>29</v>
      </c>
      <c r="J283" s="44" t="s">
        <v>22</v>
      </c>
    </row>
    <row r="284" spans="1:10" x14ac:dyDescent="0.3">
      <c r="A284" s="43" t="s">
        <v>305</v>
      </c>
      <c r="B284" s="2" t="s">
        <v>25</v>
      </c>
      <c r="C284" s="2" t="s">
        <v>36</v>
      </c>
      <c r="D284" s="2">
        <v>5</v>
      </c>
      <c r="E284" s="2">
        <v>9250606038</v>
      </c>
      <c r="F284" s="2" t="s">
        <v>13</v>
      </c>
      <c r="G284" s="2" t="s">
        <v>14</v>
      </c>
      <c r="H284" s="2" t="s">
        <v>15</v>
      </c>
      <c r="I284" s="2" t="s">
        <v>37</v>
      </c>
      <c r="J284" s="44" t="s">
        <v>23</v>
      </c>
    </row>
    <row r="285" spans="1:10" x14ac:dyDescent="0.3">
      <c r="A285" s="43" t="s">
        <v>306</v>
      </c>
      <c r="B285" s="2" t="s">
        <v>32</v>
      </c>
      <c r="C285" s="2" t="s">
        <v>36</v>
      </c>
      <c r="D285" s="2">
        <v>7</v>
      </c>
      <c r="E285" s="2">
        <v>8751623627</v>
      </c>
      <c r="F285" s="2" t="s">
        <v>13</v>
      </c>
      <c r="G285" s="2" t="s">
        <v>14</v>
      </c>
      <c r="H285" s="2" t="s">
        <v>15</v>
      </c>
      <c r="I285" s="2" t="s">
        <v>16</v>
      </c>
      <c r="J285" s="44" t="s">
        <v>23</v>
      </c>
    </row>
    <row r="286" spans="1:10" x14ac:dyDescent="0.3">
      <c r="A286" s="43" t="s">
        <v>307</v>
      </c>
      <c r="B286" s="2" t="s">
        <v>11</v>
      </c>
      <c r="C286" s="2" t="s">
        <v>12</v>
      </c>
      <c r="D286" s="2">
        <v>3</v>
      </c>
      <c r="E286" s="2">
        <v>9581677026</v>
      </c>
      <c r="F286" s="2" t="s">
        <v>13</v>
      </c>
      <c r="G286" s="2" t="s">
        <v>14</v>
      </c>
      <c r="H286" s="2" t="s">
        <v>21</v>
      </c>
      <c r="I286" s="2" t="s">
        <v>22</v>
      </c>
      <c r="J286" s="44" t="s">
        <v>23</v>
      </c>
    </row>
    <row r="287" spans="1:10" x14ac:dyDescent="0.3">
      <c r="A287" s="43" t="s">
        <v>308</v>
      </c>
      <c r="B287" s="2" t="s">
        <v>35</v>
      </c>
      <c r="C287" s="2" t="s">
        <v>33</v>
      </c>
      <c r="D287" s="2">
        <v>1</v>
      </c>
      <c r="E287" s="2">
        <v>7591863235</v>
      </c>
      <c r="F287" s="2" t="s">
        <v>19</v>
      </c>
      <c r="G287" s="2" t="s">
        <v>20</v>
      </c>
      <c r="H287" s="2" t="s">
        <v>21</v>
      </c>
      <c r="I287" s="2" t="s">
        <v>22</v>
      </c>
      <c r="J287" s="44" t="s">
        <v>23</v>
      </c>
    </row>
    <row r="288" spans="1:10" x14ac:dyDescent="0.3">
      <c r="A288" s="43" t="s">
        <v>309</v>
      </c>
      <c r="B288" s="2" t="s">
        <v>11</v>
      </c>
      <c r="C288" s="2" t="s">
        <v>12</v>
      </c>
      <c r="D288" s="2">
        <v>3</v>
      </c>
      <c r="E288" s="2">
        <v>7571815436</v>
      </c>
      <c r="F288" s="2" t="s">
        <v>19</v>
      </c>
      <c r="G288" s="2" t="s">
        <v>14</v>
      </c>
      <c r="H288" s="2" t="s">
        <v>15</v>
      </c>
      <c r="I288" s="2" t="s">
        <v>22</v>
      </c>
      <c r="J288" s="44" t="s">
        <v>23</v>
      </c>
    </row>
    <row r="289" spans="1:10" x14ac:dyDescent="0.3">
      <c r="A289" s="43" t="s">
        <v>310</v>
      </c>
      <c r="B289" s="2" t="s">
        <v>35</v>
      </c>
      <c r="C289" s="2" t="s">
        <v>12</v>
      </c>
      <c r="D289" s="2">
        <v>1</v>
      </c>
      <c r="E289" s="2">
        <v>7820642372</v>
      </c>
      <c r="F289" s="2" t="s">
        <v>19</v>
      </c>
      <c r="G289" s="2" t="s">
        <v>14</v>
      </c>
      <c r="H289" s="2" t="s">
        <v>21</v>
      </c>
      <c r="I289" s="2" t="s">
        <v>37</v>
      </c>
      <c r="J289" s="44" t="s">
        <v>22</v>
      </c>
    </row>
    <row r="290" spans="1:10" x14ac:dyDescent="0.3">
      <c r="A290" s="43" t="s">
        <v>311</v>
      </c>
      <c r="B290" s="2" t="s">
        <v>35</v>
      </c>
      <c r="C290" s="2" t="s">
        <v>12</v>
      </c>
      <c r="D290" s="2">
        <v>1</v>
      </c>
      <c r="E290" s="2">
        <v>6214259466</v>
      </c>
      <c r="F290" s="2" t="s">
        <v>13</v>
      </c>
      <c r="G290" s="2" t="s">
        <v>14</v>
      </c>
      <c r="H290" s="2" t="s">
        <v>15</v>
      </c>
      <c r="I290" s="2" t="s">
        <v>22</v>
      </c>
      <c r="J290" s="44" t="s">
        <v>23</v>
      </c>
    </row>
    <row r="291" spans="1:10" x14ac:dyDescent="0.3">
      <c r="A291" s="43" t="s">
        <v>312</v>
      </c>
      <c r="B291" s="2" t="s">
        <v>32</v>
      </c>
      <c r="C291" s="2" t="s">
        <v>43</v>
      </c>
      <c r="D291" s="2">
        <v>7</v>
      </c>
      <c r="E291" s="2">
        <v>6138272229</v>
      </c>
      <c r="F291" s="2" t="s">
        <v>13</v>
      </c>
      <c r="G291" s="2" t="s">
        <v>20</v>
      </c>
      <c r="H291" s="2" t="s">
        <v>15</v>
      </c>
      <c r="I291" s="2" t="s">
        <v>29</v>
      </c>
      <c r="J291" s="44" t="s">
        <v>22</v>
      </c>
    </row>
    <row r="292" spans="1:10" x14ac:dyDescent="0.3">
      <c r="A292" s="43" t="s">
        <v>313</v>
      </c>
      <c r="B292" s="2" t="s">
        <v>32</v>
      </c>
      <c r="C292" s="2" t="s">
        <v>43</v>
      </c>
      <c r="D292" s="2">
        <v>7</v>
      </c>
      <c r="E292" s="2">
        <v>8808322626</v>
      </c>
      <c r="F292" s="2" t="s">
        <v>19</v>
      </c>
      <c r="G292" s="2" t="s">
        <v>14</v>
      </c>
      <c r="H292" s="2" t="s">
        <v>15</v>
      </c>
      <c r="I292" s="2" t="s">
        <v>16</v>
      </c>
      <c r="J292" s="44" t="s">
        <v>22</v>
      </c>
    </row>
    <row r="293" spans="1:10" x14ac:dyDescent="0.3">
      <c r="A293" s="43" t="s">
        <v>314</v>
      </c>
      <c r="B293" s="2" t="s">
        <v>35</v>
      </c>
      <c r="C293" s="2" t="s">
        <v>12</v>
      </c>
      <c r="D293" s="2">
        <v>1</v>
      </c>
      <c r="E293" s="2">
        <v>7224698432</v>
      </c>
      <c r="F293" s="2" t="s">
        <v>19</v>
      </c>
      <c r="G293" s="2" t="s">
        <v>14</v>
      </c>
      <c r="H293" s="2" t="s">
        <v>21</v>
      </c>
      <c r="I293" s="2" t="s">
        <v>41</v>
      </c>
      <c r="J293" s="44" t="s">
        <v>22</v>
      </c>
    </row>
    <row r="294" spans="1:10" x14ac:dyDescent="0.3">
      <c r="A294" s="43" t="s">
        <v>315</v>
      </c>
      <c r="B294" s="2" t="s">
        <v>32</v>
      </c>
      <c r="C294" s="2" t="s">
        <v>26</v>
      </c>
      <c r="D294" s="2">
        <v>7</v>
      </c>
      <c r="E294" s="2">
        <v>9222471765</v>
      </c>
      <c r="F294" s="2" t="s">
        <v>19</v>
      </c>
      <c r="G294" s="2" t="s">
        <v>20</v>
      </c>
      <c r="H294" s="2" t="s">
        <v>21</v>
      </c>
      <c r="I294" s="2" t="s">
        <v>37</v>
      </c>
      <c r="J294" s="44" t="s">
        <v>22</v>
      </c>
    </row>
    <row r="295" spans="1:10" x14ac:dyDescent="0.3">
      <c r="A295" s="43" t="s">
        <v>316</v>
      </c>
      <c r="B295" s="2" t="s">
        <v>32</v>
      </c>
      <c r="C295" s="2" t="s">
        <v>12</v>
      </c>
      <c r="D295" s="2">
        <v>7</v>
      </c>
      <c r="E295" s="2">
        <v>9631014275</v>
      </c>
      <c r="F295" s="2" t="s">
        <v>13</v>
      </c>
      <c r="G295" s="2" t="s">
        <v>20</v>
      </c>
      <c r="H295" s="2" t="s">
        <v>21</v>
      </c>
      <c r="I295" s="2" t="s">
        <v>29</v>
      </c>
      <c r="J295" s="44" t="s">
        <v>22</v>
      </c>
    </row>
    <row r="296" spans="1:10" x14ac:dyDescent="0.3">
      <c r="A296" s="43" t="s">
        <v>317</v>
      </c>
      <c r="B296" s="2" t="s">
        <v>11</v>
      </c>
      <c r="C296" s="2" t="s">
        <v>33</v>
      </c>
      <c r="D296" s="2">
        <v>3</v>
      </c>
      <c r="E296" s="2">
        <v>9017213082</v>
      </c>
      <c r="F296" s="2" t="s">
        <v>13</v>
      </c>
      <c r="G296" s="2" t="s">
        <v>20</v>
      </c>
      <c r="H296" s="2" t="s">
        <v>21</v>
      </c>
      <c r="I296" s="2" t="s">
        <v>22</v>
      </c>
      <c r="J296" s="44" t="s">
        <v>22</v>
      </c>
    </row>
    <row r="297" spans="1:10" x14ac:dyDescent="0.3">
      <c r="A297" s="43" t="s">
        <v>318</v>
      </c>
      <c r="B297" s="2" t="s">
        <v>32</v>
      </c>
      <c r="C297" s="2" t="s">
        <v>26</v>
      </c>
      <c r="D297" s="2">
        <v>7</v>
      </c>
      <c r="E297" s="2">
        <v>9585524674</v>
      </c>
      <c r="F297" s="2" t="s">
        <v>19</v>
      </c>
      <c r="G297" s="2" t="s">
        <v>20</v>
      </c>
      <c r="H297" s="2" t="s">
        <v>21</v>
      </c>
      <c r="I297" s="2" t="s">
        <v>22</v>
      </c>
      <c r="J297" s="44" t="s">
        <v>22</v>
      </c>
    </row>
    <row r="298" spans="1:10" x14ac:dyDescent="0.3">
      <c r="A298" s="43" t="s">
        <v>319</v>
      </c>
      <c r="B298" s="2" t="s">
        <v>35</v>
      </c>
      <c r="C298" s="2" t="s">
        <v>43</v>
      </c>
      <c r="D298" s="2">
        <v>1</v>
      </c>
      <c r="E298" s="2">
        <v>9319981861</v>
      </c>
      <c r="F298" s="2" t="s">
        <v>19</v>
      </c>
      <c r="G298" s="2" t="s">
        <v>20</v>
      </c>
      <c r="H298" s="2" t="s">
        <v>21</v>
      </c>
      <c r="I298" s="2" t="s">
        <v>41</v>
      </c>
      <c r="J298" s="44" t="s">
        <v>23</v>
      </c>
    </row>
    <row r="299" spans="1:10" x14ac:dyDescent="0.3">
      <c r="A299" s="43" t="s">
        <v>320</v>
      </c>
      <c r="B299" s="2" t="s">
        <v>25</v>
      </c>
      <c r="C299" s="2" t="s">
        <v>33</v>
      </c>
      <c r="D299" s="2">
        <v>5</v>
      </c>
      <c r="E299" s="2">
        <v>9041231436</v>
      </c>
      <c r="F299" s="2" t="s">
        <v>13</v>
      </c>
      <c r="G299" s="2" t="s">
        <v>14</v>
      </c>
      <c r="H299" s="2" t="s">
        <v>21</v>
      </c>
      <c r="I299" s="2" t="s">
        <v>37</v>
      </c>
      <c r="J299" s="44" t="s">
        <v>22</v>
      </c>
    </row>
    <row r="300" spans="1:10" x14ac:dyDescent="0.3">
      <c r="A300" s="43" t="s">
        <v>321</v>
      </c>
      <c r="B300" s="2" t="s">
        <v>35</v>
      </c>
      <c r="C300" s="2" t="s">
        <v>33</v>
      </c>
      <c r="D300" s="2">
        <v>1</v>
      </c>
      <c r="E300" s="2">
        <v>8565900630</v>
      </c>
      <c r="F300" s="2" t="s">
        <v>19</v>
      </c>
      <c r="G300" s="2" t="s">
        <v>14</v>
      </c>
      <c r="H300" s="2" t="s">
        <v>15</v>
      </c>
      <c r="I300" s="2" t="s">
        <v>37</v>
      </c>
      <c r="J300" s="44" t="s">
        <v>22</v>
      </c>
    </row>
    <row r="301" spans="1:10" x14ac:dyDescent="0.3">
      <c r="A301" s="43" t="s">
        <v>322</v>
      </c>
      <c r="B301" s="2" t="s">
        <v>32</v>
      </c>
      <c r="C301" s="2" t="s">
        <v>12</v>
      </c>
      <c r="D301" s="2">
        <v>7</v>
      </c>
      <c r="E301" s="2">
        <v>6909456424</v>
      </c>
      <c r="F301" s="2" t="s">
        <v>19</v>
      </c>
      <c r="G301" s="2" t="s">
        <v>20</v>
      </c>
      <c r="H301" s="2" t="s">
        <v>15</v>
      </c>
      <c r="I301" s="2" t="s">
        <v>16</v>
      </c>
      <c r="J301" s="44" t="s">
        <v>22</v>
      </c>
    </row>
    <row r="302" spans="1:10" x14ac:dyDescent="0.3">
      <c r="A302" s="43" t="s">
        <v>323</v>
      </c>
      <c r="B302" s="2" t="s">
        <v>11</v>
      </c>
      <c r="C302" s="2" t="s">
        <v>36</v>
      </c>
      <c r="D302" s="2">
        <v>3</v>
      </c>
      <c r="E302" s="2">
        <v>9985286187</v>
      </c>
      <c r="F302" s="2" t="s">
        <v>13</v>
      </c>
      <c r="G302" s="2" t="s">
        <v>14</v>
      </c>
      <c r="H302" s="2" t="s">
        <v>21</v>
      </c>
      <c r="I302" s="2" t="s">
        <v>22</v>
      </c>
      <c r="J302" s="44" t="s">
        <v>17</v>
      </c>
    </row>
    <row r="303" spans="1:10" x14ac:dyDescent="0.3">
      <c r="A303" s="43" t="s">
        <v>324</v>
      </c>
      <c r="B303" s="2" t="s">
        <v>32</v>
      </c>
      <c r="C303" s="2" t="s">
        <v>12</v>
      </c>
      <c r="D303" s="2">
        <v>7</v>
      </c>
      <c r="E303" s="2">
        <v>9950282483</v>
      </c>
      <c r="F303" s="2" t="s">
        <v>13</v>
      </c>
      <c r="G303" s="2" t="s">
        <v>20</v>
      </c>
      <c r="H303" s="2" t="s">
        <v>15</v>
      </c>
      <c r="I303" s="2" t="s">
        <v>29</v>
      </c>
      <c r="J303" s="44" t="s">
        <v>22</v>
      </c>
    </row>
    <row r="304" spans="1:10" x14ac:dyDescent="0.3">
      <c r="A304" s="43" t="s">
        <v>325</v>
      </c>
      <c r="B304" s="2" t="s">
        <v>25</v>
      </c>
      <c r="C304" s="2" t="s">
        <v>26</v>
      </c>
      <c r="D304" s="2">
        <v>5</v>
      </c>
      <c r="E304" s="2">
        <v>6501595760</v>
      </c>
      <c r="F304" s="2" t="s">
        <v>19</v>
      </c>
      <c r="G304" s="2" t="s">
        <v>20</v>
      </c>
      <c r="H304" s="2" t="s">
        <v>21</v>
      </c>
      <c r="I304" s="2" t="s">
        <v>37</v>
      </c>
      <c r="J304" s="44" t="s">
        <v>22</v>
      </c>
    </row>
    <row r="305" spans="1:10" x14ac:dyDescent="0.3">
      <c r="A305" s="43" t="s">
        <v>326</v>
      </c>
      <c r="B305" s="2" t="s">
        <v>35</v>
      </c>
      <c r="C305" s="2" t="s">
        <v>36</v>
      </c>
      <c r="D305" s="2">
        <v>1</v>
      </c>
      <c r="E305" s="2">
        <v>6491679736</v>
      </c>
      <c r="F305" s="2" t="s">
        <v>19</v>
      </c>
      <c r="G305" s="2" t="s">
        <v>20</v>
      </c>
      <c r="H305" s="2" t="s">
        <v>15</v>
      </c>
      <c r="I305" s="2" t="s">
        <v>22</v>
      </c>
      <c r="J305" s="44" t="s">
        <v>22</v>
      </c>
    </row>
    <row r="306" spans="1:10" x14ac:dyDescent="0.3">
      <c r="A306" s="43" t="s">
        <v>327</v>
      </c>
      <c r="B306" s="2" t="s">
        <v>11</v>
      </c>
      <c r="C306" s="2" t="s">
        <v>43</v>
      </c>
      <c r="D306" s="2">
        <v>3</v>
      </c>
      <c r="E306" s="2">
        <v>8170221149</v>
      </c>
      <c r="F306" s="2" t="s">
        <v>19</v>
      </c>
      <c r="G306" s="2" t="s">
        <v>20</v>
      </c>
      <c r="H306" s="2" t="s">
        <v>21</v>
      </c>
      <c r="I306" s="2" t="s">
        <v>37</v>
      </c>
      <c r="J306" s="44" t="s">
        <v>23</v>
      </c>
    </row>
    <row r="307" spans="1:10" x14ac:dyDescent="0.3">
      <c r="A307" s="43" t="s">
        <v>328</v>
      </c>
      <c r="B307" s="2" t="s">
        <v>35</v>
      </c>
      <c r="C307" s="2" t="s">
        <v>26</v>
      </c>
      <c r="D307" s="2">
        <v>1</v>
      </c>
      <c r="E307" s="2">
        <v>9419907098</v>
      </c>
      <c r="F307" s="2" t="s">
        <v>13</v>
      </c>
      <c r="G307" s="2" t="s">
        <v>14</v>
      </c>
      <c r="H307" s="2" t="s">
        <v>21</v>
      </c>
      <c r="I307" s="2" t="s">
        <v>41</v>
      </c>
      <c r="J307" s="44" t="s">
        <v>23</v>
      </c>
    </row>
    <row r="308" spans="1:10" x14ac:dyDescent="0.3">
      <c r="A308" s="43" t="s">
        <v>329</v>
      </c>
      <c r="B308" s="2" t="s">
        <v>35</v>
      </c>
      <c r="C308" s="2" t="s">
        <v>26</v>
      </c>
      <c r="D308" s="2">
        <v>1</v>
      </c>
      <c r="E308" s="2">
        <v>8231986838</v>
      </c>
      <c r="F308" s="2" t="s">
        <v>13</v>
      </c>
      <c r="G308" s="2" t="s">
        <v>14</v>
      </c>
      <c r="H308" s="2" t="s">
        <v>15</v>
      </c>
      <c r="I308" s="2" t="s">
        <v>22</v>
      </c>
      <c r="J308" s="44" t="s">
        <v>22</v>
      </c>
    </row>
    <row r="309" spans="1:10" x14ac:dyDescent="0.3">
      <c r="A309" s="43" t="s">
        <v>330</v>
      </c>
      <c r="B309" s="2" t="s">
        <v>11</v>
      </c>
      <c r="C309" s="2" t="s">
        <v>12</v>
      </c>
      <c r="D309" s="2">
        <v>3</v>
      </c>
      <c r="E309" s="2">
        <v>9015229272</v>
      </c>
      <c r="F309" s="2" t="s">
        <v>13</v>
      </c>
      <c r="G309" s="2" t="s">
        <v>14</v>
      </c>
      <c r="H309" s="2" t="s">
        <v>21</v>
      </c>
      <c r="I309" s="2" t="s">
        <v>41</v>
      </c>
      <c r="J309" s="44" t="s">
        <v>22</v>
      </c>
    </row>
    <row r="310" spans="1:10" x14ac:dyDescent="0.3">
      <c r="A310" s="43" t="s">
        <v>331</v>
      </c>
      <c r="B310" s="2" t="s">
        <v>35</v>
      </c>
      <c r="C310" s="2" t="s">
        <v>26</v>
      </c>
      <c r="D310" s="2">
        <v>1</v>
      </c>
      <c r="E310" s="2">
        <v>7589063584</v>
      </c>
      <c r="F310" s="2" t="s">
        <v>13</v>
      </c>
      <c r="G310" s="2" t="s">
        <v>14</v>
      </c>
      <c r="H310" s="2" t="s">
        <v>21</v>
      </c>
      <c r="I310" s="2" t="s">
        <v>22</v>
      </c>
      <c r="J310" s="44" t="s">
        <v>17</v>
      </c>
    </row>
    <row r="311" spans="1:10" x14ac:dyDescent="0.3">
      <c r="A311" s="43" t="s">
        <v>332</v>
      </c>
      <c r="B311" s="2" t="s">
        <v>32</v>
      </c>
      <c r="C311" s="2" t="s">
        <v>36</v>
      </c>
      <c r="D311" s="2">
        <v>7</v>
      </c>
      <c r="E311" s="2">
        <v>8885132052</v>
      </c>
      <c r="F311" s="2" t="s">
        <v>19</v>
      </c>
      <c r="G311" s="2" t="s">
        <v>20</v>
      </c>
      <c r="H311" s="2" t="s">
        <v>15</v>
      </c>
      <c r="I311" s="2" t="s">
        <v>41</v>
      </c>
      <c r="J311" s="44" t="s">
        <v>23</v>
      </c>
    </row>
    <row r="312" spans="1:10" x14ac:dyDescent="0.3">
      <c r="A312" s="43" t="s">
        <v>333</v>
      </c>
      <c r="B312" s="2" t="s">
        <v>32</v>
      </c>
      <c r="C312" s="2" t="s">
        <v>26</v>
      </c>
      <c r="D312" s="2">
        <v>7</v>
      </c>
      <c r="E312" s="2">
        <v>9703709139</v>
      </c>
      <c r="F312" s="2" t="s">
        <v>13</v>
      </c>
      <c r="G312" s="2" t="s">
        <v>20</v>
      </c>
      <c r="H312" s="2" t="s">
        <v>21</v>
      </c>
      <c r="I312" s="2" t="s">
        <v>41</v>
      </c>
      <c r="J312" s="44" t="s">
        <v>23</v>
      </c>
    </row>
    <row r="313" spans="1:10" x14ac:dyDescent="0.3">
      <c r="A313" s="43" t="s">
        <v>334</v>
      </c>
      <c r="B313" s="2" t="s">
        <v>32</v>
      </c>
      <c r="C313" s="2" t="s">
        <v>43</v>
      </c>
      <c r="D313" s="2">
        <v>7</v>
      </c>
      <c r="E313" s="2">
        <v>7901230518</v>
      </c>
      <c r="F313" s="2" t="s">
        <v>13</v>
      </c>
      <c r="G313" s="2" t="s">
        <v>20</v>
      </c>
      <c r="H313" s="2" t="s">
        <v>21</v>
      </c>
      <c r="I313" s="2" t="s">
        <v>29</v>
      </c>
      <c r="J313" s="44" t="s">
        <v>22</v>
      </c>
    </row>
    <row r="314" spans="1:10" x14ac:dyDescent="0.3">
      <c r="A314" s="43" t="s">
        <v>335</v>
      </c>
      <c r="B314" s="2" t="s">
        <v>35</v>
      </c>
      <c r="C314" s="2" t="s">
        <v>12</v>
      </c>
      <c r="D314" s="2">
        <v>1</v>
      </c>
      <c r="E314" s="2">
        <v>6881513688</v>
      </c>
      <c r="F314" s="2" t="s">
        <v>19</v>
      </c>
      <c r="G314" s="2" t="s">
        <v>14</v>
      </c>
      <c r="H314" s="2" t="s">
        <v>21</v>
      </c>
      <c r="I314" s="2" t="s">
        <v>22</v>
      </c>
      <c r="J314" s="44" t="s">
        <v>17</v>
      </c>
    </row>
    <row r="315" spans="1:10" x14ac:dyDescent="0.3">
      <c r="A315" s="43" t="s">
        <v>336</v>
      </c>
      <c r="B315" s="2" t="s">
        <v>25</v>
      </c>
      <c r="C315" s="2" t="s">
        <v>33</v>
      </c>
      <c r="D315" s="2">
        <v>5</v>
      </c>
      <c r="E315" s="2">
        <v>9108905407</v>
      </c>
      <c r="F315" s="2" t="s">
        <v>19</v>
      </c>
      <c r="G315" s="2" t="s">
        <v>14</v>
      </c>
      <c r="H315" s="2" t="s">
        <v>21</v>
      </c>
      <c r="I315" s="2" t="s">
        <v>41</v>
      </c>
      <c r="J315" s="44" t="s">
        <v>22</v>
      </c>
    </row>
    <row r="316" spans="1:10" x14ac:dyDescent="0.3">
      <c r="A316" s="43" t="s">
        <v>337</v>
      </c>
      <c r="B316" s="2" t="s">
        <v>35</v>
      </c>
      <c r="C316" s="2" t="s">
        <v>12</v>
      </c>
      <c r="D316" s="2">
        <v>1</v>
      </c>
      <c r="E316" s="2">
        <v>9382482365</v>
      </c>
      <c r="F316" s="2" t="s">
        <v>19</v>
      </c>
      <c r="G316" s="2" t="s">
        <v>14</v>
      </c>
      <c r="H316" s="2" t="s">
        <v>15</v>
      </c>
      <c r="I316" s="2" t="s">
        <v>22</v>
      </c>
      <c r="J316" s="44" t="s">
        <v>23</v>
      </c>
    </row>
    <row r="317" spans="1:10" x14ac:dyDescent="0.3">
      <c r="A317" s="43" t="s">
        <v>338</v>
      </c>
      <c r="B317" s="2" t="s">
        <v>32</v>
      </c>
      <c r="C317" s="2" t="s">
        <v>12</v>
      </c>
      <c r="D317" s="2">
        <v>7</v>
      </c>
      <c r="E317" s="2">
        <v>9176378136</v>
      </c>
      <c r="F317" s="2" t="s">
        <v>13</v>
      </c>
      <c r="G317" s="2" t="s">
        <v>14</v>
      </c>
      <c r="H317" s="2" t="s">
        <v>15</v>
      </c>
      <c r="I317" s="2" t="s">
        <v>22</v>
      </c>
      <c r="J317" s="44" t="s">
        <v>23</v>
      </c>
    </row>
    <row r="318" spans="1:10" x14ac:dyDescent="0.3">
      <c r="A318" s="43" t="s">
        <v>339</v>
      </c>
      <c r="B318" s="2" t="s">
        <v>11</v>
      </c>
      <c r="C318" s="2" t="s">
        <v>43</v>
      </c>
      <c r="D318" s="2">
        <v>3</v>
      </c>
      <c r="E318" s="2">
        <v>8357282905</v>
      </c>
      <c r="F318" s="2" t="s">
        <v>13</v>
      </c>
      <c r="G318" s="2" t="s">
        <v>20</v>
      </c>
      <c r="H318" s="2" t="s">
        <v>21</v>
      </c>
      <c r="I318" s="2" t="s">
        <v>22</v>
      </c>
      <c r="J318" s="44" t="s">
        <v>22</v>
      </c>
    </row>
    <row r="319" spans="1:10" x14ac:dyDescent="0.3">
      <c r="A319" s="43" t="s">
        <v>340</v>
      </c>
      <c r="B319" s="2" t="s">
        <v>35</v>
      </c>
      <c r="C319" s="2" t="s">
        <v>26</v>
      </c>
      <c r="D319" s="2">
        <v>1</v>
      </c>
      <c r="E319" s="2">
        <v>8487440378</v>
      </c>
      <c r="F319" s="2" t="s">
        <v>19</v>
      </c>
      <c r="G319" s="2" t="s">
        <v>20</v>
      </c>
      <c r="H319" s="2" t="s">
        <v>21</v>
      </c>
      <c r="I319" s="2" t="s">
        <v>22</v>
      </c>
      <c r="J319" s="44" t="s">
        <v>22</v>
      </c>
    </row>
    <row r="320" spans="1:10" x14ac:dyDescent="0.3">
      <c r="A320" s="43" t="s">
        <v>341</v>
      </c>
      <c r="B320" s="2" t="s">
        <v>35</v>
      </c>
      <c r="C320" s="2" t="s">
        <v>26</v>
      </c>
      <c r="D320" s="2">
        <v>1</v>
      </c>
      <c r="E320" s="2">
        <v>7801236636</v>
      </c>
      <c r="F320" s="2" t="s">
        <v>19</v>
      </c>
      <c r="G320" s="2" t="s">
        <v>20</v>
      </c>
      <c r="H320" s="2" t="s">
        <v>21</v>
      </c>
      <c r="I320" s="2" t="s">
        <v>27</v>
      </c>
      <c r="J320" s="44" t="s">
        <v>23</v>
      </c>
    </row>
    <row r="321" spans="1:10" x14ac:dyDescent="0.3">
      <c r="A321" s="43" t="s">
        <v>342</v>
      </c>
      <c r="B321" s="2" t="s">
        <v>11</v>
      </c>
      <c r="C321" s="2" t="s">
        <v>26</v>
      </c>
      <c r="D321" s="2">
        <v>3</v>
      </c>
      <c r="E321" s="2">
        <v>6887661013</v>
      </c>
      <c r="F321" s="2" t="s">
        <v>13</v>
      </c>
      <c r="G321" s="2" t="s">
        <v>20</v>
      </c>
      <c r="H321" s="2" t="s">
        <v>15</v>
      </c>
      <c r="I321" s="2" t="s">
        <v>37</v>
      </c>
      <c r="J321" s="44" t="s">
        <v>22</v>
      </c>
    </row>
    <row r="322" spans="1:10" x14ac:dyDescent="0.3">
      <c r="A322" s="43" t="s">
        <v>343</v>
      </c>
      <c r="B322" s="2" t="s">
        <v>35</v>
      </c>
      <c r="C322" s="2" t="s">
        <v>12</v>
      </c>
      <c r="D322" s="2">
        <v>1</v>
      </c>
      <c r="E322" s="2">
        <v>7819681315</v>
      </c>
      <c r="F322" s="2" t="s">
        <v>19</v>
      </c>
      <c r="G322" s="2" t="s">
        <v>14</v>
      </c>
      <c r="H322" s="2" t="s">
        <v>15</v>
      </c>
      <c r="I322" s="2" t="s">
        <v>41</v>
      </c>
      <c r="J322" s="44" t="s">
        <v>22</v>
      </c>
    </row>
    <row r="323" spans="1:10" x14ac:dyDescent="0.3">
      <c r="A323" s="43" t="s">
        <v>344</v>
      </c>
      <c r="B323" s="2" t="s">
        <v>32</v>
      </c>
      <c r="C323" s="2" t="s">
        <v>12</v>
      </c>
      <c r="D323" s="2">
        <v>7</v>
      </c>
      <c r="E323" s="2">
        <v>8087335119</v>
      </c>
      <c r="F323" s="2" t="s">
        <v>13</v>
      </c>
      <c r="G323" s="2" t="s">
        <v>20</v>
      </c>
      <c r="H323" s="2" t="s">
        <v>21</v>
      </c>
      <c r="I323" s="2" t="s">
        <v>16</v>
      </c>
      <c r="J323" s="44" t="s">
        <v>22</v>
      </c>
    </row>
    <row r="324" spans="1:10" x14ac:dyDescent="0.3">
      <c r="A324" s="43" t="s">
        <v>345</v>
      </c>
      <c r="B324" s="2" t="s">
        <v>25</v>
      </c>
      <c r="C324" s="2" t="s">
        <v>33</v>
      </c>
      <c r="D324" s="2">
        <v>5</v>
      </c>
      <c r="E324" s="2">
        <v>7241865784</v>
      </c>
      <c r="F324" s="2" t="s">
        <v>19</v>
      </c>
      <c r="G324" s="2" t="s">
        <v>14</v>
      </c>
      <c r="H324" s="2" t="s">
        <v>21</v>
      </c>
      <c r="I324" s="2" t="s">
        <v>27</v>
      </c>
      <c r="J324" s="44" t="s">
        <v>22</v>
      </c>
    </row>
    <row r="325" spans="1:10" x14ac:dyDescent="0.3">
      <c r="A325" s="43" t="s">
        <v>346</v>
      </c>
      <c r="B325" s="2" t="s">
        <v>25</v>
      </c>
      <c r="C325" s="2" t="s">
        <v>12</v>
      </c>
      <c r="D325" s="2">
        <v>5</v>
      </c>
      <c r="E325" s="2">
        <v>8607035304</v>
      </c>
      <c r="F325" s="2" t="s">
        <v>19</v>
      </c>
      <c r="G325" s="2" t="s">
        <v>20</v>
      </c>
      <c r="H325" s="2" t="s">
        <v>21</v>
      </c>
      <c r="I325" s="2" t="s">
        <v>27</v>
      </c>
      <c r="J325" s="44" t="s">
        <v>22</v>
      </c>
    </row>
    <row r="326" spans="1:10" x14ac:dyDescent="0.3">
      <c r="A326" s="43" t="s">
        <v>347</v>
      </c>
      <c r="B326" s="2" t="s">
        <v>32</v>
      </c>
      <c r="C326" s="2" t="s">
        <v>43</v>
      </c>
      <c r="D326" s="2">
        <v>7</v>
      </c>
      <c r="E326" s="2">
        <v>9360091103</v>
      </c>
      <c r="F326" s="2" t="s">
        <v>19</v>
      </c>
      <c r="G326" s="2" t="s">
        <v>20</v>
      </c>
      <c r="H326" s="2" t="s">
        <v>21</v>
      </c>
      <c r="I326" s="2" t="s">
        <v>16</v>
      </c>
      <c r="J326" s="44" t="s">
        <v>22</v>
      </c>
    </row>
    <row r="327" spans="1:10" x14ac:dyDescent="0.3">
      <c r="A327" s="43" t="s">
        <v>348</v>
      </c>
      <c r="B327" s="2" t="s">
        <v>32</v>
      </c>
      <c r="C327" s="2" t="s">
        <v>36</v>
      </c>
      <c r="D327" s="2">
        <v>7</v>
      </c>
      <c r="E327" s="2">
        <v>9935742634</v>
      </c>
      <c r="F327" s="2" t="s">
        <v>13</v>
      </c>
      <c r="G327" s="2" t="s">
        <v>14</v>
      </c>
      <c r="H327" s="2" t="s">
        <v>21</v>
      </c>
      <c r="I327" s="2" t="s">
        <v>22</v>
      </c>
      <c r="J327" s="44" t="s">
        <v>22</v>
      </c>
    </row>
    <row r="328" spans="1:10" x14ac:dyDescent="0.3">
      <c r="A328" s="43" t="s">
        <v>349</v>
      </c>
      <c r="B328" s="2" t="s">
        <v>32</v>
      </c>
      <c r="C328" s="2" t="s">
        <v>36</v>
      </c>
      <c r="D328" s="2">
        <v>7</v>
      </c>
      <c r="E328" s="2">
        <v>9330981780</v>
      </c>
      <c r="F328" s="2" t="s">
        <v>19</v>
      </c>
      <c r="G328" s="2" t="s">
        <v>20</v>
      </c>
      <c r="H328" s="2" t="s">
        <v>15</v>
      </c>
      <c r="I328" s="2" t="s">
        <v>22</v>
      </c>
      <c r="J328" s="44" t="s">
        <v>17</v>
      </c>
    </row>
    <row r="329" spans="1:10" x14ac:dyDescent="0.3">
      <c r="A329" s="43" t="s">
        <v>350</v>
      </c>
      <c r="B329" s="2" t="s">
        <v>25</v>
      </c>
      <c r="C329" s="2" t="s">
        <v>33</v>
      </c>
      <c r="D329" s="2">
        <v>5</v>
      </c>
      <c r="E329" s="2">
        <v>9655386925</v>
      </c>
      <c r="F329" s="2" t="s">
        <v>19</v>
      </c>
      <c r="G329" s="2" t="s">
        <v>20</v>
      </c>
      <c r="H329" s="2" t="s">
        <v>15</v>
      </c>
      <c r="I329" s="2" t="s">
        <v>22</v>
      </c>
      <c r="J329" s="44" t="s">
        <v>22</v>
      </c>
    </row>
    <row r="330" spans="1:10" x14ac:dyDescent="0.3">
      <c r="A330" s="43" t="s">
        <v>351</v>
      </c>
      <c r="B330" s="2" t="s">
        <v>11</v>
      </c>
      <c r="C330" s="2" t="s">
        <v>26</v>
      </c>
      <c r="D330" s="2">
        <v>3</v>
      </c>
      <c r="E330" s="2">
        <v>7748109259</v>
      </c>
      <c r="F330" s="2" t="s">
        <v>13</v>
      </c>
      <c r="G330" s="2" t="s">
        <v>20</v>
      </c>
      <c r="H330" s="2" t="s">
        <v>15</v>
      </c>
      <c r="I330" s="2" t="s">
        <v>41</v>
      </c>
      <c r="J330" s="44" t="s">
        <v>22</v>
      </c>
    </row>
    <row r="331" spans="1:10" x14ac:dyDescent="0.3">
      <c r="A331" s="43" t="s">
        <v>352</v>
      </c>
      <c r="B331" s="2" t="s">
        <v>35</v>
      </c>
      <c r="C331" s="2" t="s">
        <v>36</v>
      </c>
      <c r="D331" s="2">
        <v>1</v>
      </c>
      <c r="E331" s="2">
        <v>9957198283</v>
      </c>
      <c r="F331" s="2" t="s">
        <v>13</v>
      </c>
      <c r="G331" s="2" t="s">
        <v>20</v>
      </c>
      <c r="H331" s="2" t="s">
        <v>21</v>
      </c>
      <c r="I331" s="2" t="s">
        <v>22</v>
      </c>
      <c r="J331" s="44" t="s">
        <v>22</v>
      </c>
    </row>
    <row r="332" spans="1:10" x14ac:dyDescent="0.3">
      <c r="A332" s="43" t="s">
        <v>353</v>
      </c>
      <c r="B332" s="2" t="s">
        <v>25</v>
      </c>
      <c r="C332" s="2" t="s">
        <v>36</v>
      </c>
      <c r="D332" s="2">
        <v>5</v>
      </c>
      <c r="E332" s="2">
        <v>8940121225</v>
      </c>
      <c r="F332" s="2" t="s">
        <v>19</v>
      </c>
      <c r="G332" s="2" t="s">
        <v>14</v>
      </c>
      <c r="H332" s="2" t="s">
        <v>21</v>
      </c>
      <c r="I332" s="2" t="s">
        <v>29</v>
      </c>
      <c r="J332" s="44" t="s">
        <v>22</v>
      </c>
    </row>
    <row r="333" spans="1:10" x14ac:dyDescent="0.3">
      <c r="A333" s="43" t="s">
        <v>354</v>
      </c>
      <c r="B333" s="2" t="s">
        <v>25</v>
      </c>
      <c r="C333" s="2" t="s">
        <v>12</v>
      </c>
      <c r="D333" s="2">
        <v>5</v>
      </c>
      <c r="E333" s="2">
        <v>8782081790</v>
      </c>
      <c r="F333" s="2" t="s">
        <v>13</v>
      </c>
      <c r="G333" s="2" t="s">
        <v>20</v>
      </c>
      <c r="H333" s="2" t="s">
        <v>15</v>
      </c>
      <c r="I333" s="2" t="s">
        <v>22</v>
      </c>
      <c r="J333" s="44" t="s">
        <v>23</v>
      </c>
    </row>
    <row r="334" spans="1:10" x14ac:dyDescent="0.3">
      <c r="A334" s="43" t="s">
        <v>355</v>
      </c>
      <c r="B334" s="2" t="s">
        <v>35</v>
      </c>
      <c r="C334" s="2" t="s">
        <v>43</v>
      </c>
      <c r="D334" s="2">
        <v>1</v>
      </c>
      <c r="E334" s="2">
        <v>9576395488</v>
      </c>
      <c r="F334" s="2" t="s">
        <v>13</v>
      </c>
      <c r="G334" s="2" t="s">
        <v>20</v>
      </c>
      <c r="H334" s="2" t="s">
        <v>15</v>
      </c>
      <c r="I334" s="2" t="s">
        <v>22</v>
      </c>
      <c r="J334" s="44" t="s">
        <v>17</v>
      </c>
    </row>
    <row r="335" spans="1:10" x14ac:dyDescent="0.3">
      <c r="A335" s="43" t="s">
        <v>356</v>
      </c>
      <c r="B335" s="2" t="s">
        <v>11</v>
      </c>
      <c r="C335" s="2" t="s">
        <v>33</v>
      </c>
      <c r="D335" s="2">
        <v>3</v>
      </c>
      <c r="E335" s="2">
        <v>6505490679</v>
      </c>
      <c r="F335" s="2" t="s">
        <v>13</v>
      </c>
      <c r="G335" s="2" t="s">
        <v>20</v>
      </c>
      <c r="H335" s="2" t="s">
        <v>21</v>
      </c>
      <c r="I335" s="2" t="s">
        <v>22</v>
      </c>
      <c r="J335" s="44" t="s">
        <v>22</v>
      </c>
    </row>
    <row r="336" spans="1:10" x14ac:dyDescent="0.3">
      <c r="A336" s="43" t="s">
        <v>357</v>
      </c>
      <c r="B336" s="2" t="s">
        <v>35</v>
      </c>
      <c r="C336" s="2" t="s">
        <v>26</v>
      </c>
      <c r="D336" s="2">
        <v>1</v>
      </c>
      <c r="E336" s="2">
        <v>9284636166</v>
      </c>
      <c r="F336" s="2" t="s">
        <v>19</v>
      </c>
      <c r="G336" s="2" t="s">
        <v>20</v>
      </c>
      <c r="H336" s="2" t="s">
        <v>21</v>
      </c>
      <c r="I336" s="2" t="s">
        <v>41</v>
      </c>
      <c r="J336" s="44" t="s">
        <v>22</v>
      </c>
    </row>
    <row r="337" spans="1:10" x14ac:dyDescent="0.3">
      <c r="A337" s="43" t="s">
        <v>358</v>
      </c>
      <c r="B337" s="2" t="s">
        <v>11</v>
      </c>
      <c r="C337" s="2" t="s">
        <v>12</v>
      </c>
      <c r="D337" s="2">
        <v>3</v>
      </c>
      <c r="E337" s="2">
        <v>8762525544</v>
      </c>
      <c r="F337" s="2" t="s">
        <v>19</v>
      </c>
      <c r="G337" s="2" t="s">
        <v>20</v>
      </c>
      <c r="H337" s="2" t="s">
        <v>15</v>
      </c>
      <c r="I337" s="2" t="s">
        <v>41</v>
      </c>
      <c r="J337" s="44" t="s">
        <v>22</v>
      </c>
    </row>
    <row r="338" spans="1:10" x14ac:dyDescent="0.3">
      <c r="A338" s="43" t="s">
        <v>359</v>
      </c>
      <c r="B338" s="2" t="s">
        <v>35</v>
      </c>
      <c r="C338" s="2" t="s">
        <v>26</v>
      </c>
      <c r="D338" s="2">
        <v>1</v>
      </c>
      <c r="E338" s="2">
        <v>6274514568</v>
      </c>
      <c r="F338" s="2" t="s">
        <v>19</v>
      </c>
      <c r="G338" s="2" t="s">
        <v>14</v>
      </c>
      <c r="H338" s="2" t="s">
        <v>21</v>
      </c>
      <c r="I338" s="2" t="s">
        <v>29</v>
      </c>
      <c r="J338" s="44" t="s">
        <v>22</v>
      </c>
    </row>
    <row r="339" spans="1:10" x14ac:dyDescent="0.3">
      <c r="A339" s="43" t="s">
        <v>176</v>
      </c>
      <c r="B339" s="2" t="s">
        <v>32</v>
      </c>
      <c r="C339" s="2" t="s">
        <v>36</v>
      </c>
      <c r="D339" s="2">
        <v>7</v>
      </c>
      <c r="E339" s="2">
        <v>9799634476</v>
      </c>
      <c r="F339" s="2" t="s">
        <v>13</v>
      </c>
      <c r="G339" s="2" t="s">
        <v>20</v>
      </c>
      <c r="H339" s="2" t="s">
        <v>15</v>
      </c>
      <c r="I339" s="2" t="s">
        <v>41</v>
      </c>
      <c r="J339" s="44" t="s">
        <v>22</v>
      </c>
    </row>
    <row r="340" spans="1:10" x14ac:dyDescent="0.3">
      <c r="A340" s="43" t="s">
        <v>360</v>
      </c>
      <c r="B340" s="2" t="s">
        <v>25</v>
      </c>
      <c r="C340" s="2" t="s">
        <v>36</v>
      </c>
      <c r="D340" s="2">
        <v>5</v>
      </c>
      <c r="E340" s="2">
        <v>7310759000</v>
      </c>
      <c r="F340" s="2" t="s">
        <v>19</v>
      </c>
      <c r="G340" s="2" t="s">
        <v>20</v>
      </c>
      <c r="H340" s="2" t="s">
        <v>21</v>
      </c>
      <c r="I340" s="2" t="s">
        <v>22</v>
      </c>
      <c r="J340" s="44" t="s">
        <v>23</v>
      </c>
    </row>
    <row r="341" spans="1:10" x14ac:dyDescent="0.3">
      <c r="A341" s="43" t="s">
        <v>361</v>
      </c>
      <c r="B341" s="2" t="s">
        <v>35</v>
      </c>
      <c r="C341" s="2" t="s">
        <v>26</v>
      </c>
      <c r="D341" s="2">
        <v>1</v>
      </c>
      <c r="E341" s="2">
        <v>8980177303</v>
      </c>
      <c r="F341" s="2" t="s">
        <v>13</v>
      </c>
      <c r="G341" s="2" t="s">
        <v>20</v>
      </c>
      <c r="H341" s="2" t="s">
        <v>15</v>
      </c>
      <c r="I341" s="2" t="s">
        <v>27</v>
      </c>
      <c r="J341" s="44" t="s">
        <v>22</v>
      </c>
    </row>
    <row r="342" spans="1:10" x14ac:dyDescent="0.3">
      <c r="A342" s="43" t="s">
        <v>362</v>
      </c>
      <c r="B342" s="2" t="s">
        <v>35</v>
      </c>
      <c r="C342" s="2" t="s">
        <v>43</v>
      </c>
      <c r="D342" s="2">
        <v>1</v>
      </c>
      <c r="E342" s="2">
        <v>9377927796</v>
      </c>
      <c r="F342" s="2" t="s">
        <v>13</v>
      </c>
      <c r="G342" s="2" t="s">
        <v>20</v>
      </c>
      <c r="H342" s="2" t="s">
        <v>15</v>
      </c>
      <c r="I342" s="2" t="s">
        <v>27</v>
      </c>
      <c r="J342" s="44" t="s">
        <v>22</v>
      </c>
    </row>
    <row r="343" spans="1:10" x14ac:dyDescent="0.3">
      <c r="A343" s="43" t="s">
        <v>363</v>
      </c>
      <c r="B343" s="2" t="s">
        <v>35</v>
      </c>
      <c r="C343" s="2" t="s">
        <v>26</v>
      </c>
      <c r="D343" s="2">
        <v>1</v>
      </c>
      <c r="E343" s="2">
        <v>9292138042</v>
      </c>
      <c r="F343" s="2" t="s">
        <v>13</v>
      </c>
      <c r="G343" s="2" t="s">
        <v>14</v>
      </c>
      <c r="H343" s="2" t="s">
        <v>21</v>
      </c>
      <c r="I343" s="2" t="s">
        <v>29</v>
      </c>
      <c r="J343" s="44" t="s">
        <v>22</v>
      </c>
    </row>
    <row r="344" spans="1:10" x14ac:dyDescent="0.3">
      <c r="A344" s="43" t="s">
        <v>364</v>
      </c>
      <c r="B344" s="2" t="s">
        <v>25</v>
      </c>
      <c r="C344" s="2" t="s">
        <v>33</v>
      </c>
      <c r="D344" s="2">
        <v>5</v>
      </c>
      <c r="E344" s="2">
        <v>9790828308</v>
      </c>
      <c r="F344" s="2" t="s">
        <v>13</v>
      </c>
      <c r="G344" s="2" t="s">
        <v>20</v>
      </c>
      <c r="H344" s="2" t="s">
        <v>21</v>
      </c>
      <c r="I344" s="2" t="s">
        <v>22</v>
      </c>
      <c r="J344" s="44" t="s">
        <v>23</v>
      </c>
    </row>
    <row r="345" spans="1:10" x14ac:dyDescent="0.3">
      <c r="A345" s="43" t="s">
        <v>365</v>
      </c>
      <c r="B345" s="2" t="s">
        <v>32</v>
      </c>
      <c r="C345" s="2" t="s">
        <v>43</v>
      </c>
      <c r="D345" s="2">
        <v>7</v>
      </c>
      <c r="E345" s="2">
        <v>6163066985</v>
      </c>
      <c r="F345" s="2" t="s">
        <v>19</v>
      </c>
      <c r="G345" s="2" t="s">
        <v>14</v>
      </c>
      <c r="H345" s="2" t="s">
        <v>15</v>
      </c>
      <c r="I345" s="2" t="s">
        <v>27</v>
      </c>
      <c r="J345" s="44" t="s">
        <v>22</v>
      </c>
    </row>
    <row r="346" spans="1:10" x14ac:dyDescent="0.3">
      <c r="A346" s="43" t="s">
        <v>366</v>
      </c>
      <c r="B346" s="2" t="s">
        <v>35</v>
      </c>
      <c r="C346" s="2" t="s">
        <v>43</v>
      </c>
      <c r="D346" s="2">
        <v>1</v>
      </c>
      <c r="E346" s="2">
        <v>9133319189</v>
      </c>
      <c r="F346" s="2" t="s">
        <v>13</v>
      </c>
      <c r="G346" s="2" t="s">
        <v>14</v>
      </c>
      <c r="H346" s="2" t="s">
        <v>15</v>
      </c>
      <c r="I346" s="2" t="s">
        <v>22</v>
      </c>
      <c r="J346" s="44" t="s">
        <v>22</v>
      </c>
    </row>
    <row r="347" spans="1:10" x14ac:dyDescent="0.3">
      <c r="A347" s="43" t="s">
        <v>367</v>
      </c>
      <c r="B347" s="2" t="s">
        <v>32</v>
      </c>
      <c r="C347" s="2" t="s">
        <v>43</v>
      </c>
      <c r="D347" s="2">
        <v>7</v>
      </c>
      <c r="E347" s="2">
        <v>6532481726</v>
      </c>
      <c r="F347" s="2" t="s">
        <v>13</v>
      </c>
      <c r="G347" s="2" t="s">
        <v>14</v>
      </c>
      <c r="H347" s="2" t="s">
        <v>15</v>
      </c>
      <c r="I347" s="2" t="s">
        <v>22</v>
      </c>
      <c r="J347" s="44" t="s">
        <v>23</v>
      </c>
    </row>
    <row r="348" spans="1:10" x14ac:dyDescent="0.3">
      <c r="A348" s="43" t="s">
        <v>368</v>
      </c>
      <c r="B348" s="2" t="s">
        <v>32</v>
      </c>
      <c r="C348" s="2" t="s">
        <v>26</v>
      </c>
      <c r="D348" s="2">
        <v>7</v>
      </c>
      <c r="E348" s="2">
        <v>7216116614</v>
      </c>
      <c r="F348" s="2" t="s">
        <v>19</v>
      </c>
      <c r="G348" s="2" t="s">
        <v>14</v>
      </c>
      <c r="H348" s="2" t="s">
        <v>21</v>
      </c>
      <c r="I348" s="2" t="s">
        <v>22</v>
      </c>
      <c r="J348" s="44" t="s">
        <v>17</v>
      </c>
    </row>
    <row r="349" spans="1:10" x14ac:dyDescent="0.3">
      <c r="A349" s="43" t="s">
        <v>369</v>
      </c>
      <c r="B349" s="2" t="s">
        <v>35</v>
      </c>
      <c r="C349" s="2" t="s">
        <v>43</v>
      </c>
      <c r="D349" s="2">
        <v>1</v>
      </c>
      <c r="E349" s="2">
        <v>6222297119</v>
      </c>
      <c r="F349" s="2" t="s">
        <v>19</v>
      </c>
      <c r="G349" s="2" t="s">
        <v>14</v>
      </c>
      <c r="H349" s="2" t="s">
        <v>15</v>
      </c>
      <c r="I349" s="2" t="s">
        <v>27</v>
      </c>
      <c r="J349" s="44" t="s">
        <v>22</v>
      </c>
    </row>
    <row r="350" spans="1:10" x14ac:dyDescent="0.3">
      <c r="A350" s="43" t="s">
        <v>370</v>
      </c>
      <c r="B350" s="2" t="s">
        <v>11</v>
      </c>
      <c r="C350" s="2" t="s">
        <v>43</v>
      </c>
      <c r="D350" s="2">
        <v>3</v>
      </c>
      <c r="E350" s="2">
        <v>8846475206</v>
      </c>
      <c r="F350" s="2" t="s">
        <v>13</v>
      </c>
      <c r="G350" s="2" t="s">
        <v>14</v>
      </c>
      <c r="H350" s="2" t="s">
        <v>15</v>
      </c>
      <c r="I350" s="2" t="s">
        <v>22</v>
      </c>
      <c r="J350" s="44" t="s">
        <v>22</v>
      </c>
    </row>
    <row r="351" spans="1:10" x14ac:dyDescent="0.3">
      <c r="A351" s="43" t="s">
        <v>371</v>
      </c>
      <c r="B351" s="2" t="s">
        <v>35</v>
      </c>
      <c r="C351" s="2" t="s">
        <v>36</v>
      </c>
      <c r="D351" s="2">
        <v>1</v>
      </c>
      <c r="E351" s="2">
        <v>8203381060</v>
      </c>
      <c r="F351" s="2" t="s">
        <v>19</v>
      </c>
      <c r="G351" s="2" t="s">
        <v>20</v>
      </c>
      <c r="H351" s="2" t="s">
        <v>21</v>
      </c>
      <c r="I351" s="2" t="s">
        <v>37</v>
      </c>
      <c r="J351" s="44" t="s">
        <v>23</v>
      </c>
    </row>
    <row r="352" spans="1:10" x14ac:dyDescent="0.3">
      <c r="A352" s="43" t="s">
        <v>372</v>
      </c>
      <c r="B352" s="2" t="s">
        <v>11</v>
      </c>
      <c r="C352" s="2" t="s">
        <v>26</v>
      </c>
      <c r="D352" s="2">
        <v>3</v>
      </c>
      <c r="E352" s="2">
        <v>6564524489</v>
      </c>
      <c r="F352" s="2" t="s">
        <v>13</v>
      </c>
      <c r="G352" s="2" t="s">
        <v>14</v>
      </c>
      <c r="H352" s="2" t="s">
        <v>21</v>
      </c>
      <c r="I352" s="2" t="s">
        <v>22</v>
      </c>
      <c r="J352" s="44" t="s">
        <v>23</v>
      </c>
    </row>
    <row r="353" spans="1:10" x14ac:dyDescent="0.3">
      <c r="A353" s="43" t="s">
        <v>373</v>
      </c>
      <c r="B353" s="2" t="s">
        <v>11</v>
      </c>
      <c r="C353" s="2" t="s">
        <v>26</v>
      </c>
      <c r="D353" s="2">
        <v>3</v>
      </c>
      <c r="E353" s="2">
        <v>9702794458</v>
      </c>
      <c r="F353" s="2" t="s">
        <v>19</v>
      </c>
      <c r="G353" s="2" t="s">
        <v>14</v>
      </c>
      <c r="H353" s="2" t="s">
        <v>15</v>
      </c>
      <c r="I353" s="2" t="s">
        <v>37</v>
      </c>
      <c r="J353" s="44" t="s">
        <v>17</v>
      </c>
    </row>
    <row r="354" spans="1:10" x14ac:dyDescent="0.3">
      <c r="A354" s="43" t="s">
        <v>374</v>
      </c>
      <c r="B354" s="2" t="s">
        <v>35</v>
      </c>
      <c r="C354" s="2" t="s">
        <v>33</v>
      </c>
      <c r="D354" s="2">
        <v>1</v>
      </c>
      <c r="E354" s="2">
        <v>9197694366</v>
      </c>
      <c r="F354" s="2" t="s">
        <v>19</v>
      </c>
      <c r="G354" s="2" t="s">
        <v>14</v>
      </c>
      <c r="H354" s="2" t="s">
        <v>15</v>
      </c>
      <c r="I354" s="2" t="s">
        <v>41</v>
      </c>
      <c r="J354" s="44" t="s">
        <v>23</v>
      </c>
    </row>
    <row r="355" spans="1:10" x14ac:dyDescent="0.3">
      <c r="A355" s="43" t="s">
        <v>375</v>
      </c>
      <c r="B355" s="2" t="s">
        <v>32</v>
      </c>
      <c r="C355" s="2" t="s">
        <v>26</v>
      </c>
      <c r="D355" s="2">
        <v>7</v>
      </c>
      <c r="E355" s="2">
        <v>7882395101</v>
      </c>
      <c r="F355" s="2" t="s">
        <v>19</v>
      </c>
      <c r="G355" s="2" t="s">
        <v>14</v>
      </c>
      <c r="H355" s="2" t="s">
        <v>21</v>
      </c>
      <c r="I355" s="2" t="s">
        <v>16</v>
      </c>
      <c r="J355" s="44" t="s">
        <v>23</v>
      </c>
    </row>
    <row r="356" spans="1:10" x14ac:dyDescent="0.3">
      <c r="A356" s="43" t="s">
        <v>376</v>
      </c>
      <c r="B356" s="2" t="s">
        <v>11</v>
      </c>
      <c r="C356" s="2" t="s">
        <v>26</v>
      </c>
      <c r="D356" s="2">
        <v>3</v>
      </c>
      <c r="E356" s="2">
        <v>9878298998</v>
      </c>
      <c r="F356" s="2" t="s">
        <v>13</v>
      </c>
      <c r="G356" s="2" t="s">
        <v>14</v>
      </c>
      <c r="H356" s="2" t="s">
        <v>15</v>
      </c>
      <c r="I356" s="2" t="s">
        <v>22</v>
      </c>
      <c r="J356" s="44" t="s">
        <v>22</v>
      </c>
    </row>
    <row r="357" spans="1:10" x14ac:dyDescent="0.3">
      <c r="A357" s="43" t="s">
        <v>377</v>
      </c>
      <c r="B357" s="2" t="s">
        <v>35</v>
      </c>
      <c r="C357" s="2" t="s">
        <v>12</v>
      </c>
      <c r="D357" s="2">
        <v>1</v>
      </c>
      <c r="E357" s="2">
        <v>7321579557</v>
      </c>
      <c r="F357" s="2" t="s">
        <v>19</v>
      </c>
      <c r="G357" s="2" t="s">
        <v>20</v>
      </c>
      <c r="H357" s="2" t="s">
        <v>15</v>
      </c>
      <c r="I357" s="2" t="s">
        <v>22</v>
      </c>
      <c r="J357" s="44" t="s">
        <v>17</v>
      </c>
    </row>
    <row r="358" spans="1:10" x14ac:dyDescent="0.3">
      <c r="A358" s="43" t="s">
        <v>378</v>
      </c>
      <c r="B358" s="2" t="s">
        <v>25</v>
      </c>
      <c r="C358" s="2" t="s">
        <v>43</v>
      </c>
      <c r="D358" s="2">
        <v>5</v>
      </c>
      <c r="E358" s="2">
        <v>9319351231</v>
      </c>
      <c r="F358" s="2" t="s">
        <v>13</v>
      </c>
      <c r="G358" s="2" t="s">
        <v>20</v>
      </c>
      <c r="H358" s="2" t="s">
        <v>15</v>
      </c>
      <c r="I358" s="2" t="s">
        <v>29</v>
      </c>
      <c r="J358" s="44" t="s">
        <v>17</v>
      </c>
    </row>
    <row r="359" spans="1:10" x14ac:dyDescent="0.3">
      <c r="A359" s="43" t="s">
        <v>379</v>
      </c>
      <c r="B359" s="2" t="s">
        <v>25</v>
      </c>
      <c r="C359" s="2" t="s">
        <v>26</v>
      </c>
      <c r="D359" s="2">
        <v>5</v>
      </c>
      <c r="E359" s="2">
        <v>8854114255</v>
      </c>
      <c r="F359" s="2" t="s">
        <v>19</v>
      </c>
      <c r="G359" s="2" t="s">
        <v>14</v>
      </c>
      <c r="H359" s="2" t="s">
        <v>21</v>
      </c>
      <c r="I359" s="2" t="s">
        <v>22</v>
      </c>
      <c r="J359" s="44" t="s">
        <v>23</v>
      </c>
    </row>
    <row r="360" spans="1:10" x14ac:dyDescent="0.3">
      <c r="A360" s="43" t="s">
        <v>380</v>
      </c>
      <c r="B360" s="2" t="s">
        <v>25</v>
      </c>
      <c r="C360" s="2" t="s">
        <v>43</v>
      </c>
      <c r="D360" s="2">
        <v>5</v>
      </c>
      <c r="E360" s="2">
        <v>8487251900</v>
      </c>
      <c r="F360" s="2" t="s">
        <v>13</v>
      </c>
      <c r="G360" s="2" t="s">
        <v>20</v>
      </c>
      <c r="H360" s="2" t="s">
        <v>21</v>
      </c>
      <c r="I360" s="2" t="s">
        <v>22</v>
      </c>
      <c r="J360" s="44" t="s">
        <v>17</v>
      </c>
    </row>
    <row r="361" spans="1:10" x14ac:dyDescent="0.3">
      <c r="A361" s="43" t="s">
        <v>381</v>
      </c>
      <c r="B361" s="2" t="s">
        <v>25</v>
      </c>
      <c r="C361" s="2" t="s">
        <v>26</v>
      </c>
      <c r="D361" s="2">
        <v>5</v>
      </c>
      <c r="E361" s="2">
        <v>9557479819</v>
      </c>
      <c r="F361" s="2" t="s">
        <v>13</v>
      </c>
      <c r="G361" s="2" t="s">
        <v>20</v>
      </c>
      <c r="H361" s="2" t="s">
        <v>15</v>
      </c>
      <c r="I361" s="2" t="s">
        <v>41</v>
      </c>
      <c r="J361" s="44" t="s">
        <v>17</v>
      </c>
    </row>
    <row r="362" spans="1:10" x14ac:dyDescent="0.3">
      <c r="A362" s="43" t="s">
        <v>382</v>
      </c>
      <c r="B362" s="2" t="s">
        <v>25</v>
      </c>
      <c r="C362" s="2" t="s">
        <v>36</v>
      </c>
      <c r="D362" s="2">
        <v>5</v>
      </c>
      <c r="E362" s="2">
        <v>6041006304</v>
      </c>
      <c r="F362" s="2" t="s">
        <v>13</v>
      </c>
      <c r="G362" s="2" t="s">
        <v>14</v>
      </c>
      <c r="H362" s="2" t="s">
        <v>21</v>
      </c>
      <c r="I362" s="2" t="s">
        <v>22</v>
      </c>
      <c r="J362" s="44" t="s">
        <v>22</v>
      </c>
    </row>
    <row r="363" spans="1:10" x14ac:dyDescent="0.3">
      <c r="A363" s="43" t="s">
        <v>383</v>
      </c>
      <c r="B363" s="2" t="s">
        <v>11</v>
      </c>
      <c r="C363" s="2" t="s">
        <v>33</v>
      </c>
      <c r="D363" s="2">
        <v>3</v>
      </c>
      <c r="E363" s="2">
        <v>9691792161</v>
      </c>
      <c r="F363" s="2" t="s">
        <v>19</v>
      </c>
      <c r="G363" s="2" t="s">
        <v>14</v>
      </c>
      <c r="H363" s="2" t="s">
        <v>21</v>
      </c>
      <c r="I363" s="2" t="s">
        <v>27</v>
      </c>
      <c r="J363" s="44" t="s">
        <v>22</v>
      </c>
    </row>
    <row r="364" spans="1:10" x14ac:dyDescent="0.3">
      <c r="A364" s="43" t="s">
        <v>384</v>
      </c>
      <c r="B364" s="2" t="s">
        <v>35</v>
      </c>
      <c r="C364" s="2" t="s">
        <v>26</v>
      </c>
      <c r="D364" s="2">
        <v>1</v>
      </c>
      <c r="E364" s="2">
        <v>9755508431</v>
      </c>
      <c r="F364" s="2" t="s">
        <v>19</v>
      </c>
      <c r="G364" s="2" t="s">
        <v>20</v>
      </c>
      <c r="H364" s="2" t="s">
        <v>21</v>
      </c>
      <c r="I364" s="2" t="s">
        <v>37</v>
      </c>
      <c r="J364" s="44" t="s">
        <v>23</v>
      </c>
    </row>
    <row r="365" spans="1:10" x14ac:dyDescent="0.3">
      <c r="A365" s="43" t="s">
        <v>385</v>
      </c>
      <c r="B365" s="2" t="s">
        <v>11</v>
      </c>
      <c r="C365" s="2" t="s">
        <v>36</v>
      </c>
      <c r="D365" s="2">
        <v>3</v>
      </c>
      <c r="E365" s="2">
        <v>9537716519</v>
      </c>
      <c r="F365" s="2" t="s">
        <v>13</v>
      </c>
      <c r="G365" s="2" t="s">
        <v>20</v>
      </c>
      <c r="H365" s="2" t="s">
        <v>21</v>
      </c>
      <c r="I365" s="2" t="s">
        <v>29</v>
      </c>
      <c r="J365" s="44" t="s">
        <v>17</v>
      </c>
    </row>
    <row r="366" spans="1:10" x14ac:dyDescent="0.3">
      <c r="A366" s="43" t="s">
        <v>386</v>
      </c>
      <c r="B366" s="2" t="s">
        <v>32</v>
      </c>
      <c r="C366" s="2" t="s">
        <v>36</v>
      </c>
      <c r="D366" s="2">
        <v>7</v>
      </c>
      <c r="E366" s="2">
        <v>9720218003</v>
      </c>
      <c r="F366" s="2" t="s">
        <v>13</v>
      </c>
      <c r="G366" s="2" t="s">
        <v>20</v>
      </c>
      <c r="H366" s="2" t="s">
        <v>21</v>
      </c>
      <c r="I366" s="2" t="s">
        <v>37</v>
      </c>
      <c r="J366" s="44" t="s">
        <v>22</v>
      </c>
    </row>
    <row r="367" spans="1:10" x14ac:dyDescent="0.3">
      <c r="A367" s="43" t="s">
        <v>387</v>
      </c>
      <c r="B367" s="2" t="s">
        <v>32</v>
      </c>
      <c r="C367" s="2" t="s">
        <v>26</v>
      </c>
      <c r="D367" s="2">
        <v>7</v>
      </c>
      <c r="E367" s="2">
        <v>8780053545</v>
      </c>
      <c r="F367" s="2" t="s">
        <v>13</v>
      </c>
      <c r="G367" s="2" t="s">
        <v>20</v>
      </c>
      <c r="H367" s="2" t="s">
        <v>21</v>
      </c>
      <c r="I367" s="2" t="s">
        <v>16</v>
      </c>
      <c r="J367" s="44" t="s">
        <v>23</v>
      </c>
    </row>
    <row r="368" spans="1:10" x14ac:dyDescent="0.3">
      <c r="A368" s="43" t="s">
        <v>388</v>
      </c>
      <c r="B368" s="2" t="s">
        <v>25</v>
      </c>
      <c r="C368" s="2" t="s">
        <v>43</v>
      </c>
      <c r="D368" s="2">
        <v>5</v>
      </c>
      <c r="E368" s="2">
        <v>6978398514</v>
      </c>
      <c r="F368" s="2" t="s">
        <v>13</v>
      </c>
      <c r="G368" s="2" t="s">
        <v>20</v>
      </c>
      <c r="H368" s="2" t="s">
        <v>15</v>
      </c>
      <c r="I368" s="2" t="s">
        <v>29</v>
      </c>
      <c r="J368" s="44" t="s">
        <v>17</v>
      </c>
    </row>
    <row r="369" spans="1:10" x14ac:dyDescent="0.3">
      <c r="A369" s="43" t="s">
        <v>389</v>
      </c>
      <c r="B369" s="2" t="s">
        <v>11</v>
      </c>
      <c r="C369" s="2" t="s">
        <v>26</v>
      </c>
      <c r="D369" s="2">
        <v>3</v>
      </c>
      <c r="E369" s="2">
        <v>8261889901</v>
      </c>
      <c r="F369" s="2" t="s">
        <v>19</v>
      </c>
      <c r="G369" s="2" t="s">
        <v>20</v>
      </c>
      <c r="H369" s="2" t="s">
        <v>15</v>
      </c>
      <c r="I369" s="2" t="s">
        <v>29</v>
      </c>
      <c r="J369" s="44" t="s">
        <v>23</v>
      </c>
    </row>
    <row r="370" spans="1:10" x14ac:dyDescent="0.3">
      <c r="A370" s="43" t="s">
        <v>390</v>
      </c>
      <c r="B370" s="2" t="s">
        <v>11</v>
      </c>
      <c r="C370" s="2" t="s">
        <v>36</v>
      </c>
      <c r="D370" s="2">
        <v>3</v>
      </c>
      <c r="E370" s="2">
        <v>9759899733</v>
      </c>
      <c r="F370" s="2" t="s">
        <v>13</v>
      </c>
      <c r="G370" s="2" t="s">
        <v>14</v>
      </c>
      <c r="H370" s="2" t="s">
        <v>21</v>
      </c>
      <c r="I370" s="2" t="s">
        <v>22</v>
      </c>
      <c r="J370" s="44" t="s">
        <v>22</v>
      </c>
    </row>
    <row r="371" spans="1:10" x14ac:dyDescent="0.3">
      <c r="A371" s="43" t="s">
        <v>391</v>
      </c>
      <c r="B371" s="2" t="s">
        <v>25</v>
      </c>
      <c r="C371" s="2" t="s">
        <v>12</v>
      </c>
      <c r="D371" s="2">
        <v>5</v>
      </c>
      <c r="E371" s="2">
        <v>6357350529</v>
      </c>
      <c r="F371" s="2" t="s">
        <v>13</v>
      </c>
      <c r="G371" s="2" t="s">
        <v>14</v>
      </c>
      <c r="H371" s="2" t="s">
        <v>21</v>
      </c>
      <c r="I371" s="2" t="s">
        <v>27</v>
      </c>
      <c r="J371" s="44" t="s">
        <v>23</v>
      </c>
    </row>
    <row r="372" spans="1:10" x14ac:dyDescent="0.3">
      <c r="A372" s="43" t="s">
        <v>392</v>
      </c>
      <c r="B372" s="2" t="s">
        <v>32</v>
      </c>
      <c r="C372" s="2" t="s">
        <v>43</v>
      </c>
      <c r="D372" s="2">
        <v>7</v>
      </c>
      <c r="E372" s="2">
        <v>7774394963</v>
      </c>
      <c r="F372" s="2" t="s">
        <v>13</v>
      </c>
      <c r="G372" s="2" t="s">
        <v>14</v>
      </c>
      <c r="H372" s="2" t="s">
        <v>15</v>
      </c>
      <c r="I372" s="2" t="s">
        <v>22</v>
      </c>
      <c r="J372" s="44" t="s">
        <v>23</v>
      </c>
    </row>
    <row r="373" spans="1:10" x14ac:dyDescent="0.3">
      <c r="A373" s="43" t="s">
        <v>393</v>
      </c>
      <c r="B373" s="2" t="s">
        <v>11</v>
      </c>
      <c r="C373" s="2" t="s">
        <v>26</v>
      </c>
      <c r="D373" s="2">
        <v>3</v>
      </c>
      <c r="E373" s="2">
        <v>6410931184</v>
      </c>
      <c r="F373" s="2" t="s">
        <v>13</v>
      </c>
      <c r="G373" s="2" t="s">
        <v>20</v>
      </c>
      <c r="H373" s="2" t="s">
        <v>15</v>
      </c>
      <c r="I373" s="2" t="s">
        <v>27</v>
      </c>
      <c r="J373" s="44" t="s">
        <v>23</v>
      </c>
    </row>
    <row r="374" spans="1:10" x14ac:dyDescent="0.3">
      <c r="A374" s="43" t="s">
        <v>272</v>
      </c>
      <c r="B374" s="2" t="s">
        <v>11</v>
      </c>
      <c r="C374" s="2" t="s">
        <v>36</v>
      </c>
      <c r="D374" s="2">
        <v>3</v>
      </c>
      <c r="E374" s="2">
        <v>8777180060</v>
      </c>
      <c r="F374" s="2" t="s">
        <v>13</v>
      </c>
      <c r="G374" s="2" t="s">
        <v>14</v>
      </c>
      <c r="H374" s="2" t="s">
        <v>21</v>
      </c>
      <c r="I374" s="2" t="s">
        <v>41</v>
      </c>
      <c r="J374" s="44" t="s">
        <v>23</v>
      </c>
    </row>
    <row r="375" spans="1:10" x14ac:dyDescent="0.3">
      <c r="A375" s="43" t="s">
        <v>394</v>
      </c>
      <c r="B375" s="2" t="s">
        <v>11</v>
      </c>
      <c r="C375" s="2" t="s">
        <v>33</v>
      </c>
      <c r="D375" s="2">
        <v>3</v>
      </c>
      <c r="E375" s="2">
        <v>9416409051</v>
      </c>
      <c r="F375" s="2" t="s">
        <v>13</v>
      </c>
      <c r="G375" s="2" t="s">
        <v>20</v>
      </c>
      <c r="H375" s="2" t="s">
        <v>21</v>
      </c>
      <c r="I375" s="2" t="s">
        <v>22</v>
      </c>
      <c r="J375" s="44" t="s">
        <v>22</v>
      </c>
    </row>
    <row r="376" spans="1:10" x14ac:dyDescent="0.3">
      <c r="A376" s="43" t="s">
        <v>395</v>
      </c>
      <c r="B376" s="2" t="s">
        <v>32</v>
      </c>
      <c r="C376" s="2" t="s">
        <v>26</v>
      </c>
      <c r="D376" s="2">
        <v>7</v>
      </c>
      <c r="E376" s="2">
        <v>6798462618</v>
      </c>
      <c r="F376" s="2" t="s">
        <v>19</v>
      </c>
      <c r="G376" s="2" t="s">
        <v>20</v>
      </c>
      <c r="H376" s="2" t="s">
        <v>21</v>
      </c>
      <c r="I376" s="2" t="s">
        <v>22</v>
      </c>
      <c r="J376" s="44" t="s">
        <v>17</v>
      </c>
    </row>
    <row r="377" spans="1:10" x14ac:dyDescent="0.3">
      <c r="A377" s="43" t="s">
        <v>396</v>
      </c>
      <c r="B377" s="2" t="s">
        <v>11</v>
      </c>
      <c r="C377" s="2" t="s">
        <v>43</v>
      </c>
      <c r="D377" s="2">
        <v>3</v>
      </c>
      <c r="E377" s="2">
        <v>9629823068</v>
      </c>
      <c r="F377" s="2" t="s">
        <v>19</v>
      </c>
      <c r="G377" s="2" t="s">
        <v>20</v>
      </c>
      <c r="H377" s="2" t="s">
        <v>21</v>
      </c>
      <c r="I377" s="2" t="s">
        <v>41</v>
      </c>
      <c r="J377" s="44" t="s">
        <v>22</v>
      </c>
    </row>
    <row r="378" spans="1:10" x14ac:dyDescent="0.3">
      <c r="A378" s="43" t="s">
        <v>397</v>
      </c>
      <c r="B378" s="2" t="s">
        <v>25</v>
      </c>
      <c r="C378" s="2" t="s">
        <v>26</v>
      </c>
      <c r="D378" s="2">
        <v>5</v>
      </c>
      <c r="E378" s="2">
        <v>7228048436</v>
      </c>
      <c r="F378" s="2" t="s">
        <v>19</v>
      </c>
      <c r="G378" s="2" t="s">
        <v>20</v>
      </c>
      <c r="H378" s="2" t="s">
        <v>21</v>
      </c>
      <c r="I378" s="2" t="s">
        <v>22</v>
      </c>
      <c r="J378" s="44" t="s">
        <v>23</v>
      </c>
    </row>
    <row r="379" spans="1:10" x14ac:dyDescent="0.3">
      <c r="A379" s="43" t="s">
        <v>398</v>
      </c>
      <c r="B379" s="2" t="s">
        <v>25</v>
      </c>
      <c r="C379" s="2" t="s">
        <v>26</v>
      </c>
      <c r="D379" s="2">
        <v>5</v>
      </c>
      <c r="E379" s="2">
        <v>8130968865</v>
      </c>
      <c r="F379" s="2" t="s">
        <v>19</v>
      </c>
      <c r="G379" s="2" t="s">
        <v>14</v>
      </c>
      <c r="H379" s="2" t="s">
        <v>15</v>
      </c>
      <c r="I379" s="2" t="s">
        <v>37</v>
      </c>
      <c r="J379" s="44" t="s">
        <v>23</v>
      </c>
    </row>
    <row r="380" spans="1:10" x14ac:dyDescent="0.3">
      <c r="A380" s="43" t="s">
        <v>399</v>
      </c>
      <c r="B380" s="2" t="s">
        <v>25</v>
      </c>
      <c r="C380" s="2" t="s">
        <v>36</v>
      </c>
      <c r="D380" s="2">
        <v>5</v>
      </c>
      <c r="E380" s="2">
        <v>9760540447</v>
      </c>
      <c r="F380" s="2" t="s">
        <v>19</v>
      </c>
      <c r="G380" s="2" t="s">
        <v>20</v>
      </c>
      <c r="H380" s="2" t="s">
        <v>21</v>
      </c>
      <c r="I380" s="2" t="s">
        <v>16</v>
      </c>
      <c r="J380" s="44" t="s">
        <v>17</v>
      </c>
    </row>
    <row r="381" spans="1:10" x14ac:dyDescent="0.3">
      <c r="A381" s="43" t="s">
        <v>400</v>
      </c>
      <c r="B381" s="2" t="s">
        <v>11</v>
      </c>
      <c r="C381" s="2" t="s">
        <v>26</v>
      </c>
      <c r="D381" s="2">
        <v>3</v>
      </c>
      <c r="E381" s="2">
        <v>6065208701</v>
      </c>
      <c r="F381" s="2" t="s">
        <v>19</v>
      </c>
      <c r="G381" s="2" t="s">
        <v>20</v>
      </c>
      <c r="H381" s="2" t="s">
        <v>15</v>
      </c>
      <c r="I381" s="2" t="s">
        <v>27</v>
      </c>
      <c r="J381" s="44" t="s">
        <v>22</v>
      </c>
    </row>
    <row r="382" spans="1:10" x14ac:dyDescent="0.3">
      <c r="A382" s="43" t="s">
        <v>401</v>
      </c>
      <c r="B382" s="2" t="s">
        <v>25</v>
      </c>
      <c r="C382" s="2" t="s">
        <v>26</v>
      </c>
      <c r="D382" s="2">
        <v>5</v>
      </c>
      <c r="E382" s="2">
        <v>9220126639</v>
      </c>
      <c r="F382" s="2" t="s">
        <v>19</v>
      </c>
      <c r="G382" s="2" t="s">
        <v>20</v>
      </c>
      <c r="H382" s="2" t="s">
        <v>21</v>
      </c>
      <c r="I382" s="2" t="s">
        <v>29</v>
      </c>
      <c r="J382" s="44" t="s">
        <v>22</v>
      </c>
    </row>
    <row r="383" spans="1:10" x14ac:dyDescent="0.3">
      <c r="A383" s="43" t="s">
        <v>172</v>
      </c>
      <c r="B383" s="2" t="s">
        <v>25</v>
      </c>
      <c r="C383" s="2" t="s">
        <v>33</v>
      </c>
      <c r="D383" s="2">
        <v>5</v>
      </c>
      <c r="E383" s="2">
        <v>6802897985</v>
      </c>
      <c r="F383" s="2" t="s">
        <v>13</v>
      </c>
      <c r="G383" s="2" t="s">
        <v>20</v>
      </c>
      <c r="H383" s="2" t="s">
        <v>15</v>
      </c>
      <c r="I383" s="2" t="s">
        <v>41</v>
      </c>
      <c r="J383" s="44" t="s">
        <v>22</v>
      </c>
    </row>
    <row r="384" spans="1:10" x14ac:dyDescent="0.3">
      <c r="A384" s="43" t="s">
        <v>402</v>
      </c>
      <c r="B384" s="2" t="s">
        <v>32</v>
      </c>
      <c r="C384" s="2" t="s">
        <v>12</v>
      </c>
      <c r="D384" s="2">
        <v>7</v>
      </c>
      <c r="E384" s="2">
        <v>6001798181</v>
      </c>
      <c r="F384" s="2" t="s">
        <v>13</v>
      </c>
      <c r="G384" s="2" t="s">
        <v>20</v>
      </c>
      <c r="H384" s="2" t="s">
        <v>15</v>
      </c>
      <c r="I384" s="2" t="s">
        <v>27</v>
      </c>
      <c r="J384" s="44" t="s">
        <v>23</v>
      </c>
    </row>
    <row r="385" spans="1:10" x14ac:dyDescent="0.3">
      <c r="A385" s="43" t="s">
        <v>403</v>
      </c>
      <c r="B385" s="2" t="s">
        <v>35</v>
      </c>
      <c r="C385" s="2" t="s">
        <v>43</v>
      </c>
      <c r="D385" s="2">
        <v>1</v>
      </c>
      <c r="E385" s="2">
        <v>6829011064</v>
      </c>
      <c r="F385" s="2" t="s">
        <v>13</v>
      </c>
      <c r="G385" s="2" t="s">
        <v>20</v>
      </c>
      <c r="H385" s="2" t="s">
        <v>21</v>
      </c>
      <c r="I385" s="2" t="s">
        <v>29</v>
      </c>
      <c r="J385" s="44" t="s">
        <v>22</v>
      </c>
    </row>
    <row r="386" spans="1:10" x14ac:dyDescent="0.3">
      <c r="A386" s="43" t="s">
        <v>404</v>
      </c>
      <c r="B386" s="2" t="s">
        <v>32</v>
      </c>
      <c r="C386" s="2" t="s">
        <v>33</v>
      </c>
      <c r="D386" s="2">
        <v>7</v>
      </c>
      <c r="E386" s="2">
        <v>7600235040</v>
      </c>
      <c r="F386" s="2" t="s">
        <v>19</v>
      </c>
      <c r="G386" s="2" t="s">
        <v>20</v>
      </c>
      <c r="H386" s="2" t="s">
        <v>15</v>
      </c>
      <c r="I386" s="2" t="s">
        <v>29</v>
      </c>
      <c r="J386" s="44" t="s">
        <v>22</v>
      </c>
    </row>
    <row r="387" spans="1:10" x14ac:dyDescent="0.3">
      <c r="A387" s="43" t="s">
        <v>405</v>
      </c>
      <c r="B387" s="2" t="s">
        <v>32</v>
      </c>
      <c r="C387" s="2" t="s">
        <v>43</v>
      </c>
      <c r="D387" s="2">
        <v>7</v>
      </c>
      <c r="E387" s="2">
        <v>8201362507</v>
      </c>
      <c r="F387" s="2" t="s">
        <v>19</v>
      </c>
      <c r="G387" s="2" t="s">
        <v>14</v>
      </c>
      <c r="H387" s="2" t="s">
        <v>21</v>
      </c>
      <c r="I387" s="2" t="s">
        <v>22</v>
      </c>
      <c r="J387" s="44" t="s">
        <v>17</v>
      </c>
    </row>
    <row r="388" spans="1:10" x14ac:dyDescent="0.3">
      <c r="A388" s="43" t="s">
        <v>245</v>
      </c>
      <c r="B388" s="2" t="s">
        <v>32</v>
      </c>
      <c r="C388" s="2" t="s">
        <v>12</v>
      </c>
      <c r="D388" s="2">
        <v>7</v>
      </c>
      <c r="E388" s="2">
        <v>9010963256</v>
      </c>
      <c r="F388" s="2" t="s">
        <v>19</v>
      </c>
      <c r="G388" s="2" t="s">
        <v>20</v>
      </c>
      <c r="H388" s="2" t="s">
        <v>21</v>
      </c>
      <c r="I388" s="2" t="s">
        <v>41</v>
      </c>
      <c r="J388" s="44" t="s">
        <v>23</v>
      </c>
    </row>
    <row r="389" spans="1:10" x14ac:dyDescent="0.3">
      <c r="A389" s="43" t="s">
        <v>406</v>
      </c>
      <c r="B389" s="2" t="s">
        <v>25</v>
      </c>
      <c r="C389" s="2" t="s">
        <v>12</v>
      </c>
      <c r="D389" s="2">
        <v>5</v>
      </c>
      <c r="E389" s="2">
        <v>7611044753</v>
      </c>
      <c r="F389" s="2" t="s">
        <v>19</v>
      </c>
      <c r="G389" s="2" t="s">
        <v>14</v>
      </c>
      <c r="H389" s="2" t="s">
        <v>15</v>
      </c>
      <c r="I389" s="2" t="s">
        <v>22</v>
      </c>
      <c r="J389" s="44" t="s">
        <v>17</v>
      </c>
    </row>
    <row r="390" spans="1:10" x14ac:dyDescent="0.3">
      <c r="A390" s="43" t="s">
        <v>407</v>
      </c>
      <c r="B390" s="2" t="s">
        <v>25</v>
      </c>
      <c r="C390" s="2" t="s">
        <v>12</v>
      </c>
      <c r="D390" s="2">
        <v>5</v>
      </c>
      <c r="E390" s="2">
        <v>7670512345</v>
      </c>
      <c r="F390" s="2" t="s">
        <v>13</v>
      </c>
      <c r="G390" s="2" t="s">
        <v>14</v>
      </c>
      <c r="H390" s="2" t="s">
        <v>15</v>
      </c>
      <c r="I390" s="2" t="s">
        <v>16</v>
      </c>
      <c r="J390" s="44" t="s">
        <v>22</v>
      </c>
    </row>
    <row r="391" spans="1:10" x14ac:dyDescent="0.3">
      <c r="A391" s="43" t="s">
        <v>386</v>
      </c>
      <c r="B391" s="2" t="s">
        <v>25</v>
      </c>
      <c r="C391" s="2" t="s">
        <v>12</v>
      </c>
      <c r="D391" s="2">
        <v>5</v>
      </c>
      <c r="E391" s="2">
        <v>7153814034</v>
      </c>
      <c r="F391" s="2" t="s">
        <v>13</v>
      </c>
      <c r="G391" s="2" t="s">
        <v>20</v>
      </c>
      <c r="H391" s="2" t="s">
        <v>21</v>
      </c>
      <c r="I391" s="2" t="s">
        <v>22</v>
      </c>
      <c r="J391" s="44" t="s">
        <v>17</v>
      </c>
    </row>
    <row r="392" spans="1:10" x14ac:dyDescent="0.3">
      <c r="A392" s="43" t="s">
        <v>408</v>
      </c>
      <c r="B392" s="2" t="s">
        <v>35</v>
      </c>
      <c r="C392" s="2" t="s">
        <v>43</v>
      </c>
      <c r="D392" s="2">
        <v>1</v>
      </c>
      <c r="E392" s="2">
        <v>8190064554</v>
      </c>
      <c r="F392" s="2" t="s">
        <v>19</v>
      </c>
      <c r="G392" s="2" t="s">
        <v>14</v>
      </c>
      <c r="H392" s="2" t="s">
        <v>21</v>
      </c>
      <c r="I392" s="2" t="s">
        <v>27</v>
      </c>
      <c r="J392" s="44" t="s">
        <v>23</v>
      </c>
    </row>
    <row r="393" spans="1:10" x14ac:dyDescent="0.3">
      <c r="A393" s="43" t="s">
        <v>409</v>
      </c>
      <c r="B393" s="2" t="s">
        <v>32</v>
      </c>
      <c r="C393" s="2" t="s">
        <v>33</v>
      </c>
      <c r="D393" s="2">
        <v>7</v>
      </c>
      <c r="E393" s="2">
        <v>7038530231</v>
      </c>
      <c r="F393" s="2" t="s">
        <v>19</v>
      </c>
      <c r="G393" s="2" t="s">
        <v>14</v>
      </c>
      <c r="H393" s="2" t="s">
        <v>15</v>
      </c>
      <c r="I393" s="2" t="s">
        <v>22</v>
      </c>
      <c r="J393" s="44" t="s">
        <v>22</v>
      </c>
    </row>
    <row r="394" spans="1:10" x14ac:dyDescent="0.3">
      <c r="A394" s="43" t="s">
        <v>410</v>
      </c>
      <c r="B394" s="2" t="s">
        <v>25</v>
      </c>
      <c r="C394" s="2" t="s">
        <v>12</v>
      </c>
      <c r="D394" s="2">
        <v>5</v>
      </c>
      <c r="E394" s="2">
        <v>6262370299</v>
      </c>
      <c r="F394" s="2" t="s">
        <v>19</v>
      </c>
      <c r="G394" s="2" t="s">
        <v>20</v>
      </c>
      <c r="H394" s="2" t="s">
        <v>15</v>
      </c>
      <c r="I394" s="2" t="s">
        <v>29</v>
      </c>
      <c r="J394" s="44" t="s">
        <v>17</v>
      </c>
    </row>
    <row r="395" spans="1:10" x14ac:dyDescent="0.3">
      <c r="A395" s="43" t="s">
        <v>411</v>
      </c>
      <c r="B395" s="2" t="s">
        <v>25</v>
      </c>
      <c r="C395" s="2" t="s">
        <v>26</v>
      </c>
      <c r="D395" s="2">
        <v>5</v>
      </c>
      <c r="E395" s="2">
        <v>9622874622</v>
      </c>
      <c r="F395" s="2" t="s">
        <v>13</v>
      </c>
      <c r="G395" s="2" t="s">
        <v>14</v>
      </c>
      <c r="H395" s="2" t="s">
        <v>21</v>
      </c>
      <c r="I395" s="2" t="s">
        <v>29</v>
      </c>
      <c r="J395" s="44" t="s">
        <v>22</v>
      </c>
    </row>
    <row r="396" spans="1:10" x14ac:dyDescent="0.3">
      <c r="A396" s="43" t="s">
        <v>412</v>
      </c>
      <c r="B396" s="2" t="s">
        <v>35</v>
      </c>
      <c r="C396" s="2" t="s">
        <v>36</v>
      </c>
      <c r="D396" s="2">
        <v>1</v>
      </c>
      <c r="E396" s="2">
        <v>8867280292</v>
      </c>
      <c r="F396" s="2" t="s">
        <v>13</v>
      </c>
      <c r="G396" s="2" t="s">
        <v>20</v>
      </c>
      <c r="H396" s="2" t="s">
        <v>21</v>
      </c>
      <c r="I396" s="2" t="s">
        <v>41</v>
      </c>
      <c r="J396" s="44" t="s">
        <v>17</v>
      </c>
    </row>
    <row r="397" spans="1:10" x14ac:dyDescent="0.3">
      <c r="A397" s="43" t="s">
        <v>413</v>
      </c>
      <c r="B397" s="2" t="s">
        <v>11</v>
      </c>
      <c r="C397" s="2" t="s">
        <v>26</v>
      </c>
      <c r="D397" s="2">
        <v>3</v>
      </c>
      <c r="E397" s="2">
        <v>6241582747</v>
      </c>
      <c r="F397" s="2" t="s">
        <v>19</v>
      </c>
      <c r="G397" s="2" t="s">
        <v>20</v>
      </c>
      <c r="H397" s="2" t="s">
        <v>15</v>
      </c>
      <c r="I397" s="2" t="s">
        <v>22</v>
      </c>
      <c r="J397" s="44" t="s">
        <v>22</v>
      </c>
    </row>
    <row r="398" spans="1:10" x14ac:dyDescent="0.3">
      <c r="A398" s="43" t="s">
        <v>414</v>
      </c>
      <c r="B398" s="2" t="s">
        <v>35</v>
      </c>
      <c r="C398" s="2" t="s">
        <v>26</v>
      </c>
      <c r="D398" s="2">
        <v>1</v>
      </c>
      <c r="E398" s="2">
        <v>7891554611</v>
      </c>
      <c r="F398" s="2" t="s">
        <v>19</v>
      </c>
      <c r="G398" s="2" t="s">
        <v>20</v>
      </c>
      <c r="H398" s="2" t="s">
        <v>15</v>
      </c>
      <c r="I398" s="2" t="s">
        <v>29</v>
      </c>
      <c r="J398" s="44" t="s">
        <v>23</v>
      </c>
    </row>
    <row r="399" spans="1:10" x14ac:dyDescent="0.3">
      <c r="A399" s="43" t="s">
        <v>256</v>
      </c>
      <c r="B399" s="2" t="s">
        <v>32</v>
      </c>
      <c r="C399" s="2" t="s">
        <v>33</v>
      </c>
      <c r="D399" s="2">
        <v>7</v>
      </c>
      <c r="E399" s="2">
        <v>8252917353</v>
      </c>
      <c r="F399" s="2" t="s">
        <v>19</v>
      </c>
      <c r="G399" s="2" t="s">
        <v>14</v>
      </c>
      <c r="H399" s="2" t="s">
        <v>21</v>
      </c>
      <c r="I399" s="2" t="s">
        <v>22</v>
      </c>
      <c r="J399" s="44" t="s">
        <v>23</v>
      </c>
    </row>
    <row r="400" spans="1:10" x14ac:dyDescent="0.3">
      <c r="A400" s="43" t="s">
        <v>415</v>
      </c>
      <c r="B400" s="2" t="s">
        <v>32</v>
      </c>
      <c r="C400" s="2" t="s">
        <v>12</v>
      </c>
      <c r="D400" s="2">
        <v>7</v>
      </c>
      <c r="E400" s="2">
        <v>6220533732</v>
      </c>
      <c r="F400" s="2" t="s">
        <v>19</v>
      </c>
      <c r="G400" s="2" t="s">
        <v>20</v>
      </c>
      <c r="H400" s="2" t="s">
        <v>21</v>
      </c>
      <c r="I400" s="2" t="s">
        <v>37</v>
      </c>
      <c r="J400" s="44" t="s">
        <v>22</v>
      </c>
    </row>
    <row r="401" spans="1:10" x14ac:dyDescent="0.3">
      <c r="A401" s="43" t="s">
        <v>416</v>
      </c>
      <c r="B401" s="2" t="s">
        <v>32</v>
      </c>
      <c r="C401" s="2" t="s">
        <v>43</v>
      </c>
      <c r="D401" s="2">
        <v>7</v>
      </c>
      <c r="E401" s="2">
        <v>9625590206</v>
      </c>
      <c r="F401" s="2" t="s">
        <v>19</v>
      </c>
      <c r="G401" s="2" t="s">
        <v>20</v>
      </c>
      <c r="H401" s="2" t="s">
        <v>21</v>
      </c>
      <c r="I401" s="2" t="s">
        <v>41</v>
      </c>
      <c r="J401" s="44" t="s">
        <v>23</v>
      </c>
    </row>
    <row r="402" spans="1:10" x14ac:dyDescent="0.3">
      <c r="A402" s="43" t="s">
        <v>417</v>
      </c>
      <c r="B402" s="2" t="s">
        <v>35</v>
      </c>
      <c r="C402" s="2" t="s">
        <v>33</v>
      </c>
      <c r="D402" s="2">
        <v>1</v>
      </c>
      <c r="E402" s="2">
        <v>6532686828</v>
      </c>
      <c r="F402" s="2" t="s">
        <v>19</v>
      </c>
      <c r="G402" s="2" t="s">
        <v>14</v>
      </c>
      <c r="H402" s="2" t="s">
        <v>21</v>
      </c>
      <c r="I402" s="2" t="s">
        <v>29</v>
      </c>
      <c r="J402" s="44" t="s">
        <v>22</v>
      </c>
    </row>
    <row r="403" spans="1:10" x14ac:dyDescent="0.3">
      <c r="A403" s="43" t="s">
        <v>418</v>
      </c>
      <c r="B403" s="2" t="s">
        <v>35</v>
      </c>
      <c r="C403" s="2" t="s">
        <v>12</v>
      </c>
      <c r="D403" s="2">
        <v>1</v>
      </c>
      <c r="E403" s="2">
        <v>8573092728</v>
      </c>
      <c r="F403" s="2" t="s">
        <v>19</v>
      </c>
      <c r="G403" s="2" t="s">
        <v>20</v>
      </c>
      <c r="H403" s="2" t="s">
        <v>21</v>
      </c>
      <c r="I403" s="2" t="s">
        <v>41</v>
      </c>
      <c r="J403" s="44" t="s">
        <v>22</v>
      </c>
    </row>
    <row r="404" spans="1:10" x14ac:dyDescent="0.3">
      <c r="A404" s="43" t="s">
        <v>419</v>
      </c>
      <c r="B404" s="2" t="s">
        <v>35</v>
      </c>
      <c r="C404" s="2" t="s">
        <v>33</v>
      </c>
      <c r="D404" s="2">
        <v>1</v>
      </c>
      <c r="E404" s="2">
        <v>6489472674</v>
      </c>
      <c r="F404" s="2" t="s">
        <v>19</v>
      </c>
      <c r="G404" s="2" t="s">
        <v>14</v>
      </c>
      <c r="H404" s="2" t="s">
        <v>21</v>
      </c>
      <c r="I404" s="2" t="s">
        <v>37</v>
      </c>
      <c r="J404" s="44" t="s">
        <v>22</v>
      </c>
    </row>
    <row r="405" spans="1:10" x14ac:dyDescent="0.3">
      <c r="A405" s="43" t="s">
        <v>420</v>
      </c>
      <c r="B405" s="2" t="s">
        <v>32</v>
      </c>
      <c r="C405" s="2" t="s">
        <v>36</v>
      </c>
      <c r="D405" s="2">
        <v>7</v>
      </c>
      <c r="E405" s="2">
        <v>8442835198</v>
      </c>
      <c r="F405" s="2" t="s">
        <v>13</v>
      </c>
      <c r="G405" s="2" t="s">
        <v>20</v>
      </c>
      <c r="H405" s="2" t="s">
        <v>15</v>
      </c>
      <c r="I405" s="2" t="s">
        <v>22</v>
      </c>
      <c r="J405" s="44" t="s">
        <v>17</v>
      </c>
    </row>
    <row r="406" spans="1:10" x14ac:dyDescent="0.3">
      <c r="A406" s="43" t="s">
        <v>276</v>
      </c>
      <c r="B406" s="2" t="s">
        <v>32</v>
      </c>
      <c r="C406" s="2" t="s">
        <v>12</v>
      </c>
      <c r="D406" s="2">
        <v>7</v>
      </c>
      <c r="E406" s="2">
        <v>7723902708</v>
      </c>
      <c r="F406" s="2" t="s">
        <v>19</v>
      </c>
      <c r="G406" s="2" t="s">
        <v>20</v>
      </c>
      <c r="H406" s="2" t="s">
        <v>15</v>
      </c>
      <c r="I406" s="2" t="s">
        <v>22</v>
      </c>
      <c r="J406" s="44" t="s">
        <v>22</v>
      </c>
    </row>
    <row r="407" spans="1:10" x14ac:dyDescent="0.3">
      <c r="A407" s="43" t="s">
        <v>421</v>
      </c>
      <c r="B407" s="2" t="s">
        <v>11</v>
      </c>
      <c r="C407" s="2" t="s">
        <v>12</v>
      </c>
      <c r="D407" s="2">
        <v>3</v>
      </c>
      <c r="E407" s="2">
        <v>8213058272</v>
      </c>
      <c r="F407" s="2" t="s">
        <v>19</v>
      </c>
      <c r="G407" s="2" t="s">
        <v>14</v>
      </c>
      <c r="H407" s="2" t="s">
        <v>15</v>
      </c>
      <c r="I407" s="2" t="s">
        <v>22</v>
      </c>
      <c r="J407" s="44" t="s">
        <v>17</v>
      </c>
    </row>
    <row r="408" spans="1:10" x14ac:dyDescent="0.3">
      <c r="A408" s="43" t="s">
        <v>422</v>
      </c>
      <c r="B408" s="2" t="s">
        <v>35</v>
      </c>
      <c r="C408" s="2" t="s">
        <v>26</v>
      </c>
      <c r="D408" s="2">
        <v>1</v>
      </c>
      <c r="E408" s="2">
        <v>6224064382</v>
      </c>
      <c r="F408" s="2" t="s">
        <v>13</v>
      </c>
      <c r="G408" s="2" t="s">
        <v>20</v>
      </c>
      <c r="H408" s="2" t="s">
        <v>15</v>
      </c>
      <c r="I408" s="2" t="s">
        <v>37</v>
      </c>
      <c r="J408" s="44" t="s">
        <v>22</v>
      </c>
    </row>
    <row r="409" spans="1:10" x14ac:dyDescent="0.3">
      <c r="A409" s="43" t="s">
        <v>423</v>
      </c>
      <c r="B409" s="2" t="s">
        <v>32</v>
      </c>
      <c r="C409" s="2" t="s">
        <v>36</v>
      </c>
      <c r="D409" s="2">
        <v>7</v>
      </c>
      <c r="E409" s="2">
        <v>6029120214</v>
      </c>
      <c r="F409" s="2" t="s">
        <v>13</v>
      </c>
      <c r="G409" s="2" t="s">
        <v>14</v>
      </c>
      <c r="H409" s="2" t="s">
        <v>21</v>
      </c>
      <c r="I409" s="2" t="s">
        <v>22</v>
      </c>
      <c r="J409" s="44" t="s">
        <v>22</v>
      </c>
    </row>
    <row r="410" spans="1:10" x14ac:dyDescent="0.3">
      <c r="A410" s="43" t="s">
        <v>424</v>
      </c>
      <c r="B410" s="2" t="s">
        <v>11</v>
      </c>
      <c r="C410" s="2" t="s">
        <v>26</v>
      </c>
      <c r="D410" s="2">
        <v>3</v>
      </c>
      <c r="E410" s="2">
        <v>7995892910</v>
      </c>
      <c r="F410" s="2" t="s">
        <v>19</v>
      </c>
      <c r="G410" s="2" t="s">
        <v>20</v>
      </c>
      <c r="H410" s="2" t="s">
        <v>15</v>
      </c>
      <c r="I410" s="2" t="s">
        <v>22</v>
      </c>
      <c r="J410" s="44" t="s">
        <v>23</v>
      </c>
    </row>
    <row r="411" spans="1:10" x14ac:dyDescent="0.3">
      <c r="A411" s="43" t="s">
        <v>425</v>
      </c>
      <c r="B411" s="2" t="s">
        <v>35</v>
      </c>
      <c r="C411" s="2" t="s">
        <v>26</v>
      </c>
      <c r="D411" s="2">
        <v>1</v>
      </c>
      <c r="E411" s="2">
        <v>6746780906</v>
      </c>
      <c r="F411" s="2" t="s">
        <v>19</v>
      </c>
      <c r="G411" s="2" t="s">
        <v>14</v>
      </c>
      <c r="H411" s="2" t="s">
        <v>15</v>
      </c>
      <c r="I411" s="2" t="s">
        <v>22</v>
      </c>
      <c r="J411" s="44" t="s">
        <v>22</v>
      </c>
    </row>
    <row r="412" spans="1:10" x14ac:dyDescent="0.3">
      <c r="A412" s="43" t="s">
        <v>426</v>
      </c>
      <c r="B412" s="2" t="s">
        <v>25</v>
      </c>
      <c r="C412" s="2" t="s">
        <v>36</v>
      </c>
      <c r="D412" s="2">
        <v>5</v>
      </c>
      <c r="E412" s="2">
        <v>6842400297</v>
      </c>
      <c r="F412" s="2" t="s">
        <v>13</v>
      </c>
      <c r="G412" s="2" t="s">
        <v>20</v>
      </c>
      <c r="H412" s="2" t="s">
        <v>21</v>
      </c>
      <c r="I412" s="2" t="s">
        <v>16</v>
      </c>
      <c r="J412" s="44" t="s">
        <v>22</v>
      </c>
    </row>
    <row r="413" spans="1:10" x14ac:dyDescent="0.3">
      <c r="A413" s="43" t="s">
        <v>427</v>
      </c>
      <c r="B413" s="2" t="s">
        <v>32</v>
      </c>
      <c r="C413" s="2" t="s">
        <v>43</v>
      </c>
      <c r="D413" s="2">
        <v>7</v>
      </c>
      <c r="E413" s="2">
        <v>8594447711</v>
      </c>
      <c r="F413" s="2" t="s">
        <v>13</v>
      </c>
      <c r="G413" s="2" t="s">
        <v>20</v>
      </c>
      <c r="H413" s="2" t="s">
        <v>21</v>
      </c>
      <c r="I413" s="2" t="s">
        <v>22</v>
      </c>
      <c r="J413" s="44" t="s">
        <v>17</v>
      </c>
    </row>
    <row r="414" spans="1:10" x14ac:dyDescent="0.3">
      <c r="A414" s="43" t="s">
        <v>428</v>
      </c>
      <c r="B414" s="2" t="s">
        <v>32</v>
      </c>
      <c r="C414" s="2" t="s">
        <v>36</v>
      </c>
      <c r="D414" s="2">
        <v>7</v>
      </c>
      <c r="E414" s="2">
        <v>6636125476</v>
      </c>
      <c r="F414" s="2" t="s">
        <v>13</v>
      </c>
      <c r="G414" s="2" t="s">
        <v>14</v>
      </c>
      <c r="H414" s="2" t="s">
        <v>15</v>
      </c>
      <c r="I414" s="2" t="s">
        <v>41</v>
      </c>
      <c r="J414" s="44" t="s">
        <v>22</v>
      </c>
    </row>
    <row r="415" spans="1:10" x14ac:dyDescent="0.3">
      <c r="A415" s="43" t="s">
        <v>429</v>
      </c>
      <c r="B415" s="2" t="s">
        <v>25</v>
      </c>
      <c r="C415" s="2" t="s">
        <v>12</v>
      </c>
      <c r="D415" s="2">
        <v>5</v>
      </c>
      <c r="E415" s="2">
        <v>7662718863</v>
      </c>
      <c r="F415" s="2" t="s">
        <v>19</v>
      </c>
      <c r="G415" s="2" t="s">
        <v>20</v>
      </c>
      <c r="H415" s="2" t="s">
        <v>21</v>
      </c>
      <c r="I415" s="2" t="s">
        <v>16</v>
      </c>
      <c r="J415" s="44" t="s">
        <v>22</v>
      </c>
    </row>
    <row r="416" spans="1:10" x14ac:dyDescent="0.3">
      <c r="A416" s="43" t="s">
        <v>430</v>
      </c>
      <c r="B416" s="2" t="s">
        <v>11</v>
      </c>
      <c r="C416" s="2" t="s">
        <v>12</v>
      </c>
      <c r="D416" s="2">
        <v>3</v>
      </c>
      <c r="E416" s="2">
        <v>6664080094</v>
      </c>
      <c r="F416" s="2" t="s">
        <v>19</v>
      </c>
      <c r="G416" s="2" t="s">
        <v>14</v>
      </c>
      <c r="H416" s="2" t="s">
        <v>15</v>
      </c>
      <c r="I416" s="2" t="s">
        <v>37</v>
      </c>
      <c r="J416" s="44" t="s">
        <v>23</v>
      </c>
    </row>
    <row r="417" spans="1:10" x14ac:dyDescent="0.3">
      <c r="A417" s="43" t="s">
        <v>431</v>
      </c>
      <c r="B417" s="2" t="s">
        <v>11</v>
      </c>
      <c r="C417" s="2" t="s">
        <v>26</v>
      </c>
      <c r="D417" s="2">
        <v>3</v>
      </c>
      <c r="E417" s="2">
        <v>8852790241</v>
      </c>
      <c r="F417" s="2" t="s">
        <v>19</v>
      </c>
      <c r="G417" s="2" t="s">
        <v>14</v>
      </c>
      <c r="H417" s="2" t="s">
        <v>15</v>
      </c>
      <c r="I417" s="2" t="s">
        <v>16</v>
      </c>
      <c r="J417" s="44" t="s">
        <v>23</v>
      </c>
    </row>
    <row r="418" spans="1:10" x14ac:dyDescent="0.3">
      <c r="A418" s="43" t="s">
        <v>432</v>
      </c>
      <c r="B418" s="2" t="s">
        <v>11</v>
      </c>
      <c r="C418" s="2" t="s">
        <v>12</v>
      </c>
      <c r="D418" s="2">
        <v>3</v>
      </c>
      <c r="E418" s="2">
        <v>6018481124</v>
      </c>
      <c r="F418" s="2" t="s">
        <v>19</v>
      </c>
      <c r="G418" s="2" t="s">
        <v>20</v>
      </c>
      <c r="H418" s="2" t="s">
        <v>15</v>
      </c>
      <c r="I418" s="2" t="s">
        <v>29</v>
      </c>
      <c r="J418" s="44" t="s">
        <v>23</v>
      </c>
    </row>
    <row r="419" spans="1:10" x14ac:dyDescent="0.3">
      <c r="A419" s="43" t="s">
        <v>433</v>
      </c>
      <c r="B419" s="2" t="s">
        <v>32</v>
      </c>
      <c r="C419" s="2" t="s">
        <v>26</v>
      </c>
      <c r="D419" s="2">
        <v>7</v>
      </c>
      <c r="E419" s="2">
        <v>7966532117</v>
      </c>
      <c r="F419" s="2" t="s">
        <v>19</v>
      </c>
      <c r="G419" s="2" t="s">
        <v>14</v>
      </c>
      <c r="H419" s="2" t="s">
        <v>21</v>
      </c>
      <c r="I419" s="2" t="s">
        <v>41</v>
      </c>
      <c r="J419" s="44" t="s">
        <v>22</v>
      </c>
    </row>
    <row r="420" spans="1:10" x14ac:dyDescent="0.3">
      <c r="A420" s="43" t="s">
        <v>434</v>
      </c>
      <c r="B420" s="2" t="s">
        <v>32</v>
      </c>
      <c r="C420" s="2" t="s">
        <v>12</v>
      </c>
      <c r="D420" s="2">
        <v>7</v>
      </c>
      <c r="E420" s="2">
        <v>7639041600</v>
      </c>
      <c r="F420" s="2" t="s">
        <v>13</v>
      </c>
      <c r="G420" s="2" t="s">
        <v>14</v>
      </c>
      <c r="H420" s="2" t="s">
        <v>21</v>
      </c>
      <c r="I420" s="2" t="s">
        <v>37</v>
      </c>
      <c r="J420" s="44" t="s">
        <v>22</v>
      </c>
    </row>
    <row r="421" spans="1:10" x14ac:dyDescent="0.3">
      <c r="A421" s="43" t="s">
        <v>435</v>
      </c>
      <c r="B421" s="2" t="s">
        <v>11</v>
      </c>
      <c r="C421" s="2" t="s">
        <v>36</v>
      </c>
      <c r="D421" s="2">
        <v>3</v>
      </c>
      <c r="E421" s="2">
        <v>8425499906</v>
      </c>
      <c r="F421" s="2" t="s">
        <v>13</v>
      </c>
      <c r="G421" s="2" t="s">
        <v>20</v>
      </c>
      <c r="H421" s="2" t="s">
        <v>15</v>
      </c>
      <c r="I421" s="2" t="s">
        <v>37</v>
      </c>
      <c r="J421" s="44" t="s">
        <v>22</v>
      </c>
    </row>
    <row r="422" spans="1:10" x14ac:dyDescent="0.3">
      <c r="A422" s="43" t="s">
        <v>436</v>
      </c>
      <c r="B422" s="2" t="s">
        <v>25</v>
      </c>
      <c r="C422" s="2" t="s">
        <v>43</v>
      </c>
      <c r="D422" s="2">
        <v>5</v>
      </c>
      <c r="E422" s="2">
        <v>8128479615</v>
      </c>
      <c r="F422" s="2" t="s">
        <v>19</v>
      </c>
      <c r="G422" s="2" t="s">
        <v>20</v>
      </c>
      <c r="H422" s="2" t="s">
        <v>15</v>
      </c>
      <c r="I422" s="2" t="s">
        <v>16</v>
      </c>
      <c r="J422" s="44" t="s">
        <v>22</v>
      </c>
    </row>
    <row r="423" spans="1:10" x14ac:dyDescent="0.3">
      <c r="A423" s="43" t="s">
        <v>437</v>
      </c>
      <c r="B423" s="2" t="s">
        <v>35</v>
      </c>
      <c r="C423" s="2" t="s">
        <v>36</v>
      </c>
      <c r="D423" s="2">
        <v>1</v>
      </c>
      <c r="E423" s="2">
        <v>7329081362</v>
      </c>
      <c r="F423" s="2" t="s">
        <v>13</v>
      </c>
      <c r="G423" s="2" t="s">
        <v>20</v>
      </c>
      <c r="H423" s="2" t="s">
        <v>21</v>
      </c>
      <c r="I423" s="2" t="s">
        <v>22</v>
      </c>
      <c r="J423" s="44" t="s">
        <v>17</v>
      </c>
    </row>
    <row r="424" spans="1:10" x14ac:dyDescent="0.3">
      <c r="A424" s="43" t="s">
        <v>438</v>
      </c>
      <c r="B424" s="2" t="s">
        <v>35</v>
      </c>
      <c r="C424" s="2" t="s">
        <v>12</v>
      </c>
      <c r="D424" s="2">
        <v>1</v>
      </c>
      <c r="E424" s="2">
        <v>9843720558</v>
      </c>
      <c r="F424" s="2" t="s">
        <v>19</v>
      </c>
      <c r="G424" s="2" t="s">
        <v>20</v>
      </c>
      <c r="H424" s="2" t="s">
        <v>21</v>
      </c>
      <c r="I424" s="2" t="s">
        <v>29</v>
      </c>
      <c r="J424" s="44" t="s">
        <v>23</v>
      </c>
    </row>
    <row r="425" spans="1:10" x14ac:dyDescent="0.3">
      <c r="A425" s="43" t="s">
        <v>439</v>
      </c>
      <c r="B425" s="2" t="s">
        <v>25</v>
      </c>
      <c r="C425" s="2" t="s">
        <v>43</v>
      </c>
      <c r="D425" s="2">
        <v>5</v>
      </c>
      <c r="E425" s="2">
        <v>7872958481</v>
      </c>
      <c r="F425" s="2" t="s">
        <v>13</v>
      </c>
      <c r="G425" s="2" t="s">
        <v>20</v>
      </c>
      <c r="H425" s="2" t="s">
        <v>21</v>
      </c>
      <c r="I425" s="2" t="s">
        <v>37</v>
      </c>
      <c r="J425" s="44" t="s">
        <v>17</v>
      </c>
    </row>
    <row r="426" spans="1:10" x14ac:dyDescent="0.3">
      <c r="A426" s="43" t="s">
        <v>342</v>
      </c>
      <c r="B426" s="2" t="s">
        <v>35</v>
      </c>
      <c r="C426" s="2" t="s">
        <v>12</v>
      </c>
      <c r="D426" s="2">
        <v>1</v>
      </c>
      <c r="E426" s="2">
        <v>7265529176</v>
      </c>
      <c r="F426" s="2" t="s">
        <v>19</v>
      </c>
      <c r="G426" s="2" t="s">
        <v>14</v>
      </c>
      <c r="H426" s="2" t="s">
        <v>21</v>
      </c>
      <c r="I426" s="2" t="s">
        <v>37</v>
      </c>
      <c r="J426" s="44" t="s">
        <v>22</v>
      </c>
    </row>
    <row r="427" spans="1:10" x14ac:dyDescent="0.3">
      <c r="A427" s="43" t="s">
        <v>440</v>
      </c>
      <c r="B427" s="2" t="s">
        <v>25</v>
      </c>
      <c r="C427" s="2" t="s">
        <v>12</v>
      </c>
      <c r="D427" s="2">
        <v>5</v>
      </c>
      <c r="E427" s="2">
        <v>7175138999</v>
      </c>
      <c r="F427" s="2" t="s">
        <v>19</v>
      </c>
      <c r="G427" s="2" t="s">
        <v>20</v>
      </c>
      <c r="H427" s="2" t="s">
        <v>21</v>
      </c>
      <c r="I427" s="2" t="s">
        <v>22</v>
      </c>
      <c r="J427" s="44" t="s">
        <v>17</v>
      </c>
    </row>
    <row r="428" spans="1:10" x14ac:dyDescent="0.3">
      <c r="A428" s="43" t="s">
        <v>164</v>
      </c>
      <c r="B428" s="2" t="s">
        <v>32</v>
      </c>
      <c r="C428" s="2" t="s">
        <v>33</v>
      </c>
      <c r="D428" s="2">
        <v>7</v>
      </c>
      <c r="E428" s="2">
        <v>6916929404</v>
      </c>
      <c r="F428" s="2" t="s">
        <v>19</v>
      </c>
      <c r="G428" s="2" t="s">
        <v>14</v>
      </c>
      <c r="H428" s="2" t="s">
        <v>21</v>
      </c>
      <c r="I428" s="2" t="s">
        <v>22</v>
      </c>
      <c r="J428" s="44" t="s">
        <v>22</v>
      </c>
    </row>
    <row r="429" spans="1:10" x14ac:dyDescent="0.3">
      <c r="A429" s="43" t="s">
        <v>441</v>
      </c>
      <c r="B429" s="2" t="s">
        <v>11</v>
      </c>
      <c r="C429" s="2" t="s">
        <v>43</v>
      </c>
      <c r="D429" s="2">
        <v>3</v>
      </c>
      <c r="E429" s="2">
        <v>7578639935</v>
      </c>
      <c r="F429" s="2" t="s">
        <v>13</v>
      </c>
      <c r="G429" s="2" t="s">
        <v>20</v>
      </c>
      <c r="H429" s="2" t="s">
        <v>21</v>
      </c>
      <c r="I429" s="2" t="s">
        <v>27</v>
      </c>
      <c r="J429" s="44" t="s">
        <v>23</v>
      </c>
    </row>
    <row r="430" spans="1:10" x14ac:dyDescent="0.3">
      <c r="A430" s="43" t="s">
        <v>442</v>
      </c>
      <c r="B430" s="2" t="s">
        <v>32</v>
      </c>
      <c r="C430" s="2" t="s">
        <v>43</v>
      </c>
      <c r="D430" s="2">
        <v>7</v>
      </c>
      <c r="E430" s="2">
        <v>7981115337</v>
      </c>
      <c r="F430" s="2" t="s">
        <v>13</v>
      </c>
      <c r="G430" s="2" t="s">
        <v>14</v>
      </c>
      <c r="H430" s="2" t="s">
        <v>21</v>
      </c>
      <c r="I430" s="2" t="s">
        <v>22</v>
      </c>
      <c r="J430" s="44" t="s">
        <v>22</v>
      </c>
    </row>
    <row r="431" spans="1:10" x14ac:dyDescent="0.3">
      <c r="A431" s="43" t="s">
        <v>443</v>
      </c>
      <c r="B431" s="2" t="s">
        <v>32</v>
      </c>
      <c r="C431" s="2" t="s">
        <v>43</v>
      </c>
      <c r="D431" s="2">
        <v>7</v>
      </c>
      <c r="E431" s="2">
        <v>6759915509</v>
      </c>
      <c r="F431" s="2" t="s">
        <v>13</v>
      </c>
      <c r="G431" s="2" t="s">
        <v>14</v>
      </c>
      <c r="H431" s="2" t="s">
        <v>21</v>
      </c>
      <c r="I431" s="2" t="s">
        <v>29</v>
      </c>
      <c r="J431" s="44" t="s">
        <v>22</v>
      </c>
    </row>
    <row r="432" spans="1:10" x14ac:dyDescent="0.3">
      <c r="A432" s="43" t="s">
        <v>444</v>
      </c>
      <c r="B432" s="2" t="s">
        <v>32</v>
      </c>
      <c r="C432" s="2" t="s">
        <v>43</v>
      </c>
      <c r="D432" s="2">
        <v>7</v>
      </c>
      <c r="E432" s="2">
        <v>6043371887</v>
      </c>
      <c r="F432" s="2" t="s">
        <v>13</v>
      </c>
      <c r="G432" s="2" t="s">
        <v>20</v>
      </c>
      <c r="H432" s="2" t="s">
        <v>21</v>
      </c>
      <c r="I432" s="2" t="s">
        <v>29</v>
      </c>
      <c r="J432" s="44" t="s">
        <v>17</v>
      </c>
    </row>
    <row r="433" spans="1:10" x14ac:dyDescent="0.3">
      <c r="A433" s="43" t="s">
        <v>445</v>
      </c>
      <c r="B433" s="2" t="s">
        <v>11</v>
      </c>
      <c r="C433" s="2" t="s">
        <v>26</v>
      </c>
      <c r="D433" s="2">
        <v>3</v>
      </c>
      <c r="E433" s="2">
        <v>7056373018</v>
      </c>
      <c r="F433" s="2" t="s">
        <v>19</v>
      </c>
      <c r="G433" s="2" t="s">
        <v>20</v>
      </c>
      <c r="H433" s="2" t="s">
        <v>15</v>
      </c>
      <c r="I433" s="2" t="s">
        <v>37</v>
      </c>
      <c r="J433" s="44" t="s">
        <v>23</v>
      </c>
    </row>
    <row r="434" spans="1:10" x14ac:dyDescent="0.3">
      <c r="A434" s="43" t="s">
        <v>446</v>
      </c>
      <c r="B434" s="2" t="s">
        <v>32</v>
      </c>
      <c r="C434" s="2" t="s">
        <v>36</v>
      </c>
      <c r="D434" s="2">
        <v>7</v>
      </c>
      <c r="E434" s="2">
        <v>9966393845</v>
      </c>
      <c r="F434" s="2" t="s">
        <v>19</v>
      </c>
      <c r="G434" s="2" t="s">
        <v>20</v>
      </c>
      <c r="H434" s="2" t="s">
        <v>15</v>
      </c>
      <c r="I434" s="2" t="s">
        <v>27</v>
      </c>
      <c r="J434" s="44" t="s">
        <v>22</v>
      </c>
    </row>
    <row r="435" spans="1:10" x14ac:dyDescent="0.3">
      <c r="A435" s="43" t="s">
        <v>447</v>
      </c>
      <c r="B435" s="2" t="s">
        <v>35</v>
      </c>
      <c r="C435" s="2" t="s">
        <v>12</v>
      </c>
      <c r="D435" s="2">
        <v>1</v>
      </c>
      <c r="E435" s="2">
        <v>8222071316</v>
      </c>
      <c r="F435" s="2" t="s">
        <v>19</v>
      </c>
      <c r="G435" s="2" t="s">
        <v>20</v>
      </c>
      <c r="H435" s="2" t="s">
        <v>21</v>
      </c>
      <c r="I435" s="2" t="s">
        <v>22</v>
      </c>
      <c r="J435" s="44" t="s">
        <v>22</v>
      </c>
    </row>
    <row r="436" spans="1:10" x14ac:dyDescent="0.3">
      <c r="A436" s="43" t="s">
        <v>448</v>
      </c>
      <c r="B436" s="2" t="s">
        <v>32</v>
      </c>
      <c r="C436" s="2" t="s">
        <v>33</v>
      </c>
      <c r="D436" s="2">
        <v>7</v>
      </c>
      <c r="E436" s="2">
        <v>8040119751</v>
      </c>
      <c r="F436" s="2" t="s">
        <v>13</v>
      </c>
      <c r="G436" s="2" t="s">
        <v>20</v>
      </c>
      <c r="H436" s="2" t="s">
        <v>15</v>
      </c>
      <c r="I436" s="2" t="s">
        <v>27</v>
      </c>
      <c r="J436" s="44" t="s">
        <v>22</v>
      </c>
    </row>
    <row r="437" spans="1:10" x14ac:dyDescent="0.3">
      <c r="A437" s="43" t="s">
        <v>449</v>
      </c>
      <c r="B437" s="2" t="s">
        <v>25</v>
      </c>
      <c r="C437" s="2" t="s">
        <v>33</v>
      </c>
      <c r="D437" s="2">
        <v>5</v>
      </c>
      <c r="E437" s="2">
        <v>8432055028</v>
      </c>
      <c r="F437" s="2" t="s">
        <v>19</v>
      </c>
      <c r="G437" s="2" t="s">
        <v>20</v>
      </c>
      <c r="H437" s="2" t="s">
        <v>15</v>
      </c>
      <c r="I437" s="2" t="s">
        <v>27</v>
      </c>
      <c r="J437" s="44" t="s">
        <v>22</v>
      </c>
    </row>
    <row r="438" spans="1:10" x14ac:dyDescent="0.3">
      <c r="A438" s="43" t="s">
        <v>450</v>
      </c>
      <c r="B438" s="2" t="s">
        <v>11</v>
      </c>
      <c r="C438" s="2" t="s">
        <v>36</v>
      </c>
      <c r="D438" s="2">
        <v>3</v>
      </c>
      <c r="E438" s="2">
        <v>7458810015</v>
      </c>
      <c r="F438" s="2" t="s">
        <v>19</v>
      </c>
      <c r="G438" s="2" t="s">
        <v>14</v>
      </c>
      <c r="H438" s="2" t="s">
        <v>21</v>
      </c>
      <c r="I438" s="2" t="s">
        <v>29</v>
      </c>
      <c r="J438" s="44" t="s">
        <v>22</v>
      </c>
    </row>
    <row r="439" spans="1:10" x14ac:dyDescent="0.3">
      <c r="A439" s="43" t="s">
        <v>451</v>
      </c>
      <c r="B439" s="2" t="s">
        <v>32</v>
      </c>
      <c r="C439" s="2" t="s">
        <v>12</v>
      </c>
      <c r="D439" s="2">
        <v>7</v>
      </c>
      <c r="E439" s="2">
        <v>7660936281</v>
      </c>
      <c r="F439" s="2" t="s">
        <v>19</v>
      </c>
      <c r="G439" s="2" t="s">
        <v>14</v>
      </c>
      <c r="H439" s="2" t="s">
        <v>15</v>
      </c>
      <c r="I439" s="2" t="s">
        <v>41</v>
      </c>
      <c r="J439" s="44" t="s">
        <v>23</v>
      </c>
    </row>
    <row r="440" spans="1:10" x14ac:dyDescent="0.3">
      <c r="A440" s="43" t="s">
        <v>452</v>
      </c>
      <c r="B440" s="2" t="s">
        <v>11</v>
      </c>
      <c r="C440" s="2" t="s">
        <v>26</v>
      </c>
      <c r="D440" s="2">
        <v>3</v>
      </c>
      <c r="E440" s="2">
        <v>9589950817</v>
      </c>
      <c r="F440" s="2" t="s">
        <v>19</v>
      </c>
      <c r="G440" s="2" t="s">
        <v>14</v>
      </c>
      <c r="H440" s="2" t="s">
        <v>15</v>
      </c>
      <c r="I440" s="2" t="s">
        <v>22</v>
      </c>
      <c r="J440" s="44" t="s">
        <v>17</v>
      </c>
    </row>
    <row r="441" spans="1:10" x14ac:dyDescent="0.3">
      <c r="A441" s="43" t="s">
        <v>453</v>
      </c>
      <c r="B441" s="2" t="s">
        <v>35</v>
      </c>
      <c r="C441" s="2" t="s">
        <v>33</v>
      </c>
      <c r="D441" s="2">
        <v>1</v>
      </c>
      <c r="E441" s="2">
        <v>6652375431</v>
      </c>
      <c r="F441" s="2" t="s">
        <v>19</v>
      </c>
      <c r="G441" s="2" t="s">
        <v>20</v>
      </c>
      <c r="H441" s="2" t="s">
        <v>15</v>
      </c>
      <c r="I441" s="2" t="s">
        <v>16</v>
      </c>
      <c r="J441" s="44" t="s">
        <v>22</v>
      </c>
    </row>
    <row r="442" spans="1:10" x14ac:dyDescent="0.3">
      <c r="A442" s="43" t="s">
        <v>454</v>
      </c>
      <c r="B442" s="2" t="s">
        <v>32</v>
      </c>
      <c r="C442" s="2" t="s">
        <v>33</v>
      </c>
      <c r="D442" s="2">
        <v>7</v>
      </c>
      <c r="E442" s="2">
        <v>8146157458</v>
      </c>
      <c r="F442" s="2" t="s">
        <v>19</v>
      </c>
      <c r="G442" s="2" t="s">
        <v>14</v>
      </c>
      <c r="H442" s="2" t="s">
        <v>15</v>
      </c>
      <c r="I442" s="2" t="s">
        <v>37</v>
      </c>
      <c r="J442" s="44" t="s">
        <v>23</v>
      </c>
    </row>
    <row r="443" spans="1:10" x14ac:dyDescent="0.3">
      <c r="A443" s="43" t="s">
        <v>455</v>
      </c>
      <c r="B443" s="2" t="s">
        <v>25</v>
      </c>
      <c r="C443" s="2" t="s">
        <v>36</v>
      </c>
      <c r="D443" s="2">
        <v>5</v>
      </c>
      <c r="E443" s="2">
        <v>7749961526</v>
      </c>
      <c r="F443" s="2" t="s">
        <v>13</v>
      </c>
      <c r="G443" s="2" t="s">
        <v>14</v>
      </c>
      <c r="H443" s="2" t="s">
        <v>21</v>
      </c>
      <c r="I443" s="2" t="s">
        <v>37</v>
      </c>
      <c r="J443" s="44" t="s">
        <v>22</v>
      </c>
    </row>
    <row r="444" spans="1:10" x14ac:dyDescent="0.3">
      <c r="A444" s="43" t="s">
        <v>456</v>
      </c>
      <c r="B444" s="2" t="s">
        <v>11</v>
      </c>
      <c r="C444" s="2" t="s">
        <v>12</v>
      </c>
      <c r="D444" s="2">
        <v>3</v>
      </c>
      <c r="E444" s="2">
        <v>8837328306</v>
      </c>
      <c r="F444" s="2" t="s">
        <v>19</v>
      </c>
      <c r="G444" s="2" t="s">
        <v>20</v>
      </c>
      <c r="H444" s="2" t="s">
        <v>15</v>
      </c>
      <c r="I444" s="2" t="s">
        <v>29</v>
      </c>
      <c r="J444" s="44" t="s">
        <v>23</v>
      </c>
    </row>
    <row r="445" spans="1:10" x14ac:dyDescent="0.3">
      <c r="A445" s="43" t="s">
        <v>457</v>
      </c>
      <c r="B445" s="2" t="s">
        <v>11</v>
      </c>
      <c r="C445" s="2" t="s">
        <v>12</v>
      </c>
      <c r="D445" s="2">
        <v>3</v>
      </c>
      <c r="E445" s="2">
        <v>7517974835</v>
      </c>
      <c r="F445" s="2" t="s">
        <v>13</v>
      </c>
      <c r="G445" s="2" t="s">
        <v>14</v>
      </c>
      <c r="H445" s="2" t="s">
        <v>15</v>
      </c>
      <c r="I445" s="2" t="s">
        <v>16</v>
      </c>
      <c r="J445" s="44" t="s">
        <v>22</v>
      </c>
    </row>
    <row r="446" spans="1:10" x14ac:dyDescent="0.3">
      <c r="A446" s="43" t="s">
        <v>458</v>
      </c>
      <c r="B446" s="2" t="s">
        <v>25</v>
      </c>
      <c r="C446" s="2" t="s">
        <v>12</v>
      </c>
      <c r="D446" s="2">
        <v>5</v>
      </c>
      <c r="E446" s="2">
        <v>9247984940</v>
      </c>
      <c r="F446" s="2" t="s">
        <v>19</v>
      </c>
      <c r="G446" s="2" t="s">
        <v>20</v>
      </c>
      <c r="H446" s="2" t="s">
        <v>21</v>
      </c>
      <c r="I446" s="2" t="s">
        <v>22</v>
      </c>
      <c r="J446" s="44" t="s">
        <v>22</v>
      </c>
    </row>
    <row r="447" spans="1:10" x14ac:dyDescent="0.3">
      <c r="A447" s="43" t="s">
        <v>459</v>
      </c>
      <c r="B447" s="2" t="s">
        <v>25</v>
      </c>
      <c r="C447" s="2" t="s">
        <v>26</v>
      </c>
      <c r="D447" s="2">
        <v>5</v>
      </c>
      <c r="E447" s="2">
        <v>7808483238</v>
      </c>
      <c r="F447" s="2" t="s">
        <v>13</v>
      </c>
      <c r="G447" s="2" t="s">
        <v>20</v>
      </c>
      <c r="H447" s="2" t="s">
        <v>21</v>
      </c>
      <c r="I447" s="2" t="s">
        <v>29</v>
      </c>
      <c r="J447" s="44" t="s">
        <v>22</v>
      </c>
    </row>
    <row r="448" spans="1:10" x14ac:dyDescent="0.3">
      <c r="A448" s="43" t="s">
        <v>460</v>
      </c>
      <c r="B448" s="2" t="s">
        <v>25</v>
      </c>
      <c r="C448" s="2" t="s">
        <v>43</v>
      </c>
      <c r="D448" s="2">
        <v>5</v>
      </c>
      <c r="E448" s="2">
        <v>9674474748</v>
      </c>
      <c r="F448" s="2" t="s">
        <v>13</v>
      </c>
      <c r="G448" s="2" t="s">
        <v>14</v>
      </c>
      <c r="H448" s="2" t="s">
        <v>21</v>
      </c>
      <c r="I448" s="2" t="s">
        <v>16</v>
      </c>
      <c r="J448" s="44" t="s">
        <v>22</v>
      </c>
    </row>
    <row r="449" spans="1:10" x14ac:dyDescent="0.3">
      <c r="A449" s="43" t="s">
        <v>461</v>
      </c>
      <c r="B449" s="2" t="s">
        <v>25</v>
      </c>
      <c r="C449" s="2" t="s">
        <v>43</v>
      </c>
      <c r="D449" s="2">
        <v>5</v>
      </c>
      <c r="E449" s="2">
        <v>6760706177</v>
      </c>
      <c r="F449" s="2" t="s">
        <v>19</v>
      </c>
      <c r="G449" s="2" t="s">
        <v>14</v>
      </c>
      <c r="H449" s="2" t="s">
        <v>21</v>
      </c>
      <c r="I449" s="2" t="s">
        <v>22</v>
      </c>
      <c r="J449" s="44" t="s">
        <v>22</v>
      </c>
    </row>
    <row r="450" spans="1:10" x14ac:dyDescent="0.3">
      <c r="A450" s="43" t="s">
        <v>462</v>
      </c>
      <c r="B450" s="2" t="s">
        <v>35</v>
      </c>
      <c r="C450" s="2" t="s">
        <v>33</v>
      </c>
      <c r="D450" s="2">
        <v>1</v>
      </c>
      <c r="E450" s="2">
        <v>6016851584</v>
      </c>
      <c r="F450" s="2" t="s">
        <v>19</v>
      </c>
      <c r="G450" s="2" t="s">
        <v>20</v>
      </c>
      <c r="H450" s="2" t="s">
        <v>15</v>
      </c>
      <c r="I450" s="2" t="s">
        <v>16</v>
      </c>
      <c r="J450" s="44" t="s">
        <v>22</v>
      </c>
    </row>
    <row r="451" spans="1:10" x14ac:dyDescent="0.3">
      <c r="A451" s="43" t="s">
        <v>463</v>
      </c>
      <c r="B451" s="2" t="s">
        <v>35</v>
      </c>
      <c r="C451" s="2" t="s">
        <v>33</v>
      </c>
      <c r="D451" s="2">
        <v>1</v>
      </c>
      <c r="E451" s="2">
        <v>6710324869</v>
      </c>
      <c r="F451" s="2" t="s">
        <v>13</v>
      </c>
      <c r="G451" s="2" t="s">
        <v>14</v>
      </c>
      <c r="H451" s="2" t="s">
        <v>21</v>
      </c>
      <c r="I451" s="2" t="s">
        <v>22</v>
      </c>
      <c r="J451" s="44" t="s">
        <v>17</v>
      </c>
    </row>
    <row r="452" spans="1:10" x14ac:dyDescent="0.3">
      <c r="A452" s="43" t="s">
        <v>464</v>
      </c>
      <c r="B452" s="2" t="s">
        <v>32</v>
      </c>
      <c r="C452" s="2" t="s">
        <v>33</v>
      </c>
      <c r="D452" s="2">
        <v>7</v>
      </c>
      <c r="E452" s="2">
        <v>9055636678</v>
      </c>
      <c r="F452" s="2" t="s">
        <v>13</v>
      </c>
      <c r="G452" s="2" t="s">
        <v>14</v>
      </c>
      <c r="H452" s="2" t="s">
        <v>21</v>
      </c>
      <c r="I452" s="2" t="s">
        <v>16</v>
      </c>
      <c r="J452" s="44" t="s">
        <v>22</v>
      </c>
    </row>
    <row r="453" spans="1:10" x14ac:dyDescent="0.3">
      <c r="A453" s="43" t="s">
        <v>465</v>
      </c>
      <c r="B453" s="2" t="s">
        <v>35</v>
      </c>
      <c r="C453" s="2" t="s">
        <v>33</v>
      </c>
      <c r="D453" s="2">
        <v>1</v>
      </c>
      <c r="E453" s="2">
        <v>6744800165</v>
      </c>
      <c r="F453" s="2" t="s">
        <v>19</v>
      </c>
      <c r="G453" s="2" t="s">
        <v>14</v>
      </c>
      <c r="H453" s="2" t="s">
        <v>21</v>
      </c>
      <c r="I453" s="2" t="s">
        <v>37</v>
      </c>
      <c r="J453" s="44" t="s">
        <v>17</v>
      </c>
    </row>
    <row r="454" spans="1:10" x14ac:dyDescent="0.3">
      <c r="A454" s="43" t="s">
        <v>466</v>
      </c>
      <c r="B454" s="2" t="s">
        <v>11</v>
      </c>
      <c r="C454" s="2" t="s">
        <v>12</v>
      </c>
      <c r="D454" s="2">
        <v>3</v>
      </c>
      <c r="E454" s="2">
        <v>8241218520</v>
      </c>
      <c r="F454" s="2" t="s">
        <v>13</v>
      </c>
      <c r="G454" s="2" t="s">
        <v>14</v>
      </c>
      <c r="H454" s="2" t="s">
        <v>15</v>
      </c>
      <c r="I454" s="2" t="s">
        <v>29</v>
      </c>
      <c r="J454" s="44" t="s">
        <v>23</v>
      </c>
    </row>
    <row r="455" spans="1:10" x14ac:dyDescent="0.3">
      <c r="A455" s="43" t="s">
        <v>467</v>
      </c>
      <c r="B455" s="2" t="s">
        <v>35</v>
      </c>
      <c r="C455" s="2" t="s">
        <v>43</v>
      </c>
      <c r="D455" s="2">
        <v>1</v>
      </c>
      <c r="E455" s="2">
        <v>6561378375</v>
      </c>
      <c r="F455" s="2" t="s">
        <v>19</v>
      </c>
      <c r="G455" s="2" t="s">
        <v>20</v>
      </c>
      <c r="H455" s="2" t="s">
        <v>21</v>
      </c>
      <c r="I455" s="2" t="s">
        <v>16</v>
      </c>
      <c r="J455" s="44" t="s">
        <v>22</v>
      </c>
    </row>
    <row r="456" spans="1:10" x14ac:dyDescent="0.3">
      <c r="A456" s="43" t="s">
        <v>468</v>
      </c>
      <c r="B456" s="2" t="s">
        <v>32</v>
      </c>
      <c r="C456" s="2" t="s">
        <v>43</v>
      </c>
      <c r="D456" s="2">
        <v>7</v>
      </c>
      <c r="E456" s="2">
        <v>6539466165</v>
      </c>
      <c r="F456" s="2" t="s">
        <v>19</v>
      </c>
      <c r="G456" s="2" t="s">
        <v>20</v>
      </c>
      <c r="H456" s="2" t="s">
        <v>21</v>
      </c>
      <c r="I456" s="2" t="s">
        <v>22</v>
      </c>
      <c r="J456" s="44" t="s">
        <v>23</v>
      </c>
    </row>
    <row r="457" spans="1:10" x14ac:dyDescent="0.3">
      <c r="A457" s="43" t="s">
        <v>469</v>
      </c>
      <c r="B457" s="2" t="s">
        <v>25</v>
      </c>
      <c r="C457" s="2" t="s">
        <v>26</v>
      </c>
      <c r="D457" s="2">
        <v>5</v>
      </c>
      <c r="E457" s="2">
        <v>7100920800</v>
      </c>
      <c r="F457" s="2" t="s">
        <v>19</v>
      </c>
      <c r="G457" s="2" t="s">
        <v>20</v>
      </c>
      <c r="H457" s="2" t="s">
        <v>15</v>
      </c>
      <c r="I457" s="2" t="s">
        <v>37</v>
      </c>
      <c r="J457" s="44" t="s">
        <v>23</v>
      </c>
    </row>
    <row r="458" spans="1:10" x14ac:dyDescent="0.3">
      <c r="A458" s="43" t="s">
        <v>470</v>
      </c>
      <c r="B458" s="2" t="s">
        <v>25</v>
      </c>
      <c r="C458" s="2" t="s">
        <v>26</v>
      </c>
      <c r="D458" s="2">
        <v>5</v>
      </c>
      <c r="E458" s="2">
        <v>7631837536</v>
      </c>
      <c r="F458" s="2" t="s">
        <v>19</v>
      </c>
      <c r="G458" s="2" t="s">
        <v>14</v>
      </c>
      <c r="H458" s="2" t="s">
        <v>15</v>
      </c>
      <c r="I458" s="2" t="s">
        <v>29</v>
      </c>
      <c r="J458" s="44" t="s">
        <v>22</v>
      </c>
    </row>
    <row r="459" spans="1:10" x14ac:dyDescent="0.3">
      <c r="A459" s="43" t="s">
        <v>471</v>
      </c>
      <c r="B459" s="2" t="s">
        <v>25</v>
      </c>
      <c r="C459" s="2" t="s">
        <v>43</v>
      </c>
      <c r="D459" s="2">
        <v>5</v>
      </c>
      <c r="E459" s="2">
        <v>7215178339</v>
      </c>
      <c r="F459" s="2" t="s">
        <v>19</v>
      </c>
      <c r="G459" s="2" t="s">
        <v>14</v>
      </c>
      <c r="H459" s="2" t="s">
        <v>15</v>
      </c>
      <c r="I459" s="2" t="s">
        <v>22</v>
      </c>
      <c r="J459" s="44" t="s">
        <v>23</v>
      </c>
    </row>
    <row r="460" spans="1:10" x14ac:dyDescent="0.3">
      <c r="A460" s="43" t="s">
        <v>472</v>
      </c>
      <c r="B460" s="2" t="s">
        <v>35</v>
      </c>
      <c r="C460" s="2" t="s">
        <v>43</v>
      </c>
      <c r="D460" s="2">
        <v>1</v>
      </c>
      <c r="E460" s="2">
        <v>7449425536</v>
      </c>
      <c r="F460" s="2" t="s">
        <v>19</v>
      </c>
      <c r="G460" s="2" t="s">
        <v>14</v>
      </c>
      <c r="H460" s="2" t="s">
        <v>21</v>
      </c>
      <c r="I460" s="2" t="s">
        <v>37</v>
      </c>
      <c r="J460" s="44" t="s">
        <v>22</v>
      </c>
    </row>
    <row r="461" spans="1:10" x14ac:dyDescent="0.3">
      <c r="A461" s="43" t="s">
        <v>367</v>
      </c>
      <c r="B461" s="2" t="s">
        <v>32</v>
      </c>
      <c r="C461" s="2" t="s">
        <v>36</v>
      </c>
      <c r="D461" s="2">
        <v>7</v>
      </c>
      <c r="E461" s="2">
        <v>7488243527</v>
      </c>
      <c r="F461" s="2" t="s">
        <v>13</v>
      </c>
      <c r="G461" s="2" t="s">
        <v>20</v>
      </c>
      <c r="H461" s="2" t="s">
        <v>21</v>
      </c>
      <c r="I461" s="2" t="s">
        <v>41</v>
      </c>
      <c r="J461" s="44" t="s">
        <v>23</v>
      </c>
    </row>
    <row r="462" spans="1:10" x14ac:dyDescent="0.3">
      <c r="A462" s="43" t="s">
        <v>473</v>
      </c>
      <c r="B462" s="2" t="s">
        <v>11</v>
      </c>
      <c r="C462" s="2" t="s">
        <v>26</v>
      </c>
      <c r="D462" s="2">
        <v>3</v>
      </c>
      <c r="E462" s="2">
        <v>6638446925</v>
      </c>
      <c r="F462" s="2" t="s">
        <v>13</v>
      </c>
      <c r="G462" s="2" t="s">
        <v>14</v>
      </c>
      <c r="H462" s="2" t="s">
        <v>15</v>
      </c>
      <c r="I462" s="2" t="s">
        <v>27</v>
      </c>
      <c r="J462" s="44" t="s">
        <v>23</v>
      </c>
    </row>
    <row r="463" spans="1:10" x14ac:dyDescent="0.3">
      <c r="A463" s="43" t="s">
        <v>474</v>
      </c>
      <c r="B463" s="2" t="s">
        <v>32</v>
      </c>
      <c r="C463" s="2" t="s">
        <v>43</v>
      </c>
      <c r="D463" s="2">
        <v>7</v>
      </c>
      <c r="E463" s="2">
        <v>7241751573</v>
      </c>
      <c r="F463" s="2" t="s">
        <v>13</v>
      </c>
      <c r="G463" s="2" t="s">
        <v>20</v>
      </c>
      <c r="H463" s="2" t="s">
        <v>15</v>
      </c>
      <c r="I463" s="2" t="s">
        <v>22</v>
      </c>
      <c r="J463" s="44" t="s">
        <v>23</v>
      </c>
    </row>
    <row r="464" spans="1:10" x14ac:dyDescent="0.3">
      <c r="A464" s="43" t="s">
        <v>475</v>
      </c>
      <c r="B464" s="2" t="s">
        <v>32</v>
      </c>
      <c r="C464" s="2" t="s">
        <v>12</v>
      </c>
      <c r="D464" s="2">
        <v>7</v>
      </c>
      <c r="E464" s="2">
        <v>8982599699</v>
      </c>
      <c r="F464" s="2" t="s">
        <v>19</v>
      </c>
      <c r="G464" s="2" t="s">
        <v>20</v>
      </c>
      <c r="H464" s="2" t="s">
        <v>21</v>
      </c>
      <c r="I464" s="2" t="s">
        <v>22</v>
      </c>
      <c r="J464" s="44" t="s">
        <v>17</v>
      </c>
    </row>
    <row r="465" spans="1:10" x14ac:dyDescent="0.3">
      <c r="A465" s="43" t="s">
        <v>476</v>
      </c>
      <c r="B465" s="2" t="s">
        <v>35</v>
      </c>
      <c r="C465" s="2" t="s">
        <v>43</v>
      </c>
      <c r="D465" s="2">
        <v>1</v>
      </c>
      <c r="E465" s="2">
        <v>9884395934</v>
      </c>
      <c r="F465" s="2" t="s">
        <v>19</v>
      </c>
      <c r="G465" s="2" t="s">
        <v>14</v>
      </c>
      <c r="H465" s="2" t="s">
        <v>15</v>
      </c>
      <c r="I465" s="2" t="s">
        <v>22</v>
      </c>
      <c r="J465" s="44" t="s">
        <v>22</v>
      </c>
    </row>
    <row r="466" spans="1:10" x14ac:dyDescent="0.3">
      <c r="A466" s="43" t="s">
        <v>477</v>
      </c>
      <c r="B466" s="2" t="s">
        <v>35</v>
      </c>
      <c r="C466" s="2" t="s">
        <v>26</v>
      </c>
      <c r="D466" s="2">
        <v>1</v>
      </c>
      <c r="E466" s="2">
        <v>7023587431</v>
      </c>
      <c r="F466" s="2" t="s">
        <v>19</v>
      </c>
      <c r="G466" s="2" t="s">
        <v>14</v>
      </c>
      <c r="H466" s="2" t="s">
        <v>21</v>
      </c>
      <c r="I466" s="2" t="s">
        <v>27</v>
      </c>
      <c r="J466" s="44" t="s">
        <v>22</v>
      </c>
    </row>
    <row r="467" spans="1:10" x14ac:dyDescent="0.3">
      <c r="A467" s="43" t="s">
        <v>478</v>
      </c>
      <c r="B467" s="2" t="s">
        <v>32</v>
      </c>
      <c r="C467" s="2" t="s">
        <v>33</v>
      </c>
      <c r="D467" s="2">
        <v>7</v>
      </c>
      <c r="E467" s="2">
        <v>7442807338</v>
      </c>
      <c r="F467" s="2" t="s">
        <v>13</v>
      </c>
      <c r="G467" s="2" t="s">
        <v>14</v>
      </c>
      <c r="H467" s="2" t="s">
        <v>21</v>
      </c>
      <c r="I467" s="2" t="s">
        <v>27</v>
      </c>
      <c r="J467" s="44" t="s">
        <v>23</v>
      </c>
    </row>
    <row r="468" spans="1:10" x14ac:dyDescent="0.3">
      <c r="A468" s="43" t="s">
        <v>479</v>
      </c>
      <c r="B468" s="2" t="s">
        <v>35</v>
      </c>
      <c r="C468" s="2" t="s">
        <v>43</v>
      </c>
      <c r="D468" s="2">
        <v>1</v>
      </c>
      <c r="E468" s="2">
        <v>9423836399</v>
      </c>
      <c r="F468" s="2" t="s">
        <v>19</v>
      </c>
      <c r="G468" s="2" t="s">
        <v>14</v>
      </c>
      <c r="H468" s="2" t="s">
        <v>15</v>
      </c>
      <c r="I468" s="2" t="s">
        <v>22</v>
      </c>
      <c r="J468" s="44" t="s">
        <v>23</v>
      </c>
    </row>
    <row r="469" spans="1:10" x14ac:dyDescent="0.3">
      <c r="A469" s="43" t="s">
        <v>480</v>
      </c>
      <c r="B469" s="2" t="s">
        <v>35</v>
      </c>
      <c r="C469" s="2" t="s">
        <v>26</v>
      </c>
      <c r="D469" s="2">
        <v>1</v>
      </c>
      <c r="E469" s="2">
        <v>7422699392</v>
      </c>
      <c r="F469" s="2" t="s">
        <v>19</v>
      </c>
      <c r="G469" s="2" t="s">
        <v>14</v>
      </c>
      <c r="H469" s="2" t="s">
        <v>15</v>
      </c>
      <c r="I469" s="2" t="s">
        <v>27</v>
      </c>
      <c r="J469" s="44" t="s">
        <v>23</v>
      </c>
    </row>
    <row r="470" spans="1:10" x14ac:dyDescent="0.3">
      <c r="A470" s="43" t="s">
        <v>481</v>
      </c>
      <c r="B470" s="2" t="s">
        <v>11</v>
      </c>
      <c r="C470" s="2" t="s">
        <v>26</v>
      </c>
      <c r="D470" s="2">
        <v>3</v>
      </c>
      <c r="E470" s="2">
        <v>9362476393</v>
      </c>
      <c r="F470" s="2" t="s">
        <v>19</v>
      </c>
      <c r="G470" s="2" t="s">
        <v>20</v>
      </c>
      <c r="H470" s="2" t="s">
        <v>15</v>
      </c>
      <c r="I470" s="2" t="s">
        <v>27</v>
      </c>
      <c r="J470" s="44" t="s">
        <v>22</v>
      </c>
    </row>
    <row r="471" spans="1:10" x14ac:dyDescent="0.3">
      <c r="A471" s="43" t="s">
        <v>482</v>
      </c>
      <c r="B471" s="2" t="s">
        <v>32</v>
      </c>
      <c r="C471" s="2" t="s">
        <v>12</v>
      </c>
      <c r="D471" s="2">
        <v>7</v>
      </c>
      <c r="E471" s="2">
        <v>8663603389</v>
      </c>
      <c r="F471" s="2" t="s">
        <v>19</v>
      </c>
      <c r="G471" s="2" t="s">
        <v>20</v>
      </c>
      <c r="H471" s="2" t="s">
        <v>15</v>
      </c>
      <c r="I471" s="2" t="s">
        <v>27</v>
      </c>
      <c r="J471" s="44" t="s">
        <v>17</v>
      </c>
    </row>
    <row r="472" spans="1:10" x14ac:dyDescent="0.3">
      <c r="A472" s="43" t="s">
        <v>483</v>
      </c>
      <c r="B472" s="2" t="s">
        <v>35</v>
      </c>
      <c r="C472" s="2" t="s">
        <v>33</v>
      </c>
      <c r="D472" s="2">
        <v>1</v>
      </c>
      <c r="E472" s="2">
        <v>9031389119</v>
      </c>
      <c r="F472" s="2" t="s">
        <v>19</v>
      </c>
      <c r="G472" s="2" t="s">
        <v>20</v>
      </c>
      <c r="H472" s="2" t="s">
        <v>21</v>
      </c>
      <c r="I472" s="2" t="s">
        <v>16</v>
      </c>
      <c r="J472" s="44" t="s">
        <v>22</v>
      </c>
    </row>
    <row r="473" spans="1:10" x14ac:dyDescent="0.3">
      <c r="A473" s="43" t="s">
        <v>484</v>
      </c>
      <c r="B473" s="2" t="s">
        <v>35</v>
      </c>
      <c r="C473" s="2" t="s">
        <v>43</v>
      </c>
      <c r="D473" s="2">
        <v>1</v>
      </c>
      <c r="E473" s="2">
        <v>6426975886</v>
      </c>
      <c r="F473" s="2" t="s">
        <v>13</v>
      </c>
      <c r="G473" s="2" t="s">
        <v>20</v>
      </c>
      <c r="H473" s="2" t="s">
        <v>15</v>
      </c>
      <c r="I473" s="2" t="s">
        <v>41</v>
      </c>
      <c r="J473" s="44" t="s">
        <v>17</v>
      </c>
    </row>
    <row r="474" spans="1:10" x14ac:dyDescent="0.3">
      <c r="A474" s="43" t="s">
        <v>485</v>
      </c>
      <c r="B474" s="2" t="s">
        <v>25</v>
      </c>
      <c r="C474" s="2" t="s">
        <v>26</v>
      </c>
      <c r="D474" s="2">
        <v>5</v>
      </c>
      <c r="E474" s="2">
        <v>8938331095</v>
      </c>
      <c r="F474" s="2" t="s">
        <v>13</v>
      </c>
      <c r="G474" s="2" t="s">
        <v>20</v>
      </c>
      <c r="H474" s="2" t="s">
        <v>21</v>
      </c>
      <c r="I474" s="2" t="s">
        <v>41</v>
      </c>
      <c r="J474" s="44" t="s">
        <v>17</v>
      </c>
    </row>
    <row r="475" spans="1:10" x14ac:dyDescent="0.3">
      <c r="A475" s="43" t="s">
        <v>396</v>
      </c>
      <c r="B475" s="2" t="s">
        <v>11</v>
      </c>
      <c r="C475" s="2" t="s">
        <v>33</v>
      </c>
      <c r="D475" s="2">
        <v>3</v>
      </c>
      <c r="E475" s="2">
        <v>8065438945</v>
      </c>
      <c r="F475" s="2" t="s">
        <v>19</v>
      </c>
      <c r="G475" s="2" t="s">
        <v>14</v>
      </c>
      <c r="H475" s="2" t="s">
        <v>21</v>
      </c>
      <c r="I475" s="2" t="s">
        <v>41</v>
      </c>
      <c r="J475" s="44" t="s">
        <v>22</v>
      </c>
    </row>
    <row r="476" spans="1:10" x14ac:dyDescent="0.3">
      <c r="A476" s="43" t="s">
        <v>486</v>
      </c>
      <c r="B476" s="2" t="s">
        <v>32</v>
      </c>
      <c r="C476" s="2" t="s">
        <v>26</v>
      </c>
      <c r="D476" s="2">
        <v>7</v>
      </c>
      <c r="E476" s="2">
        <v>8123120427</v>
      </c>
      <c r="F476" s="2" t="s">
        <v>13</v>
      </c>
      <c r="G476" s="2" t="s">
        <v>20</v>
      </c>
      <c r="H476" s="2" t="s">
        <v>15</v>
      </c>
      <c r="I476" s="2" t="s">
        <v>29</v>
      </c>
      <c r="J476" s="44" t="s">
        <v>22</v>
      </c>
    </row>
    <row r="477" spans="1:10" x14ac:dyDescent="0.3">
      <c r="A477" s="43" t="s">
        <v>487</v>
      </c>
      <c r="B477" s="2" t="s">
        <v>11</v>
      </c>
      <c r="C477" s="2" t="s">
        <v>26</v>
      </c>
      <c r="D477" s="2">
        <v>3</v>
      </c>
      <c r="E477" s="2">
        <v>7507233767</v>
      </c>
      <c r="F477" s="2" t="s">
        <v>13</v>
      </c>
      <c r="G477" s="2" t="s">
        <v>14</v>
      </c>
      <c r="H477" s="2" t="s">
        <v>15</v>
      </c>
      <c r="I477" s="2" t="s">
        <v>22</v>
      </c>
      <c r="J477" s="44" t="s">
        <v>17</v>
      </c>
    </row>
    <row r="478" spans="1:10" x14ac:dyDescent="0.3">
      <c r="A478" s="43" t="s">
        <v>488</v>
      </c>
      <c r="B478" s="2" t="s">
        <v>25</v>
      </c>
      <c r="C478" s="2" t="s">
        <v>36</v>
      </c>
      <c r="D478" s="2">
        <v>5</v>
      </c>
      <c r="E478" s="2">
        <v>8009312828</v>
      </c>
      <c r="F478" s="2" t="s">
        <v>13</v>
      </c>
      <c r="G478" s="2" t="s">
        <v>14</v>
      </c>
      <c r="H478" s="2" t="s">
        <v>21</v>
      </c>
      <c r="I478" s="2" t="s">
        <v>41</v>
      </c>
      <c r="J478" s="44" t="s">
        <v>23</v>
      </c>
    </row>
    <row r="479" spans="1:10" x14ac:dyDescent="0.3">
      <c r="A479" s="43" t="s">
        <v>387</v>
      </c>
      <c r="B479" s="2" t="s">
        <v>35</v>
      </c>
      <c r="C479" s="2" t="s">
        <v>26</v>
      </c>
      <c r="D479" s="2">
        <v>1</v>
      </c>
      <c r="E479" s="2">
        <v>7381251355</v>
      </c>
      <c r="F479" s="2" t="s">
        <v>19</v>
      </c>
      <c r="G479" s="2" t="s">
        <v>20</v>
      </c>
      <c r="H479" s="2" t="s">
        <v>21</v>
      </c>
      <c r="I479" s="2" t="s">
        <v>22</v>
      </c>
      <c r="J479" s="44" t="s">
        <v>22</v>
      </c>
    </row>
    <row r="480" spans="1:10" x14ac:dyDescent="0.3">
      <c r="A480" s="43" t="s">
        <v>489</v>
      </c>
      <c r="B480" s="2" t="s">
        <v>35</v>
      </c>
      <c r="C480" s="2" t="s">
        <v>12</v>
      </c>
      <c r="D480" s="2">
        <v>1</v>
      </c>
      <c r="E480" s="2">
        <v>8757874656</v>
      </c>
      <c r="F480" s="2" t="s">
        <v>19</v>
      </c>
      <c r="G480" s="2" t="s">
        <v>14</v>
      </c>
      <c r="H480" s="2" t="s">
        <v>15</v>
      </c>
      <c r="I480" s="2" t="s">
        <v>29</v>
      </c>
      <c r="J480" s="44" t="s">
        <v>22</v>
      </c>
    </row>
    <row r="481" spans="1:10" x14ac:dyDescent="0.3">
      <c r="A481" s="43" t="s">
        <v>490</v>
      </c>
      <c r="B481" s="2" t="s">
        <v>35</v>
      </c>
      <c r="C481" s="2" t="s">
        <v>36</v>
      </c>
      <c r="D481" s="2">
        <v>1</v>
      </c>
      <c r="E481" s="2">
        <v>7244604939</v>
      </c>
      <c r="F481" s="2" t="s">
        <v>13</v>
      </c>
      <c r="G481" s="2" t="s">
        <v>20</v>
      </c>
      <c r="H481" s="2" t="s">
        <v>15</v>
      </c>
      <c r="I481" s="2" t="s">
        <v>16</v>
      </c>
      <c r="J481" s="44" t="s">
        <v>17</v>
      </c>
    </row>
    <row r="482" spans="1:10" x14ac:dyDescent="0.3">
      <c r="A482" s="43" t="s">
        <v>491</v>
      </c>
      <c r="B482" s="2" t="s">
        <v>35</v>
      </c>
      <c r="C482" s="2" t="s">
        <v>33</v>
      </c>
      <c r="D482" s="2">
        <v>1</v>
      </c>
      <c r="E482" s="2">
        <v>8991465847</v>
      </c>
      <c r="F482" s="2" t="s">
        <v>19</v>
      </c>
      <c r="G482" s="2" t="s">
        <v>20</v>
      </c>
      <c r="H482" s="2" t="s">
        <v>21</v>
      </c>
      <c r="I482" s="2" t="s">
        <v>41</v>
      </c>
      <c r="J482" s="44" t="s">
        <v>23</v>
      </c>
    </row>
    <row r="483" spans="1:10" x14ac:dyDescent="0.3">
      <c r="A483" s="43" t="s">
        <v>492</v>
      </c>
      <c r="B483" s="2" t="s">
        <v>35</v>
      </c>
      <c r="C483" s="2" t="s">
        <v>26</v>
      </c>
      <c r="D483" s="2">
        <v>1</v>
      </c>
      <c r="E483" s="2">
        <v>7712627893</v>
      </c>
      <c r="F483" s="2" t="s">
        <v>19</v>
      </c>
      <c r="G483" s="2" t="s">
        <v>14</v>
      </c>
      <c r="H483" s="2" t="s">
        <v>15</v>
      </c>
      <c r="I483" s="2" t="s">
        <v>37</v>
      </c>
      <c r="J483" s="44" t="s">
        <v>23</v>
      </c>
    </row>
    <row r="484" spans="1:10" x14ac:dyDescent="0.3">
      <c r="A484" s="43" t="s">
        <v>493</v>
      </c>
      <c r="B484" s="2" t="s">
        <v>35</v>
      </c>
      <c r="C484" s="2" t="s">
        <v>36</v>
      </c>
      <c r="D484" s="2">
        <v>1</v>
      </c>
      <c r="E484" s="2">
        <v>9134284930</v>
      </c>
      <c r="F484" s="2" t="s">
        <v>19</v>
      </c>
      <c r="G484" s="2" t="s">
        <v>14</v>
      </c>
      <c r="H484" s="2" t="s">
        <v>15</v>
      </c>
      <c r="I484" s="2" t="s">
        <v>37</v>
      </c>
      <c r="J484" s="44" t="s">
        <v>17</v>
      </c>
    </row>
    <row r="485" spans="1:10" x14ac:dyDescent="0.3">
      <c r="A485" s="43" t="s">
        <v>494</v>
      </c>
      <c r="B485" s="2" t="s">
        <v>32</v>
      </c>
      <c r="C485" s="2" t="s">
        <v>43</v>
      </c>
      <c r="D485" s="2">
        <v>7</v>
      </c>
      <c r="E485" s="2">
        <v>8592739796</v>
      </c>
      <c r="F485" s="2" t="s">
        <v>19</v>
      </c>
      <c r="G485" s="2" t="s">
        <v>14</v>
      </c>
      <c r="H485" s="2" t="s">
        <v>15</v>
      </c>
      <c r="I485" s="2" t="s">
        <v>22</v>
      </c>
      <c r="J485" s="44" t="s">
        <v>22</v>
      </c>
    </row>
    <row r="486" spans="1:10" x14ac:dyDescent="0.3">
      <c r="A486" s="43" t="s">
        <v>495</v>
      </c>
      <c r="B486" s="2" t="s">
        <v>25</v>
      </c>
      <c r="C486" s="2" t="s">
        <v>26</v>
      </c>
      <c r="D486" s="2">
        <v>5</v>
      </c>
      <c r="E486" s="2">
        <v>7263962071</v>
      </c>
      <c r="F486" s="2" t="s">
        <v>13</v>
      </c>
      <c r="G486" s="2" t="s">
        <v>14</v>
      </c>
      <c r="H486" s="2" t="s">
        <v>21</v>
      </c>
      <c r="I486" s="2" t="s">
        <v>41</v>
      </c>
      <c r="J486" s="44" t="s">
        <v>22</v>
      </c>
    </row>
    <row r="487" spans="1:10" x14ac:dyDescent="0.3">
      <c r="A487" s="43" t="s">
        <v>496</v>
      </c>
      <c r="B487" s="2" t="s">
        <v>25</v>
      </c>
      <c r="C487" s="2" t="s">
        <v>33</v>
      </c>
      <c r="D487" s="2">
        <v>5</v>
      </c>
      <c r="E487" s="2">
        <v>6802777637</v>
      </c>
      <c r="F487" s="2" t="s">
        <v>19</v>
      </c>
      <c r="G487" s="2" t="s">
        <v>14</v>
      </c>
      <c r="H487" s="2" t="s">
        <v>15</v>
      </c>
      <c r="I487" s="2" t="s">
        <v>22</v>
      </c>
      <c r="J487" s="44" t="s">
        <v>23</v>
      </c>
    </row>
    <row r="488" spans="1:10" x14ac:dyDescent="0.3">
      <c r="A488" s="43" t="s">
        <v>184</v>
      </c>
      <c r="B488" s="2" t="s">
        <v>35</v>
      </c>
      <c r="C488" s="2" t="s">
        <v>36</v>
      </c>
      <c r="D488" s="2">
        <v>1</v>
      </c>
      <c r="E488" s="2">
        <v>8380003977</v>
      </c>
      <c r="F488" s="2" t="s">
        <v>13</v>
      </c>
      <c r="G488" s="2" t="s">
        <v>14</v>
      </c>
      <c r="H488" s="2" t="s">
        <v>15</v>
      </c>
      <c r="I488" s="2" t="s">
        <v>22</v>
      </c>
      <c r="J488" s="44" t="s">
        <v>22</v>
      </c>
    </row>
    <row r="489" spans="1:10" x14ac:dyDescent="0.3">
      <c r="A489" s="43" t="s">
        <v>497</v>
      </c>
      <c r="B489" s="2" t="s">
        <v>32</v>
      </c>
      <c r="C489" s="2" t="s">
        <v>26</v>
      </c>
      <c r="D489" s="2">
        <v>7</v>
      </c>
      <c r="E489" s="2">
        <v>7452989514</v>
      </c>
      <c r="F489" s="2" t="s">
        <v>19</v>
      </c>
      <c r="G489" s="2" t="s">
        <v>20</v>
      </c>
      <c r="H489" s="2" t="s">
        <v>21</v>
      </c>
      <c r="I489" s="2" t="s">
        <v>22</v>
      </c>
      <c r="J489" s="44" t="s">
        <v>22</v>
      </c>
    </row>
    <row r="490" spans="1:10" x14ac:dyDescent="0.3">
      <c r="A490" s="43" t="s">
        <v>498</v>
      </c>
      <c r="B490" s="2" t="s">
        <v>11</v>
      </c>
      <c r="C490" s="2" t="s">
        <v>43</v>
      </c>
      <c r="D490" s="2">
        <v>3</v>
      </c>
      <c r="E490" s="2">
        <v>9958928140</v>
      </c>
      <c r="F490" s="2" t="s">
        <v>13</v>
      </c>
      <c r="G490" s="2" t="s">
        <v>20</v>
      </c>
      <c r="H490" s="2" t="s">
        <v>15</v>
      </c>
      <c r="I490" s="2" t="s">
        <v>41</v>
      </c>
      <c r="J490" s="44" t="s">
        <v>17</v>
      </c>
    </row>
    <row r="491" spans="1:10" x14ac:dyDescent="0.3">
      <c r="A491" s="43" t="s">
        <v>499</v>
      </c>
      <c r="B491" s="2" t="s">
        <v>25</v>
      </c>
      <c r="C491" s="2" t="s">
        <v>36</v>
      </c>
      <c r="D491" s="2">
        <v>5</v>
      </c>
      <c r="E491" s="2">
        <v>9358394387</v>
      </c>
      <c r="F491" s="2" t="s">
        <v>13</v>
      </c>
      <c r="G491" s="2" t="s">
        <v>14</v>
      </c>
      <c r="H491" s="2" t="s">
        <v>21</v>
      </c>
      <c r="I491" s="2" t="s">
        <v>22</v>
      </c>
      <c r="J491" s="44" t="s">
        <v>17</v>
      </c>
    </row>
    <row r="492" spans="1:10" x14ac:dyDescent="0.3">
      <c r="A492" s="43" t="s">
        <v>448</v>
      </c>
      <c r="B492" s="2" t="s">
        <v>25</v>
      </c>
      <c r="C492" s="2" t="s">
        <v>26</v>
      </c>
      <c r="D492" s="2">
        <v>5</v>
      </c>
      <c r="E492" s="2">
        <v>8050211683</v>
      </c>
      <c r="F492" s="2" t="s">
        <v>19</v>
      </c>
      <c r="G492" s="2" t="s">
        <v>20</v>
      </c>
      <c r="H492" s="2" t="s">
        <v>21</v>
      </c>
      <c r="I492" s="2" t="s">
        <v>22</v>
      </c>
      <c r="J492" s="44" t="s">
        <v>17</v>
      </c>
    </row>
    <row r="493" spans="1:10" x14ac:dyDescent="0.3">
      <c r="A493" s="43" t="s">
        <v>500</v>
      </c>
      <c r="B493" s="2" t="s">
        <v>32</v>
      </c>
      <c r="C493" s="2" t="s">
        <v>26</v>
      </c>
      <c r="D493" s="2">
        <v>7</v>
      </c>
      <c r="E493" s="2">
        <v>8799177556</v>
      </c>
      <c r="F493" s="2" t="s">
        <v>19</v>
      </c>
      <c r="G493" s="2" t="s">
        <v>14</v>
      </c>
      <c r="H493" s="2" t="s">
        <v>21</v>
      </c>
      <c r="I493" s="2" t="s">
        <v>41</v>
      </c>
      <c r="J493" s="44" t="s">
        <v>23</v>
      </c>
    </row>
    <row r="494" spans="1:10" x14ac:dyDescent="0.3">
      <c r="A494" s="43" t="s">
        <v>501</v>
      </c>
      <c r="B494" s="2" t="s">
        <v>35</v>
      </c>
      <c r="C494" s="2" t="s">
        <v>43</v>
      </c>
      <c r="D494" s="2">
        <v>1</v>
      </c>
      <c r="E494" s="2">
        <v>8829335955</v>
      </c>
      <c r="F494" s="2" t="s">
        <v>13</v>
      </c>
      <c r="G494" s="2" t="s">
        <v>20</v>
      </c>
      <c r="H494" s="2" t="s">
        <v>21</v>
      </c>
      <c r="I494" s="2" t="s">
        <v>22</v>
      </c>
      <c r="J494" s="44" t="s">
        <v>23</v>
      </c>
    </row>
    <row r="495" spans="1:10" x14ac:dyDescent="0.3">
      <c r="A495" s="43" t="s">
        <v>459</v>
      </c>
      <c r="B495" s="2" t="s">
        <v>35</v>
      </c>
      <c r="C495" s="2" t="s">
        <v>43</v>
      </c>
      <c r="D495" s="2">
        <v>1</v>
      </c>
      <c r="E495" s="2">
        <v>7106236932</v>
      </c>
      <c r="F495" s="2" t="s">
        <v>13</v>
      </c>
      <c r="G495" s="2" t="s">
        <v>20</v>
      </c>
      <c r="H495" s="2" t="s">
        <v>21</v>
      </c>
      <c r="I495" s="2" t="s">
        <v>37</v>
      </c>
      <c r="J495" s="44" t="s">
        <v>22</v>
      </c>
    </row>
    <row r="496" spans="1:10" x14ac:dyDescent="0.3">
      <c r="A496" s="43" t="s">
        <v>502</v>
      </c>
      <c r="B496" s="2" t="s">
        <v>32</v>
      </c>
      <c r="C496" s="2" t="s">
        <v>33</v>
      </c>
      <c r="D496" s="2">
        <v>7</v>
      </c>
      <c r="E496" s="2">
        <v>6778183212</v>
      </c>
      <c r="F496" s="2" t="s">
        <v>19</v>
      </c>
      <c r="G496" s="2" t="s">
        <v>14</v>
      </c>
      <c r="H496" s="2" t="s">
        <v>15</v>
      </c>
      <c r="I496" s="2" t="s">
        <v>37</v>
      </c>
      <c r="J496" s="44" t="s">
        <v>22</v>
      </c>
    </row>
    <row r="497" spans="1:10" x14ac:dyDescent="0.3">
      <c r="A497" s="43" t="s">
        <v>503</v>
      </c>
      <c r="B497" s="2" t="s">
        <v>11</v>
      </c>
      <c r="C497" s="2" t="s">
        <v>12</v>
      </c>
      <c r="D497" s="2">
        <v>3</v>
      </c>
      <c r="E497" s="2">
        <v>7305820563</v>
      </c>
      <c r="F497" s="2" t="s">
        <v>13</v>
      </c>
      <c r="G497" s="2" t="s">
        <v>20</v>
      </c>
      <c r="H497" s="2" t="s">
        <v>21</v>
      </c>
      <c r="I497" s="2" t="s">
        <v>41</v>
      </c>
      <c r="J497" s="44" t="s">
        <v>17</v>
      </c>
    </row>
    <row r="498" spans="1:10" x14ac:dyDescent="0.3">
      <c r="A498" s="43" t="s">
        <v>504</v>
      </c>
      <c r="B498" s="2" t="s">
        <v>32</v>
      </c>
      <c r="C498" s="2" t="s">
        <v>33</v>
      </c>
      <c r="D498" s="2">
        <v>7</v>
      </c>
      <c r="E498" s="2">
        <v>6085750383</v>
      </c>
      <c r="F498" s="2" t="s">
        <v>19</v>
      </c>
      <c r="G498" s="2" t="s">
        <v>20</v>
      </c>
      <c r="H498" s="2" t="s">
        <v>15</v>
      </c>
      <c r="I498" s="2" t="s">
        <v>22</v>
      </c>
      <c r="J498" s="44" t="s">
        <v>23</v>
      </c>
    </row>
    <row r="499" spans="1:10" x14ac:dyDescent="0.3">
      <c r="A499" s="43" t="s">
        <v>46</v>
      </c>
      <c r="B499" s="2" t="s">
        <v>35</v>
      </c>
      <c r="C499" s="2" t="s">
        <v>12</v>
      </c>
      <c r="D499" s="2">
        <v>1</v>
      </c>
      <c r="E499" s="2">
        <v>6937024662</v>
      </c>
      <c r="F499" s="2" t="s">
        <v>19</v>
      </c>
      <c r="G499" s="2" t="s">
        <v>20</v>
      </c>
      <c r="H499" s="2" t="s">
        <v>15</v>
      </c>
      <c r="I499" s="2" t="s">
        <v>29</v>
      </c>
      <c r="J499" s="44" t="s">
        <v>22</v>
      </c>
    </row>
    <row r="500" spans="1:10" x14ac:dyDescent="0.3">
      <c r="A500" s="43" t="s">
        <v>505</v>
      </c>
      <c r="B500" s="2" t="s">
        <v>35</v>
      </c>
      <c r="C500" s="2" t="s">
        <v>12</v>
      </c>
      <c r="D500" s="2">
        <v>1</v>
      </c>
      <c r="E500" s="2">
        <v>9764627124</v>
      </c>
      <c r="F500" s="2" t="s">
        <v>19</v>
      </c>
      <c r="G500" s="2" t="s">
        <v>20</v>
      </c>
      <c r="H500" s="2" t="s">
        <v>21</v>
      </c>
      <c r="I500" s="2" t="s">
        <v>22</v>
      </c>
      <c r="J500" s="44" t="s">
        <v>23</v>
      </c>
    </row>
    <row r="501" spans="1:10" x14ac:dyDescent="0.3">
      <c r="A501" s="43" t="s">
        <v>506</v>
      </c>
      <c r="B501" s="2" t="s">
        <v>32</v>
      </c>
      <c r="C501" s="2" t="s">
        <v>26</v>
      </c>
      <c r="D501" s="2">
        <v>7</v>
      </c>
      <c r="E501" s="2">
        <v>6894705621</v>
      </c>
      <c r="F501" s="2" t="s">
        <v>19</v>
      </c>
      <c r="G501" s="2" t="s">
        <v>20</v>
      </c>
      <c r="H501" s="2" t="s">
        <v>21</v>
      </c>
      <c r="I501" s="2" t="s">
        <v>27</v>
      </c>
      <c r="J501" s="44" t="s">
        <v>22</v>
      </c>
    </row>
    <row r="502" spans="1:10" x14ac:dyDescent="0.3">
      <c r="A502" s="43" t="s">
        <v>507</v>
      </c>
      <c r="B502" s="2" t="s">
        <v>35</v>
      </c>
      <c r="C502" s="2" t="s">
        <v>43</v>
      </c>
      <c r="D502" s="2">
        <v>1</v>
      </c>
      <c r="E502" s="2">
        <v>7478040919</v>
      </c>
      <c r="F502" s="2" t="s">
        <v>19</v>
      </c>
      <c r="G502" s="2" t="s">
        <v>20</v>
      </c>
      <c r="H502" s="2" t="s">
        <v>15</v>
      </c>
      <c r="I502" s="2" t="s">
        <v>41</v>
      </c>
      <c r="J502" s="44" t="s">
        <v>22</v>
      </c>
    </row>
    <row r="503" spans="1:10" x14ac:dyDescent="0.3">
      <c r="A503" s="43" t="s">
        <v>508</v>
      </c>
      <c r="B503" s="2" t="s">
        <v>11</v>
      </c>
      <c r="C503" s="2" t="s">
        <v>33</v>
      </c>
      <c r="D503" s="2">
        <v>3</v>
      </c>
      <c r="E503" s="2">
        <v>8413669015</v>
      </c>
      <c r="F503" s="2" t="s">
        <v>13</v>
      </c>
      <c r="G503" s="2" t="s">
        <v>20</v>
      </c>
      <c r="H503" s="2" t="s">
        <v>21</v>
      </c>
      <c r="I503" s="2" t="s">
        <v>22</v>
      </c>
      <c r="J503" s="44" t="s">
        <v>22</v>
      </c>
    </row>
    <row r="504" spans="1:10" x14ac:dyDescent="0.3">
      <c r="A504" s="43" t="s">
        <v>509</v>
      </c>
      <c r="B504" s="2" t="s">
        <v>35</v>
      </c>
      <c r="C504" s="2" t="s">
        <v>12</v>
      </c>
      <c r="D504" s="2">
        <v>1</v>
      </c>
      <c r="E504" s="2">
        <v>7509845517</v>
      </c>
      <c r="F504" s="2" t="s">
        <v>13</v>
      </c>
      <c r="G504" s="2" t="s">
        <v>14</v>
      </c>
      <c r="H504" s="2" t="s">
        <v>15</v>
      </c>
      <c r="I504" s="2" t="s">
        <v>27</v>
      </c>
      <c r="J504" s="44" t="s">
        <v>22</v>
      </c>
    </row>
    <row r="505" spans="1:10" x14ac:dyDescent="0.3">
      <c r="A505" s="43" t="s">
        <v>510</v>
      </c>
      <c r="B505" s="2" t="s">
        <v>35</v>
      </c>
      <c r="C505" s="2" t="s">
        <v>43</v>
      </c>
      <c r="D505" s="2">
        <v>1</v>
      </c>
      <c r="E505" s="2">
        <v>7320490624</v>
      </c>
      <c r="F505" s="2" t="s">
        <v>13</v>
      </c>
      <c r="G505" s="2" t="s">
        <v>20</v>
      </c>
      <c r="H505" s="2" t="s">
        <v>21</v>
      </c>
      <c r="I505" s="2" t="s">
        <v>22</v>
      </c>
      <c r="J505" s="44" t="s">
        <v>23</v>
      </c>
    </row>
    <row r="506" spans="1:10" x14ac:dyDescent="0.3">
      <c r="A506" s="43" t="s">
        <v>511</v>
      </c>
      <c r="B506" s="2" t="s">
        <v>25</v>
      </c>
      <c r="C506" s="2" t="s">
        <v>12</v>
      </c>
      <c r="D506" s="2">
        <v>5</v>
      </c>
      <c r="E506" s="2">
        <v>8670642324</v>
      </c>
      <c r="F506" s="2" t="s">
        <v>19</v>
      </c>
      <c r="G506" s="2" t="s">
        <v>20</v>
      </c>
      <c r="H506" s="2" t="s">
        <v>15</v>
      </c>
      <c r="I506" s="2" t="s">
        <v>16</v>
      </c>
      <c r="J506" s="44" t="s">
        <v>17</v>
      </c>
    </row>
    <row r="507" spans="1:10" x14ac:dyDescent="0.3">
      <c r="A507" s="43" t="s">
        <v>512</v>
      </c>
      <c r="B507" s="2" t="s">
        <v>35</v>
      </c>
      <c r="C507" s="2" t="s">
        <v>26</v>
      </c>
      <c r="D507" s="2">
        <v>1</v>
      </c>
      <c r="E507" s="2">
        <v>8608868511</v>
      </c>
      <c r="F507" s="2" t="s">
        <v>19</v>
      </c>
      <c r="G507" s="2" t="s">
        <v>14</v>
      </c>
      <c r="H507" s="2" t="s">
        <v>15</v>
      </c>
      <c r="I507" s="2" t="s">
        <v>29</v>
      </c>
      <c r="J507" s="44" t="s">
        <v>22</v>
      </c>
    </row>
    <row r="508" spans="1:10" x14ac:dyDescent="0.3">
      <c r="A508" s="43" t="s">
        <v>513</v>
      </c>
      <c r="B508" s="2" t="s">
        <v>32</v>
      </c>
      <c r="C508" s="2" t="s">
        <v>36</v>
      </c>
      <c r="D508" s="2">
        <v>7</v>
      </c>
      <c r="E508" s="2">
        <v>9398634264</v>
      </c>
      <c r="F508" s="2" t="s">
        <v>13</v>
      </c>
      <c r="G508" s="2" t="s">
        <v>14</v>
      </c>
      <c r="H508" s="2" t="s">
        <v>15</v>
      </c>
      <c r="I508" s="2" t="s">
        <v>22</v>
      </c>
      <c r="J508" s="44" t="s">
        <v>23</v>
      </c>
    </row>
    <row r="509" spans="1:10" x14ac:dyDescent="0.3">
      <c r="A509" s="43" t="s">
        <v>514</v>
      </c>
      <c r="B509" s="2" t="s">
        <v>32</v>
      </c>
      <c r="C509" s="2" t="s">
        <v>26</v>
      </c>
      <c r="D509" s="2">
        <v>7</v>
      </c>
      <c r="E509" s="2">
        <v>6575664723</v>
      </c>
      <c r="F509" s="2" t="s">
        <v>19</v>
      </c>
      <c r="G509" s="2" t="s">
        <v>14</v>
      </c>
      <c r="H509" s="2" t="s">
        <v>21</v>
      </c>
      <c r="I509" s="2" t="s">
        <v>22</v>
      </c>
      <c r="J509" s="44" t="s">
        <v>23</v>
      </c>
    </row>
    <row r="510" spans="1:10" x14ac:dyDescent="0.3">
      <c r="A510" s="43" t="s">
        <v>432</v>
      </c>
      <c r="B510" s="2" t="s">
        <v>11</v>
      </c>
      <c r="C510" s="2" t="s">
        <v>26</v>
      </c>
      <c r="D510" s="2">
        <v>3</v>
      </c>
      <c r="E510" s="2">
        <v>9708243859</v>
      </c>
      <c r="F510" s="2" t="s">
        <v>19</v>
      </c>
      <c r="G510" s="2" t="s">
        <v>14</v>
      </c>
      <c r="H510" s="2" t="s">
        <v>21</v>
      </c>
      <c r="I510" s="2" t="s">
        <v>22</v>
      </c>
      <c r="J510" s="44" t="s">
        <v>23</v>
      </c>
    </row>
    <row r="511" spans="1:10" x14ac:dyDescent="0.3">
      <c r="A511" s="43" t="s">
        <v>515</v>
      </c>
      <c r="B511" s="2" t="s">
        <v>25</v>
      </c>
      <c r="C511" s="2" t="s">
        <v>33</v>
      </c>
      <c r="D511" s="2">
        <v>5</v>
      </c>
      <c r="E511" s="2">
        <v>6501963377</v>
      </c>
      <c r="F511" s="2" t="s">
        <v>19</v>
      </c>
      <c r="G511" s="2" t="s">
        <v>20</v>
      </c>
      <c r="H511" s="2" t="s">
        <v>15</v>
      </c>
      <c r="I511" s="2" t="s">
        <v>22</v>
      </c>
      <c r="J511" s="44" t="s">
        <v>17</v>
      </c>
    </row>
    <row r="512" spans="1:10" x14ac:dyDescent="0.3">
      <c r="A512" s="43" t="s">
        <v>516</v>
      </c>
      <c r="B512" s="2" t="s">
        <v>11</v>
      </c>
      <c r="C512" s="2" t="s">
        <v>26</v>
      </c>
      <c r="D512" s="2">
        <v>3</v>
      </c>
      <c r="E512" s="2">
        <v>8679500866</v>
      </c>
      <c r="F512" s="2" t="s">
        <v>19</v>
      </c>
      <c r="G512" s="2" t="s">
        <v>20</v>
      </c>
      <c r="H512" s="2" t="s">
        <v>15</v>
      </c>
      <c r="I512" s="2" t="s">
        <v>22</v>
      </c>
      <c r="J512" s="44" t="s">
        <v>22</v>
      </c>
    </row>
    <row r="513" spans="1:10" x14ac:dyDescent="0.3">
      <c r="A513" s="43" t="s">
        <v>517</v>
      </c>
      <c r="B513" s="2" t="s">
        <v>11</v>
      </c>
      <c r="C513" s="2" t="s">
        <v>33</v>
      </c>
      <c r="D513" s="2">
        <v>3</v>
      </c>
      <c r="E513" s="2">
        <v>7304676721</v>
      </c>
      <c r="F513" s="2" t="s">
        <v>19</v>
      </c>
      <c r="G513" s="2" t="s">
        <v>20</v>
      </c>
      <c r="H513" s="2" t="s">
        <v>21</v>
      </c>
      <c r="I513" s="2" t="s">
        <v>16</v>
      </c>
      <c r="J513" s="44" t="s">
        <v>22</v>
      </c>
    </row>
    <row r="514" spans="1:10" x14ac:dyDescent="0.3">
      <c r="A514" s="43" t="s">
        <v>518</v>
      </c>
      <c r="B514" s="2" t="s">
        <v>25</v>
      </c>
      <c r="C514" s="2" t="s">
        <v>26</v>
      </c>
      <c r="D514" s="2">
        <v>5</v>
      </c>
      <c r="E514" s="2">
        <v>8566880913</v>
      </c>
      <c r="F514" s="2" t="s">
        <v>13</v>
      </c>
      <c r="G514" s="2" t="s">
        <v>14</v>
      </c>
      <c r="H514" s="2" t="s">
        <v>21</v>
      </c>
      <c r="I514" s="2" t="s">
        <v>27</v>
      </c>
      <c r="J514" s="44" t="s">
        <v>17</v>
      </c>
    </row>
    <row r="515" spans="1:10" x14ac:dyDescent="0.3">
      <c r="A515" s="43" t="s">
        <v>519</v>
      </c>
      <c r="B515" s="2" t="s">
        <v>11</v>
      </c>
      <c r="C515" s="2" t="s">
        <v>36</v>
      </c>
      <c r="D515" s="2">
        <v>3</v>
      </c>
      <c r="E515" s="2">
        <v>6241830847</v>
      </c>
      <c r="F515" s="2" t="s">
        <v>19</v>
      </c>
      <c r="G515" s="2" t="s">
        <v>20</v>
      </c>
      <c r="H515" s="2" t="s">
        <v>21</v>
      </c>
      <c r="I515" s="2" t="s">
        <v>37</v>
      </c>
      <c r="J515" s="44" t="s">
        <v>22</v>
      </c>
    </row>
    <row r="516" spans="1:10" x14ac:dyDescent="0.3">
      <c r="A516" s="43" t="s">
        <v>520</v>
      </c>
      <c r="B516" s="2" t="s">
        <v>11</v>
      </c>
      <c r="C516" s="2" t="s">
        <v>33</v>
      </c>
      <c r="D516" s="2">
        <v>3</v>
      </c>
      <c r="E516" s="2">
        <v>6868890909</v>
      </c>
      <c r="F516" s="2" t="s">
        <v>13</v>
      </c>
      <c r="G516" s="2" t="s">
        <v>14</v>
      </c>
      <c r="H516" s="2" t="s">
        <v>15</v>
      </c>
      <c r="I516" s="2" t="s">
        <v>22</v>
      </c>
      <c r="J516" s="44" t="s">
        <v>23</v>
      </c>
    </row>
    <row r="517" spans="1:10" x14ac:dyDescent="0.3">
      <c r="A517" s="43" t="s">
        <v>521</v>
      </c>
      <c r="B517" s="2" t="s">
        <v>32</v>
      </c>
      <c r="C517" s="2" t="s">
        <v>33</v>
      </c>
      <c r="D517" s="2">
        <v>7</v>
      </c>
      <c r="E517" s="2">
        <v>9254975927</v>
      </c>
      <c r="F517" s="2" t="s">
        <v>19</v>
      </c>
      <c r="G517" s="2" t="s">
        <v>14</v>
      </c>
      <c r="H517" s="2" t="s">
        <v>21</v>
      </c>
      <c r="I517" s="2" t="s">
        <v>22</v>
      </c>
      <c r="J517" s="44" t="s">
        <v>22</v>
      </c>
    </row>
    <row r="518" spans="1:10" x14ac:dyDescent="0.3">
      <c r="A518" s="43" t="s">
        <v>522</v>
      </c>
      <c r="B518" s="2" t="s">
        <v>25</v>
      </c>
      <c r="C518" s="2" t="s">
        <v>36</v>
      </c>
      <c r="D518" s="2">
        <v>5</v>
      </c>
      <c r="E518" s="2">
        <v>8219286416</v>
      </c>
      <c r="F518" s="2" t="s">
        <v>19</v>
      </c>
      <c r="G518" s="2" t="s">
        <v>14</v>
      </c>
      <c r="H518" s="2" t="s">
        <v>15</v>
      </c>
      <c r="I518" s="2" t="s">
        <v>27</v>
      </c>
      <c r="J518" s="44" t="s">
        <v>17</v>
      </c>
    </row>
    <row r="519" spans="1:10" x14ac:dyDescent="0.3">
      <c r="A519" s="43" t="s">
        <v>523</v>
      </c>
      <c r="B519" s="2" t="s">
        <v>11</v>
      </c>
      <c r="C519" s="2" t="s">
        <v>26</v>
      </c>
      <c r="D519" s="2">
        <v>3</v>
      </c>
      <c r="E519" s="2">
        <v>7366898250</v>
      </c>
      <c r="F519" s="2" t="s">
        <v>19</v>
      </c>
      <c r="G519" s="2" t="s">
        <v>14</v>
      </c>
      <c r="H519" s="2" t="s">
        <v>15</v>
      </c>
      <c r="I519" s="2" t="s">
        <v>22</v>
      </c>
      <c r="J519" s="44" t="s">
        <v>23</v>
      </c>
    </row>
    <row r="520" spans="1:10" x14ac:dyDescent="0.3">
      <c r="A520" s="43" t="s">
        <v>524</v>
      </c>
      <c r="B520" s="2" t="s">
        <v>32</v>
      </c>
      <c r="C520" s="2" t="s">
        <v>26</v>
      </c>
      <c r="D520" s="2">
        <v>7</v>
      </c>
      <c r="E520" s="2">
        <v>6021890263</v>
      </c>
      <c r="F520" s="2" t="s">
        <v>19</v>
      </c>
      <c r="G520" s="2" t="s">
        <v>20</v>
      </c>
      <c r="H520" s="2" t="s">
        <v>15</v>
      </c>
      <c r="I520" s="2" t="s">
        <v>22</v>
      </c>
      <c r="J520" s="44" t="s">
        <v>22</v>
      </c>
    </row>
    <row r="521" spans="1:10" x14ac:dyDescent="0.3">
      <c r="A521" s="43" t="s">
        <v>525</v>
      </c>
      <c r="B521" s="2" t="s">
        <v>32</v>
      </c>
      <c r="C521" s="2" t="s">
        <v>26</v>
      </c>
      <c r="D521" s="2">
        <v>7</v>
      </c>
      <c r="E521" s="2">
        <v>7918713135</v>
      </c>
      <c r="F521" s="2" t="s">
        <v>19</v>
      </c>
      <c r="G521" s="2" t="s">
        <v>14</v>
      </c>
      <c r="H521" s="2" t="s">
        <v>15</v>
      </c>
      <c r="I521" s="2" t="s">
        <v>29</v>
      </c>
      <c r="J521" s="44" t="s">
        <v>22</v>
      </c>
    </row>
    <row r="522" spans="1:10" x14ac:dyDescent="0.3">
      <c r="A522" s="43" t="s">
        <v>526</v>
      </c>
      <c r="B522" s="2" t="s">
        <v>11</v>
      </c>
      <c r="C522" s="2" t="s">
        <v>43</v>
      </c>
      <c r="D522" s="2">
        <v>3</v>
      </c>
      <c r="E522" s="2">
        <v>9178261686</v>
      </c>
      <c r="F522" s="2" t="s">
        <v>19</v>
      </c>
      <c r="G522" s="2" t="s">
        <v>14</v>
      </c>
      <c r="H522" s="2" t="s">
        <v>21</v>
      </c>
      <c r="I522" s="2" t="s">
        <v>37</v>
      </c>
      <c r="J522" s="44" t="s">
        <v>23</v>
      </c>
    </row>
    <row r="523" spans="1:10" x14ac:dyDescent="0.3">
      <c r="A523" s="43" t="s">
        <v>527</v>
      </c>
      <c r="B523" s="2" t="s">
        <v>11</v>
      </c>
      <c r="C523" s="2" t="s">
        <v>12</v>
      </c>
      <c r="D523" s="2">
        <v>3</v>
      </c>
      <c r="E523" s="2">
        <v>9633833628</v>
      </c>
      <c r="F523" s="2" t="s">
        <v>13</v>
      </c>
      <c r="G523" s="2" t="s">
        <v>14</v>
      </c>
      <c r="H523" s="2" t="s">
        <v>21</v>
      </c>
      <c r="I523" s="2" t="s">
        <v>22</v>
      </c>
      <c r="J523" s="44" t="s">
        <v>17</v>
      </c>
    </row>
    <row r="524" spans="1:10" x14ac:dyDescent="0.3">
      <c r="A524" s="43" t="s">
        <v>528</v>
      </c>
      <c r="B524" s="2" t="s">
        <v>11</v>
      </c>
      <c r="C524" s="2" t="s">
        <v>26</v>
      </c>
      <c r="D524" s="2">
        <v>3</v>
      </c>
      <c r="E524" s="2">
        <v>9570615344</v>
      </c>
      <c r="F524" s="2" t="s">
        <v>13</v>
      </c>
      <c r="G524" s="2" t="s">
        <v>20</v>
      </c>
      <c r="H524" s="2" t="s">
        <v>15</v>
      </c>
      <c r="I524" s="2" t="s">
        <v>37</v>
      </c>
      <c r="J524" s="44" t="s">
        <v>22</v>
      </c>
    </row>
    <row r="525" spans="1:10" x14ac:dyDescent="0.3">
      <c r="A525" s="43" t="s">
        <v>268</v>
      </c>
      <c r="B525" s="2" t="s">
        <v>32</v>
      </c>
      <c r="C525" s="2" t="s">
        <v>43</v>
      </c>
      <c r="D525" s="2">
        <v>7</v>
      </c>
      <c r="E525" s="2">
        <v>6193139365</v>
      </c>
      <c r="F525" s="2" t="s">
        <v>13</v>
      </c>
      <c r="G525" s="2" t="s">
        <v>20</v>
      </c>
      <c r="H525" s="2" t="s">
        <v>15</v>
      </c>
      <c r="I525" s="2" t="s">
        <v>22</v>
      </c>
      <c r="J525" s="44" t="s">
        <v>17</v>
      </c>
    </row>
    <row r="526" spans="1:10" x14ac:dyDescent="0.3">
      <c r="A526" s="43" t="s">
        <v>529</v>
      </c>
      <c r="B526" s="2" t="s">
        <v>25</v>
      </c>
      <c r="C526" s="2" t="s">
        <v>26</v>
      </c>
      <c r="D526" s="2">
        <v>5</v>
      </c>
      <c r="E526" s="2">
        <v>8328043599</v>
      </c>
      <c r="F526" s="2" t="s">
        <v>13</v>
      </c>
      <c r="G526" s="2" t="s">
        <v>14</v>
      </c>
      <c r="H526" s="2" t="s">
        <v>15</v>
      </c>
      <c r="I526" s="2" t="s">
        <v>29</v>
      </c>
      <c r="J526" s="44" t="s">
        <v>23</v>
      </c>
    </row>
    <row r="527" spans="1:10" x14ac:dyDescent="0.3">
      <c r="A527" s="43" t="s">
        <v>530</v>
      </c>
      <c r="B527" s="2" t="s">
        <v>25</v>
      </c>
      <c r="C527" s="2" t="s">
        <v>26</v>
      </c>
      <c r="D527" s="2">
        <v>5</v>
      </c>
      <c r="E527" s="2">
        <v>6785071094</v>
      </c>
      <c r="F527" s="2" t="s">
        <v>19</v>
      </c>
      <c r="G527" s="2" t="s">
        <v>20</v>
      </c>
      <c r="H527" s="2" t="s">
        <v>15</v>
      </c>
      <c r="I527" s="2" t="s">
        <v>41</v>
      </c>
      <c r="J527" s="44" t="s">
        <v>23</v>
      </c>
    </row>
    <row r="528" spans="1:10" x14ac:dyDescent="0.3">
      <c r="A528" s="43" t="s">
        <v>531</v>
      </c>
      <c r="B528" s="2" t="s">
        <v>35</v>
      </c>
      <c r="C528" s="2" t="s">
        <v>12</v>
      </c>
      <c r="D528" s="2">
        <v>1</v>
      </c>
      <c r="E528" s="2">
        <v>8231655871</v>
      </c>
      <c r="F528" s="2" t="s">
        <v>19</v>
      </c>
      <c r="G528" s="2" t="s">
        <v>20</v>
      </c>
      <c r="H528" s="2" t="s">
        <v>21</v>
      </c>
      <c r="I528" s="2" t="s">
        <v>16</v>
      </c>
      <c r="J528" s="44" t="s">
        <v>17</v>
      </c>
    </row>
    <row r="529" spans="1:10" x14ac:dyDescent="0.3">
      <c r="A529" s="43" t="s">
        <v>532</v>
      </c>
      <c r="B529" s="2" t="s">
        <v>11</v>
      </c>
      <c r="C529" s="2" t="s">
        <v>36</v>
      </c>
      <c r="D529" s="2">
        <v>3</v>
      </c>
      <c r="E529" s="2">
        <v>9835142753</v>
      </c>
      <c r="F529" s="2" t="s">
        <v>13</v>
      </c>
      <c r="G529" s="2" t="s">
        <v>20</v>
      </c>
      <c r="H529" s="2" t="s">
        <v>15</v>
      </c>
      <c r="I529" s="2" t="s">
        <v>41</v>
      </c>
      <c r="J529" s="44" t="s">
        <v>17</v>
      </c>
    </row>
    <row r="530" spans="1:10" x14ac:dyDescent="0.3">
      <c r="A530" s="43" t="s">
        <v>156</v>
      </c>
      <c r="B530" s="2" t="s">
        <v>11</v>
      </c>
      <c r="C530" s="2" t="s">
        <v>36</v>
      </c>
      <c r="D530" s="2">
        <v>3</v>
      </c>
      <c r="E530" s="2">
        <v>6655421202</v>
      </c>
      <c r="F530" s="2" t="s">
        <v>19</v>
      </c>
      <c r="G530" s="2" t="s">
        <v>14</v>
      </c>
      <c r="H530" s="2" t="s">
        <v>15</v>
      </c>
      <c r="I530" s="2" t="s">
        <v>22</v>
      </c>
      <c r="J530" s="44" t="s">
        <v>22</v>
      </c>
    </row>
    <row r="531" spans="1:10" x14ac:dyDescent="0.3">
      <c r="A531" s="43" t="s">
        <v>533</v>
      </c>
      <c r="B531" s="2" t="s">
        <v>32</v>
      </c>
      <c r="C531" s="2" t="s">
        <v>43</v>
      </c>
      <c r="D531" s="2">
        <v>7</v>
      </c>
      <c r="E531" s="2">
        <v>6195026846</v>
      </c>
      <c r="F531" s="2" t="s">
        <v>19</v>
      </c>
      <c r="G531" s="2" t="s">
        <v>20</v>
      </c>
      <c r="H531" s="2" t="s">
        <v>15</v>
      </c>
      <c r="I531" s="2" t="s">
        <v>16</v>
      </c>
      <c r="J531" s="44" t="s">
        <v>23</v>
      </c>
    </row>
    <row r="532" spans="1:10" x14ac:dyDescent="0.3">
      <c r="A532" s="43" t="s">
        <v>534</v>
      </c>
      <c r="B532" s="2" t="s">
        <v>11</v>
      </c>
      <c r="C532" s="2" t="s">
        <v>36</v>
      </c>
      <c r="D532" s="2">
        <v>3</v>
      </c>
      <c r="E532" s="2">
        <v>9805179615</v>
      </c>
      <c r="F532" s="2" t="s">
        <v>13</v>
      </c>
      <c r="G532" s="2" t="s">
        <v>14</v>
      </c>
      <c r="H532" s="2" t="s">
        <v>15</v>
      </c>
      <c r="I532" s="2" t="s">
        <v>41</v>
      </c>
      <c r="J532" s="44" t="s">
        <v>22</v>
      </c>
    </row>
    <row r="533" spans="1:10" x14ac:dyDescent="0.3">
      <c r="A533" s="43" t="s">
        <v>535</v>
      </c>
      <c r="B533" s="2" t="s">
        <v>35</v>
      </c>
      <c r="C533" s="2" t="s">
        <v>36</v>
      </c>
      <c r="D533" s="2">
        <v>1</v>
      </c>
      <c r="E533" s="2">
        <v>6509196471</v>
      </c>
      <c r="F533" s="2" t="s">
        <v>19</v>
      </c>
      <c r="G533" s="2" t="s">
        <v>20</v>
      </c>
      <c r="H533" s="2" t="s">
        <v>15</v>
      </c>
      <c r="I533" s="2" t="s">
        <v>41</v>
      </c>
      <c r="J533" s="44" t="s">
        <v>22</v>
      </c>
    </row>
    <row r="534" spans="1:10" x14ac:dyDescent="0.3">
      <c r="A534" s="43" t="s">
        <v>536</v>
      </c>
      <c r="B534" s="2" t="s">
        <v>11</v>
      </c>
      <c r="C534" s="2" t="s">
        <v>43</v>
      </c>
      <c r="D534" s="2">
        <v>3</v>
      </c>
      <c r="E534" s="2">
        <v>7857047171</v>
      </c>
      <c r="F534" s="2" t="s">
        <v>13</v>
      </c>
      <c r="G534" s="2" t="s">
        <v>14</v>
      </c>
      <c r="H534" s="2" t="s">
        <v>21</v>
      </c>
      <c r="I534" s="2" t="s">
        <v>27</v>
      </c>
      <c r="J534" s="44" t="s">
        <v>22</v>
      </c>
    </row>
    <row r="535" spans="1:10" x14ac:dyDescent="0.3">
      <c r="A535" s="43" t="s">
        <v>537</v>
      </c>
      <c r="B535" s="2" t="s">
        <v>35</v>
      </c>
      <c r="C535" s="2" t="s">
        <v>36</v>
      </c>
      <c r="D535" s="2">
        <v>1</v>
      </c>
      <c r="E535" s="2">
        <v>9308105932</v>
      </c>
      <c r="F535" s="2" t="s">
        <v>19</v>
      </c>
      <c r="G535" s="2" t="s">
        <v>14</v>
      </c>
      <c r="H535" s="2" t="s">
        <v>15</v>
      </c>
      <c r="I535" s="2" t="s">
        <v>41</v>
      </c>
      <c r="J535" s="44" t="s">
        <v>23</v>
      </c>
    </row>
    <row r="536" spans="1:10" x14ac:dyDescent="0.3">
      <c r="A536" s="43" t="s">
        <v>538</v>
      </c>
      <c r="B536" s="2" t="s">
        <v>32</v>
      </c>
      <c r="C536" s="2" t="s">
        <v>12</v>
      </c>
      <c r="D536" s="2">
        <v>7</v>
      </c>
      <c r="E536" s="2">
        <v>8085452036</v>
      </c>
      <c r="F536" s="2" t="s">
        <v>13</v>
      </c>
      <c r="G536" s="2" t="s">
        <v>20</v>
      </c>
      <c r="H536" s="2" t="s">
        <v>21</v>
      </c>
      <c r="I536" s="2" t="s">
        <v>22</v>
      </c>
      <c r="J536" s="44" t="s">
        <v>22</v>
      </c>
    </row>
    <row r="537" spans="1:10" x14ac:dyDescent="0.3">
      <c r="A537" s="43" t="s">
        <v>539</v>
      </c>
      <c r="B537" s="2" t="s">
        <v>35</v>
      </c>
      <c r="C537" s="2" t="s">
        <v>12</v>
      </c>
      <c r="D537" s="2">
        <v>1</v>
      </c>
      <c r="E537" s="2">
        <v>8758498860</v>
      </c>
      <c r="F537" s="2" t="s">
        <v>19</v>
      </c>
      <c r="G537" s="2" t="s">
        <v>20</v>
      </c>
      <c r="H537" s="2" t="s">
        <v>21</v>
      </c>
      <c r="I537" s="2" t="s">
        <v>22</v>
      </c>
      <c r="J537" s="44" t="s">
        <v>17</v>
      </c>
    </row>
    <row r="538" spans="1:10" x14ac:dyDescent="0.3">
      <c r="A538" s="43" t="s">
        <v>540</v>
      </c>
      <c r="B538" s="2" t="s">
        <v>35</v>
      </c>
      <c r="C538" s="2" t="s">
        <v>26</v>
      </c>
      <c r="D538" s="2">
        <v>1</v>
      </c>
      <c r="E538" s="2">
        <v>9398881248</v>
      </c>
      <c r="F538" s="2" t="s">
        <v>19</v>
      </c>
      <c r="G538" s="2" t="s">
        <v>14</v>
      </c>
      <c r="H538" s="2" t="s">
        <v>15</v>
      </c>
      <c r="I538" s="2" t="s">
        <v>27</v>
      </c>
      <c r="J538" s="44" t="s">
        <v>22</v>
      </c>
    </row>
    <row r="539" spans="1:10" x14ac:dyDescent="0.3">
      <c r="A539" s="43" t="s">
        <v>541</v>
      </c>
      <c r="B539" s="2" t="s">
        <v>35</v>
      </c>
      <c r="C539" s="2" t="s">
        <v>26</v>
      </c>
      <c r="D539" s="2">
        <v>1</v>
      </c>
      <c r="E539" s="2">
        <v>8615835306</v>
      </c>
      <c r="F539" s="2" t="s">
        <v>19</v>
      </c>
      <c r="G539" s="2" t="s">
        <v>14</v>
      </c>
      <c r="H539" s="2" t="s">
        <v>21</v>
      </c>
      <c r="I539" s="2" t="s">
        <v>41</v>
      </c>
      <c r="J539" s="44" t="s">
        <v>22</v>
      </c>
    </row>
    <row r="540" spans="1:10" x14ac:dyDescent="0.3">
      <c r="A540" s="43" t="s">
        <v>542</v>
      </c>
      <c r="B540" s="2" t="s">
        <v>25</v>
      </c>
      <c r="C540" s="2" t="s">
        <v>33</v>
      </c>
      <c r="D540" s="2">
        <v>5</v>
      </c>
      <c r="E540" s="2">
        <v>9425841780</v>
      </c>
      <c r="F540" s="2" t="s">
        <v>13</v>
      </c>
      <c r="G540" s="2" t="s">
        <v>20</v>
      </c>
      <c r="H540" s="2" t="s">
        <v>15</v>
      </c>
      <c r="I540" s="2" t="s">
        <v>37</v>
      </c>
      <c r="J540" s="44" t="s">
        <v>23</v>
      </c>
    </row>
    <row r="541" spans="1:10" x14ac:dyDescent="0.3">
      <c r="A541" s="43" t="s">
        <v>543</v>
      </c>
      <c r="B541" s="2" t="s">
        <v>11</v>
      </c>
      <c r="C541" s="2" t="s">
        <v>43</v>
      </c>
      <c r="D541" s="2">
        <v>3</v>
      </c>
      <c r="E541" s="2">
        <v>8943284099</v>
      </c>
      <c r="F541" s="2" t="s">
        <v>13</v>
      </c>
      <c r="G541" s="2" t="s">
        <v>14</v>
      </c>
      <c r="H541" s="2" t="s">
        <v>15</v>
      </c>
      <c r="I541" s="2" t="s">
        <v>22</v>
      </c>
      <c r="J541" s="44" t="s">
        <v>22</v>
      </c>
    </row>
    <row r="542" spans="1:10" x14ac:dyDescent="0.3">
      <c r="A542" s="43" t="s">
        <v>544</v>
      </c>
      <c r="B542" s="2" t="s">
        <v>11</v>
      </c>
      <c r="C542" s="2" t="s">
        <v>33</v>
      </c>
      <c r="D542" s="2">
        <v>3</v>
      </c>
      <c r="E542" s="2">
        <v>6650420596</v>
      </c>
      <c r="F542" s="2" t="s">
        <v>19</v>
      </c>
      <c r="G542" s="2" t="s">
        <v>14</v>
      </c>
      <c r="H542" s="2" t="s">
        <v>15</v>
      </c>
      <c r="I542" s="2" t="s">
        <v>29</v>
      </c>
      <c r="J542" s="44" t="s">
        <v>22</v>
      </c>
    </row>
    <row r="543" spans="1:10" x14ac:dyDescent="0.3">
      <c r="A543" s="43" t="s">
        <v>545</v>
      </c>
      <c r="B543" s="2" t="s">
        <v>35</v>
      </c>
      <c r="C543" s="2" t="s">
        <v>12</v>
      </c>
      <c r="D543" s="2">
        <v>1</v>
      </c>
      <c r="E543" s="2">
        <v>7242389060</v>
      </c>
      <c r="F543" s="2" t="s">
        <v>13</v>
      </c>
      <c r="G543" s="2" t="s">
        <v>14</v>
      </c>
      <c r="H543" s="2" t="s">
        <v>15</v>
      </c>
      <c r="I543" s="2" t="s">
        <v>22</v>
      </c>
      <c r="J543" s="44" t="s">
        <v>22</v>
      </c>
    </row>
    <row r="544" spans="1:10" x14ac:dyDescent="0.3">
      <c r="A544" s="43" t="s">
        <v>546</v>
      </c>
      <c r="B544" s="2" t="s">
        <v>11</v>
      </c>
      <c r="C544" s="2" t="s">
        <v>26</v>
      </c>
      <c r="D544" s="2">
        <v>3</v>
      </c>
      <c r="E544" s="2">
        <v>7691732993</v>
      </c>
      <c r="F544" s="2" t="s">
        <v>13</v>
      </c>
      <c r="G544" s="2" t="s">
        <v>14</v>
      </c>
      <c r="H544" s="2" t="s">
        <v>21</v>
      </c>
      <c r="I544" s="2" t="s">
        <v>16</v>
      </c>
      <c r="J544" s="44" t="s">
        <v>23</v>
      </c>
    </row>
    <row r="545" spans="1:10" x14ac:dyDescent="0.3">
      <c r="A545" s="43" t="s">
        <v>547</v>
      </c>
      <c r="B545" s="2" t="s">
        <v>25</v>
      </c>
      <c r="C545" s="2" t="s">
        <v>33</v>
      </c>
      <c r="D545" s="2">
        <v>5</v>
      </c>
      <c r="E545" s="2">
        <v>8293622460</v>
      </c>
      <c r="F545" s="2" t="s">
        <v>13</v>
      </c>
      <c r="G545" s="2" t="s">
        <v>14</v>
      </c>
      <c r="H545" s="2" t="s">
        <v>15</v>
      </c>
      <c r="I545" s="2" t="s">
        <v>37</v>
      </c>
      <c r="J545" s="44" t="s">
        <v>17</v>
      </c>
    </row>
    <row r="546" spans="1:10" x14ac:dyDescent="0.3">
      <c r="A546" s="43" t="s">
        <v>548</v>
      </c>
      <c r="B546" s="2" t="s">
        <v>11</v>
      </c>
      <c r="C546" s="2" t="s">
        <v>36</v>
      </c>
      <c r="D546" s="2">
        <v>3</v>
      </c>
      <c r="E546" s="2">
        <v>6413890731</v>
      </c>
      <c r="F546" s="2" t="s">
        <v>13</v>
      </c>
      <c r="G546" s="2" t="s">
        <v>20</v>
      </c>
      <c r="H546" s="2" t="s">
        <v>21</v>
      </c>
      <c r="I546" s="2" t="s">
        <v>16</v>
      </c>
      <c r="J546" s="44" t="s">
        <v>22</v>
      </c>
    </row>
    <row r="547" spans="1:10" x14ac:dyDescent="0.3">
      <c r="A547" s="43" t="s">
        <v>549</v>
      </c>
      <c r="B547" s="2" t="s">
        <v>35</v>
      </c>
      <c r="C547" s="2" t="s">
        <v>12</v>
      </c>
      <c r="D547" s="2">
        <v>1</v>
      </c>
      <c r="E547" s="2">
        <v>6482716114</v>
      </c>
      <c r="F547" s="2" t="s">
        <v>19</v>
      </c>
      <c r="G547" s="2" t="s">
        <v>14</v>
      </c>
      <c r="H547" s="2" t="s">
        <v>15</v>
      </c>
      <c r="I547" s="2" t="s">
        <v>22</v>
      </c>
      <c r="J547" s="44" t="s">
        <v>22</v>
      </c>
    </row>
    <row r="548" spans="1:10" x14ac:dyDescent="0.3">
      <c r="A548" s="43" t="s">
        <v>550</v>
      </c>
      <c r="B548" s="2" t="s">
        <v>35</v>
      </c>
      <c r="C548" s="2" t="s">
        <v>26</v>
      </c>
      <c r="D548" s="2">
        <v>1</v>
      </c>
      <c r="E548" s="2">
        <v>7820565827</v>
      </c>
      <c r="F548" s="2" t="s">
        <v>13</v>
      </c>
      <c r="G548" s="2" t="s">
        <v>14</v>
      </c>
      <c r="H548" s="2" t="s">
        <v>21</v>
      </c>
      <c r="I548" s="2" t="s">
        <v>22</v>
      </c>
      <c r="J548" s="44" t="s">
        <v>23</v>
      </c>
    </row>
    <row r="549" spans="1:10" x14ac:dyDescent="0.3">
      <c r="A549" s="43" t="s">
        <v>551</v>
      </c>
      <c r="B549" s="2" t="s">
        <v>35</v>
      </c>
      <c r="C549" s="2" t="s">
        <v>12</v>
      </c>
      <c r="D549" s="2">
        <v>1</v>
      </c>
      <c r="E549" s="2">
        <v>8901463651</v>
      </c>
      <c r="F549" s="2" t="s">
        <v>13</v>
      </c>
      <c r="G549" s="2" t="s">
        <v>14</v>
      </c>
      <c r="H549" s="2" t="s">
        <v>21</v>
      </c>
      <c r="I549" s="2" t="s">
        <v>22</v>
      </c>
      <c r="J549" s="44" t="s">
        <v>23</v>
      </c>
    </row>
    <row r="550" spans="1:10" x14ac:dyDescent="0.3">
      <c r="A550" s="43" t="s">
        <v>552</v>
      </c>
      <c r="B550" s="2" t="s">
        <v>35</v>
      </c>
      <c r="C550" s="2" t="s">
        <v>36</v>
      </c>
      <c r="D550" s="2">
        <v>1</v>
      </c>
      <c r="E550" s="2">
        <v>9800791989</v>
      </c>
      <c r="F550" s="2" t="s">
        <v>13</v>
      </c>
      <c r="G550" s="2" t="s">
        <v>20</v>
      </c>
      <c r="H550" s="2" t="s">
        <v>21</v>
      </c>
      <c r="I550" s="2" t="s">
        <v>37</v>
      </c>
      <c r="J550" s="44" t="s">
        <v>22</v>
      </c>
    </row>
    <row r="551" spans="1:10" x14ac:dyDescent="0.3">
      <c r="A551" s="43" t="s">
        <v>553</v>
      </c>
      <c r="B551" s="2" t="s">
        <v>32</v>
      </c>
      <c r="C551" s="2" t="s">
        <v>33</v>
      </c>
      <c r="D551" s="2">
        <v>7</v>
      </c>
      <c r="E551" s="2">
        <v>9400327196</v>
      </c>
      <c r="F551" s="2" t="s">
        <v>19</v>
      </c>
      <c r="G551" s="2" t="s">
        <v>20</v>
      </c>
      <c r="H551" s="2" t="s">
        <v>15</v>
      </c>
      <c r="I551" s="2" t="s">
        <v>29</v>
      </c>
      <c r="J551" s="44" t="s">
        <v>17</v>
      </c>
    </row>
    <row r="552" spans="1:10" x14ac:dyDescent="0.3">
      <c r="A552" s="43" t="s">
        <v>554</v>
      </c>
      <c r="B552" s="2" t="s">
        <v>35</v>
      </c>
      <c r="C552" s="2" t="s">
        <v>36</v>
      </c>
      <c r="D552" s="2">
        <v>1</v>
      </c>
      <c r="E552" s="2">
        <v>6391016261</v>
      </c>
      <c r="F552" s="2" t="s">
        <v>13</v>
      </c>
      <c r="G552" s="2" t="s">
        <v>14</v>
      </c>
      <c r="H552" s="2" t="s">
        <v>15</v>
      </c>
      <c r="I552" s="2" t="s">
        <v>37</v>
      </c>
      <c r="J552" s="44" t="s">
        <v>23</v>
      </c>
    </row>
    <row r="553" spans="1:10" x14ac:dyDescent="0.3">
      <c r="A553" s="43" t="s">
        <v>555</v>
      </c>
      <c r="B553" s="2" t="s">
        <v>35</v>
      </c>
      <c r="C553" s="2" t="s">
        <v>36</v>
      </c>
      <c r="D553" s="2">
        <v>1</v>
      </c>
      <c r="E553" s="2">
        <v>7335568316</v>
      </c>
      <c r="F553" s="2" t="s">
        <v>19</v>
      </c>
      <c r="G553" s="2" t="s">
        <v>20</v>
      </c>
      <c r="H553" s="2" t="s">
        <v>21</v>
      </c>
      <c r="I553" s="2" t="s">
        <v>37</v>
      </c>
      <c r="J553" s="44" t="s">
        <v>22</v>
      </c>
    </row>
    <row r="554" spans="1:10" x14ac:dyDescent="0.3">
      <c r="A554" s="43" t="s">
        <v>556</v>
      </c>
      <c r="B554" s="2" t="s">
        <v>25</v>
      </c>
      <c r="C554" s="2" t="s">
        <v>12</v>
      </c>
      <c r="D554" s="2">
        <v>5</v>
      </c>
      <c r="E554" s="2">
        <v>9537103484</v>
      </c>
      <c r="F554" s="2" t="s">
        <v>13</v>
      </c>
      <c r="G554" s="2" t="s">
        <v>20</v>
      </c>
      <c r="H554" s="2" t="s">
        <v>21</v>
      </c>
      <c r="I554" s="2" t="s">
        <v>22</v>
      </c>
      <c r="J554" s="44" t="s">
        <v>22</v>
      </c>
    </row>
    <row r="555" spans="1:10" x14ac:dyDescent="0.3">
      <c r="A555" s="43" t="s">
        <v>557</v>
      </c>
      <c r="B555" s="2" t="s">
        <v>32</v>
      </c>
      <c r="C555" s="2" t="s">
        <v>33</v>
      </c>
      <c r="D555" s="2">
        <v>7</v>
      </c>
      <c r="E555" s="2">
        <v>7557752541</v>
      </c>
      <c r="F555" s="2" t="s">
        <v>13</v>
      </c>
      <c r="G555" s="2" t="s">
        <v>14</v>
      </c>
      <c r="H555" s="2" t="s">
        <v>21</v>
      </c>
      <c r="I555" s="2" t="s">
        <v>29</v>
      </c>
      <c r="J555" s="44" t="s">
        <v>22</v>
      </c>
    </row>
    <row r="556" spans="1:10" x14ac:dyDescent="0.3">
      <c r="A556" s="43" t="s">
        <v>558</v>
      </c>
      <c r="B556" s="2" t="s">
        <v>32</v>
      </c>
      <c r="C556" s="2" t="s">
        <v>26</v>
      </c>
      <c r="D556" s="2">
        <v>7</v>
      </c>
      <c r="E556" s="2">
        <v>7263338417</v>
      </c>
      <c r="F556" s="2" t="s">
        <v>13</v>
      </c>
      <c r="G556" s="2" t="s">
        <v>14</v>
      </c>
      <c r="H556" s="2" t="s">
        <v>15</v>
      </c>
      <c r="I556" s="2" t="s">
        <v>16</v>
      </c>
      <c r="J556" s="44" t="s">
        <v>22</v>
      </c>
    </row>
    <row r="557" spans="1:10" x14ac:dyDescent="0.3">
      <c r="A557" s="43" t="s">
        <v>559</v>
      </c>
      <c r="B557" s="2" t="s">
        <v>32</v>
      </c>
      <c r="C557" s="2" t="s">
        <v>33</v>
      </c>
      <c r="D557" s="2">
        <v>7</v>
      </c>
      <c r="E557" s="2">
        <v>8898878405</v>
      </c>
      <c r="F557" s="2" t="s">
        <v>19</v>
      </c>
      <c r="G557" s="2" t="s">
        <v>20</v>
      </c>
      <c r="H557" s="2" t="s">
        <v>15</v>
      </c>
      <c r="I557" s="2" t="s">
        <v>29</v>
      </c>
      <c r="J557" s="44" t="s">
        <v>22</v>
      </c>
    </row>
    <row r="558" spans="1:10" x14ac:dyDescent="0.3">
      <c r="A558" s="43" t="s">
        <v>560</v>
      </c>
      <c r="B558" s="2" t="s">
        <v>25</v>
      </c>
      <c r="C558" s="2" t="s">
        <v>12</v>
      </c>
      <c r="D558" s="2">
        <v>5</v>
      </c>
      <c r="E558" s="2">
        <v>6370750663</v>
      </c>
      <c r="F558" s="2" t="s">
        <v>13</v>
      </c>
      <c r="G558" s="2" t="s">
        <v>14</v>
      </c>
      <c r="H558" s="2" t="s">
        <v>15</v>
      </c>
      <c r="I558" s="2" t="s">
        <v>22</v>
      </c>
      <c r="J558" s="44" t="s">
        <v>22</v>
      </c>
    </row>
    <row r="559" spans="1:10" x14ac:dyDescent="0.3">
      <c r="A559" s="43" t="s">
        <v>561</v>
      </c>
      <c r="B559" s="2" t="s">
        <v>11</v>
      </c>
      <c r="C559" s="2" t="s">
        <v>26</v>
      </c>
      <c r="D559" s="2">
        <v>3</v>
      </c>
      <c r="E559" s="2">
        <v>9470306834</v>
      </c>
      <c r="F559" s="2" t="s">
        <v>13</v>
      </c>
      <c r="G559" s="2" t="s">
        <v>20</v>
      </c>
      <c r="H559" s="2" t="s">
        <v>21</v>
      </c>
      <c r="I559" s="2" t="s">
        <v>22</v>
      </c>
      <c r="J559" s="44" t="s">
        <v>23</v>
      </c>
    </row>
    <row r="560" spans="1:10" x14ac:dyDescent="0.3">
      <c r="A560" s="43" t="s">
        <v>562</v>
      </c>
      <c r="B560" s="2" t="s">
        <v>32</v>
      </c>
      <c r="C560" s="2" t="s">
        <v>43</v>
      </c>
      <c r="D560" s="2">
        <v>7</v>
      </c>
      <c r="E560" s="2">
        <v>7140407908</v>
      </c>
      <c r="F560" s="2" t="s">
        <v>19</v>
      </c>
      <c r="G560" s="2" t="s">
        <v>20</v>
      </c>
      <c r="H560" s="2" t="s">
        <v>21</v>
      </c>
      <c r="I560" s="2" t="s">
        <v>37</v>
      </c>
      <c r="J560" s="44" t="s">
        <v>22</v>
      </c>
    </row>
    <row r="561" spans="1:10" x14ac:dyDescent="0.3">
      <c r="A561" s="43" t="s">
        <v>563</v>
      </c>
      <c r="B561" s="2" t="s">
        <v>32</v>
      </c>
      <c r="C561" s="2" t="s">
        <v>12</v>
      </c>
      <c r="D561" s="2">
        <v>7</v>
      </c>
      <c r="E561" s="2">
        <v>7219227246</v>
      </c>
      <c r="F561" s="2" t="s">
        <v>19</v>
      </c>
      <c r="G561" s="2" t="s">
        <v>20</v>
      </c>
      <c r="H561" s="2" t="s">
        <v>21</v>
      </c>
      <c r="I561" s="2" t="s">
        <v>16</v>
      </c>
      <c r="J561" s="44" t="s">
        <v>17</v>
      </c>
    </row>
    <row r="562" spans="1:10" x14ac:dyDescent="0.3">
      <c r="A562" s="43" t="s">
        <v>564</v>
      </c>
      <c r="B562" s="2" t="s">
        <v>25</v>
      </c>
      <c r="C562" s="2" t="s">
        <v>33</v>
      </c>
      <c r="D562" s="2">
        <v>5</v>
      </c>
      <c r="E562" s="2">
        <v>6924752263</v>
      </c>
      <c r="F562" s="2" t="s">
        <v>19</v>
      </c>
      <c r="G562" s="2" t="s">
        <v>14</v>
      </c>
      <c r="H562" s="2" t="s">
        <v>21</v>
      </c>
      <c r="I562" s="2" t="s">
        <v>41</v>
      </c>
      <c r="J562" s="44" t="s">
        <v>17</v>
      </c>
    </row>
    <row r="563" spans="1:10" x14ac:dyDescent="0.3">
      <c r="A563" s="43" t="s">
        <v>565</v>
      </c>
      <c r="B563" s="2" t="s">
        <v>25</v>
      </c>
      <c r="C563" s="2" t="s">
        <v>26</v>
      </c>
      <c r="D563" s="2">
        <v>5</v>
      </c>
      <c r="E563" s="2">
        <v>8571037427</v>
      </c>
      <c r="F563" s="2" t="s">
        <v>13</v>
      </c>
      <c r="G563" s="2" t="s">
        <v>20</v>
      </c>
      <c r="H563" s="2" t="s">
        <v>21</v>
      </c>
      <c r="I563" s="2" t="s">
        <v>22</v>
      </c>
      <c r="J563" s="44" t="s">
        <v>17</v>
      </c>
    </row>
    <row r="564" spans="1:10" x14ac:dyDescent="0.3">
      <c r="A564" s="43" t="s">
        <v>566</v>
      </c>
      <c r="B564" s="2" t="s">
        <v>11</v>
      </c>
      <c r="C564" s="2" t="s">
        <v>12</v>
      </c>
      <c r="D564" s="2">
        <v>3</v>
      </c>
      <c r="E564" s="2">
        <v>8906470231</v>
      </c>
      <c r="F564" s="2" t="s">
        <v>13</v>
      </c>
      <c r="G564" s="2" t="s">
        <v>14</v>
      </c>
      <c r="H564" s="2" t="s">
        <v>15</v>
      </c>
      <c r="I564" s="2" t="s">
        <v>16</v>
      </c>
      <c r="J564" s="44" t="s">
        <v>22</v>
      </c>
    </row>
    <row r="565" spans="1:10" x14ac:dyDescent="0.3">
      <c r="A565" s="43" t="s">
        <v>567</v>
      </c>
      <c r="B565" s="2" t="s">
        <v>25</v>
      </c>
      <c r="C565" s="2" t="s">
        <v>12</v>
      </c>
      <c r="D565" s="2">
        <v>5</v>
      </c>
      <c r="E565" s="2">
        <v>6855104557</v>
      </c>
      <c r="F565" s="2" t="s">
        <v>19</v>
      </c>
      <c r="G565" s="2" t="s">
        <v>20</v>
      </c>
      <c r="H565" s="2" t="s">
        <v>21</v>
      </c>
      <c r="I565" s="2" t="s">
        <v>41</v>
      </c>
      <c r="J565" s="44" t="s">
        <v>17</v>
      </c>
    </row>
    <row r="566" spans="1:10" x14ac:dyDescent="0.3">
      <c r="A566" s="43" t="s">
        <v>568</v>
      </c>
      <c r="B566" s="2" t="s">
        <v>32</v>
      </c>
      <c r="C566" s="2" t="s">
        <v>43</v>
      </c>
      <c r="D566" s="2">
        <v>7</v>
      </c>
      <c r="E566" s="2">
        <v>8510184689</v>
      </c>
      <c r="F566" s="2" t="s">
        <v>13</v>
      </c>
      <c r="G566" s="2" t="s">
        <v>20</v>
      </c>
      <c r="H566" s="2" t="s">
        <v>15</v>
      </c>
      <c r="I566" s="2" t="s">
        <v>27</v>
      </c>
      <c r="J566" s="44" t="s">
        <v>22</v>
      </c>
    </row>
    <row r="567" spans="1:10" x14ac:dyDescent="0.3">
      <c r="A567" s="43" t="s">
        <v>569</v>
      </c>
      <c r="B567" s="2" t="s">
        <v>32</v>
      </c>
      <c r="C567" s="2" t="s">
        <v>43</v>
      </c>
      <c r="D567" s="2">
        <v>7</v>
      </c>
      <c r="E567" s="2">
        <v>7941047717</v>
      </c>
      <c r="F567" s="2" t="s">
        <v>13</v>
      </c>
      <c r="G567" s="2" t="s">
        <v>20</v>
      </c>
      <c r="H567" s="2" t="s">
        <v>21</v>
      </c>
      <c r="I567" s="2" t="s">
        <v>41</v>
      </c>
      <c r="J567" s="44" t="s">
        <v>22</v>
      </c>
    </row>
    <row r="568" spans="1:10" x14ac:dyDescent="0.3">
      <c r="A568" s="43" t="s">
        <v>570</v>
      </c>
      <c r="B568" s="2" t="s">
        <v>32</v>
      </c>
      <c r="C568" s="2" t="s">
        <v>36</v>
      </c>
      <c r="D568" s="2">
        <v>7</v>
      </c>
      <c r="E568" s="2">
        <v>8133614467</v>
      </c>
      <c r="F568" s="2" t="s">
        <v>19</v>
      </c>
      <c r="G568" s="2" t="s">
        <v>14</v>
      </c>
      <c r="H568" s="2" t="s">
        <v>15</v>
      </c>
      <c r="I568" s="2" t="s">
        <v>41</v>
      </c>
      <c r="J568" s="44" t="s">
        <v>17</v>
      </c>
    </row>
    <row r="569" spans="1:10" x14ac:dyDescent="0.3">
      <c r="A569" s="43" t="s">
        <v>571</v>
      </c>
      <c r="B569" s="2" t="s">
        <v>11</v>
      </c>
      <c r="C569" s="2" t="s">
        <v>36</v>
      </c>
      <c r="D569" s="2">
        <v>3</v>
      </c>
      <c r="E569" s="2">
        <v>6891077641</v>
      </c>
      <c r="F569" s="2" t="s">
        <v>13</v>
      </c>
      <c r="G569" s="2" t="s">
        <v>20</v>
      </c>
      <c r="H569" s="2" t="s">
        <v>15</v>
      </c>
      <c r="I569" s="2" t="s">
        <v>22</v>
      </c>
      <c r="J569" s="44" t="s">
        <v>22</v>
      </c>
    </row>
    <row r="570" spans="1:10" x14ac:dyDescent="0.3">
      <c r="A570" s="43" t="s">
        <v>572</v>
      </c>
      <c r="B570" s="2" t="s">
        <v>25</v>
      </c>
      <c r="C570" s="2" t="s">
        <v>26</v>
      </c>
      <c r="D570" s="2">
        <v>5</v>
      </c>
      <c r="E570" s="2">
        <v>7076837972</v>
      </c>
      <c r="F570" s="2" t="s">
        <v>19</v>
      </c>
      <c r="G570" s="2" t="s">
        <v>14</v>
      </c>
      <c r="H570" s="2" t="s">
        <v>15</v>
      </c>
      <c r="I570" s="2" t="s">
        <v>16</v>
      </c>
      <c r="J570" s="44" t="s">
        <v>17</v>
      </c>
    </row>
    <row r="571" spans="1:10" x14ac:dyDescent="0.3">
      <c r="A571" s="43" t="s">
        <v>65</v>
      </c>
      <c r="B571" s="2" t="s">
        <v>25</v>
      </c>
      <c r="C571" s="2" t="s">
        <v>36</v>
      </c>
      <c r="D571" s="2">
        <v>5</v>
      </c>
      <c r="E571" s="2">
        <v>6659008742</v>
      </c>
      <c r="F571" s="2" t="s">
        <v>19</v>
      </c>
      <c r="G571" s="2" t="s">
        <v>20</v>
      </c>
      <c r="H571" s="2" t="s">
        <v>21</v>
      </c>
      <c r="I571" s="2" t="s">
        <v>27</v>
      </c>
      <c r="J571" s="44" t="s">
        <v>22</v>
      </c>
    </row>
    <row r="572" spans="1:10" x14ac:dyDescent="0.3">
      <c r="A572" s="43" t="s">
        <v>573</v>
      </c>
      <c r="B572" s="2" t="s">
        <v>35</v>
      </c>
      <c r="C572" s="2" t="s">
        <v>12</v>
      </c>
      <c r="D572" s="2">
        <v>1</v>
      </c>
      <c r="E572" s="2">
        <v>6581669564</v>
      </c>
      <c r="F572" s="2" t="s">
        <v>19</v>
      </c>
      <c r="G572" s="2" t="s">
        <v>14</v>
      </c>
      <c r="H572" s="2" t="s">
        <v>15</v>
      </c>
      <c r="I572" s="2" t="s">
        <v>22</v>
      </c>
      <c r="J572" s="44" t="s">
        <v>23</v>
      </c>
    </row>
    <row r="573" spans="1:10" x14ac:dyDescent="0.3">
      <c r="A573" s="43" t="s">
        <v>574</v>
      </c>
      <c r="B573" s="2" t="s">
        <v>11</v>
      </c>
      <c r="C573" s="2" t="s">
        <v>33</v>
      </c>
      <c r="D573" s="2">
        <v>3</v>
      </c>
      <c r="E573" s="2">
        <v>7576405064</v>
      </c>
      <c r="F573" s="2" t="s">
        <v>19</v>
      </c>
      <c r="G573" s="2" t="s">
        <v>20</v>
      </c>
      <c r="H573" s="2" t="s">
        <v>15</v>
      </c>
      <c r="I573" s="2" t="s">
        <v>22</v>
      </c>
      <c r="J573" s="44" t="s">
        <v>17</v>
      </c>
    </row>
    <row r="574" spans="1:10" x14ac:dyDescent="0.3">
      <c r="A574" s="43" t="s">
        <v>575</v>
      </c>
      <c r="B574" s="2" t="s">
        <v>35</v>
      </c>
      <c r="C574" s="2" t="s">
        <v>26</v>
      </c>
      <c r="D574" s="2">
        <v>1</v>
      </c>
      <c r="E574" s="2">
        <v>8640490987</v>
      </c>
      <c r="F574" s="2" t="s">
        <v>19</v>
      </c>
      <c r="G574" s="2" t="s">
        <v>20</v>
      </c>
      <c r="H574" s="2" t="s">
        <v>21</v>
      </c>
      <c r="I574" s="2" t="s">
        <v>22</v>
      </c>
      <c r="J574" s="44" t="s">
        <v>22</v>
      </c>
    </row>
    <row r="575" spans="1:10" x14ac:dyDescent="0.3">
      <c r="A575" s="43" t="s">
        <v>576</v>
      </c>
      <c r="B575" s="2" t="s">
        <v>25</v>
      </c>
      <c r="C575" s="2" t="s">
        <v>36</v>
      </c>
      <c r="D575" s="2">
        <v>5</v>
      </c>
      <c r="E575" s="2">
        <v>7857290666</v>
      </c>
      <c r="F575" s="2" t="s">
        <v>19</v>
      </c>
      <c r="G575" s="2" t="s">
        <v>20</v>
      </c>
      <c r="H575" s="2" t="s">
        <v>21</v>
      </c>
      <c r="I575" s="2" t="s">
        <v>29</v>
      </c>
      <c r="J575" s="44" t="s">
        <v>23</v>
      </c>
    </row>
    <row r="576" spans="1:10" x14ac:dyDescent="0.3">
      <c r="A576" s="43" t="s">
        <v>577</v>
      </c>
      <c r="B576" s="2" t="s">
        <v>11</v>
      </c>
      <c r="C576" s="2" t="s">
        <v>36</v>
      </c>
      <c r="D576" s="2">
        <v>3</v>
      </c>
      <c r="E576" s="2">
        <v>9677037792</v>
      </c>
      <c r="F576" s="2" t="s">
        <v>19</v>
      </c>
      <c r="G576" s="2" t="s">
        <v>14</v>
      </c>
      <c r="H576" s="2" t="s">
        <v>21</v>
      </c>
      <c r="I576" s="2" t="s">
        <v>22</v>
      </c>
      <c r="J576" s="44" t="s">
        <v>22</v>
      </c>
    </row>
    <row r="577" spans="1:10" x14ac:dyDescent="0.3">
      <c r="A577" s="43" t="s">
        <v>92</v>
      </c>
      <c r="B577" s="2" t="s">
        <v>25</v>
      </c>
      <c r="C577" s="2" t="s">
        <v>26</v>
      </c>
      <c r="D577" s="2">
        <v>5</v>
      </c>
      <c r="E577" s="2">
        <v>8033326799</v>
      </c>
      <c r="F577" s="2" t="s">
        <v>13</v>
      </c>
      <c r="G577" s="2" t="s">
        <v>14</v>
      </c>
      <c r="H577" s="2" t="s">
        <v>21</v>
      </c>
      <c r="I577" s="2" t="s">
        <v>22</v>
      </c>
      <c r="J577" s="44" t="s">
        <v>17</v>
      </c>
    </row>
    <row r="578" spans="1:10" x14ac:dyDescent="0.3">
      <c r="A578" s="43" t="s">
        <v>578</v>
      </c>
      <c r="B578" s="2" t="s">
        <v>32</v>
      </c>
      <c r="C578" s="2" t="s">
        <v>36</v>
      </c>
      <c r="D578" s="2">
        <v>7</v>
      </c>
      <c r="E578" s="2">
        <v>8758669981</v>
      </c>
      <c r="F578" s="2" t="s">
        <v>13</v>
      </c>
      <c r="G578" s="2" t="s">
        <v>20</v>
      </c>
      <c r="H578" s="2" t="s">
        <v>15</v>
      </c>
      <c r="I578" s="2" t="s">
        <v>37</v>
      </c>
      <c r="J578" s="44" t="s">
        <v>22</v>
      </c>
    </row>
    <row r="579" spans="1:10" x14ac:dyDescent="0.3">
      <c r="A579" s="43" t="s">
        <v>579</v>
      </c>
      <c r="B579" s="2" t="s">
        <v>25</v>
      </c>
      <c r="C579" s="2" t="s">
        <v>12</v>
      </c>
      <c r="D579" s="2">
        <v>5</v>
      </c>
      <c r="E579" s="2">
        <v>9121064857</v>
      </c>
      <c r="F579" s="2" t="s">
        <v>13</v>
      </c>
      <c r="G579" s="2" t="s">
        <v>20</v>
      </c>
      <c r="H579" s="2" t="s">
        <v>15</v>
      </c>
      <c r="I579" s="2" t="s">
        <v>41</v>
      </c>
      <c r="J579" s="44" t="s">
        <v>23</v>
      </c>
    </row>
    <row r="580" spans="1:10" x14ac:dyDescent="0.3">
      <c r="A580" s="43" t="s">
        <v>580</v>
      </c>
      <c r="B580" s="2" t="s">
        <v>32</v>
      </c>
      <c r="C580" s="2" t="s">
        <v>43</v>
      </c>
      <c r="D580" s="2">
        <v>7</v>
      </c>
      <c r="E580" s="2">
        <v>7774928235</v>
      </c>
      <c r="F580" s="2" t="s">
        <v>13</v>
      </c>
      <c r="G580" s="2" t="s">
        <v>20</v>
      </c>
      <c r="H580" s="2" t="s">
        <v>21</v>
      </c>
      <c r="I580" s="2" t="s">
        <v>22</v>
      </c>
      <c r="J580" s="44" t="s">
        <v>23</v>
      </c>
    </row>
    <row r="581" spans="1:10" x14ac:dyDescent="0.3">
      <c r="A581" s="43" t="s">
        <v>581</v>
      </c>
      <c r="B581" s="2" t="s">
        <v>32</v>
      </c>
      <c r="C581" s="2" t="s">
        <v>26</v>
      </c>
      <c r="D581" s="2">
        <v>7</v>
      </c>
      <c r="E581" s="2">
        <v>6318602399</v>
      </c>
      <c r="F581" s="2" t="s">
        <v>13</v>
      </c>
      <c r="G581" s="2" t="s">
        <v>20</v>
      </c>
      <c r="H581" s="2" t="s">
        <v>21</v>
      </c>
      <c r="I581" s="2" t="s">
        <v>29</v>
      </c>
      <c r="J581" s="44" t="s">
        <v>17</v>
      </c>
    </row>
    <row r="582" spans="1:10" x14ac:dyDescent="0.3">
      <c r="A582" s="43" t="s">
        <v>582</v>
      </c>
      <c r="B582" s="2" t="s">
        <v>32</v>
      </c>
      <c r="C582" s="2" t="s">
        <v>26</v>
      </c>
      <c r="D582" s="2">
        <v>7</v>
      </c>
      <c r="E582" s="2">
        <v>9474566659</v>
      </c>
      <c r="F582" s="2" t="s">
        <v>19</v>
      </c>
      <c r="G582" s="2" t="s">
        <v>20</v>
      </c>
      <c r="H582" s="2" t="s">
        <v>15</v>
      </c>
      <c r="I582" s="2" t="s">
        <v>29</v>
      </c>
      <c r="J582" s="44" t="s">
        <v>23</v>
      </c>
    </row>
    <row r="583" spans="1:10" x14ac:dyDescent="0.3">
      <c r="A583" s="43" t="s">
        <v>583</v>
      </c>
      <c r="B583" s="2" t="s">
        <v>35</v>
      </c>
      <c r="C583" s="2" t="s">
        <v>26</v>
      </c>
      <c r="D583" s="2">
        <v>1</v>
      </c>
      <c r="E583" s="2">
        <v>7530342597</v>
      </c>
      <c r="F583" s="2" t="s">
        <v>19</v>
      </c>
      <c r="G583" s="2" t="s">
        <v>14</v>
      </c>
      <c r="H583" s="2" t="s">
        <v>15</v>
      </c>
      <c r="I583" s="2" t="s">
        <v>29</v>
      </c>
      <c r="J583" s="44" t="s">
        <v>17</v>
      </c>
    </row>
    <row r="584" spans="1:10" x14ac:dyDescent="0.3">
      <c r="A584" s="43" t="s">
        <v>584</v>
      </c>
      <c r="B584" s="2" t="s">
        <v>11</v>
      </c>
      <c r="C584" s="2" t="s">
        <v>26</v>
      </c>
      <c r="D584" s="2">
        <v>3</v>
      </c>
      <c r="E584" s="2">
        <v>7507724242</v>
      </c>
      <c r="F584" s="2" t="s">
        <v>19</v>
      </c>
      <c r="G584" s="2" t="s">
        <v>20</v>
      </c>
      <c r="H584" s="2" t="s">
        <v>15</v>
      </c>
      <c r="I584" s="2" t="s">
        <v>37</v>
      </c>
      <c r="J584" s="44" t="s">
        <v>17</v>
      </c>
    </row>
    <row r="585" spans="1:10" x14ac:dyDescent="0.3">
      <c r="A585" s="43" t="s">
        <v>585</v>
      </c>
      <c r="B585" s="2" t="s">
        <v>35</v>
      </c>
      <c r="C585" s="2" t="s">
        <v>36</v>
      </c>
      <c r="D585" s="2">
        <v>1</v>
      </c>
      <c r="E585" s="2">
        <v>9415389868</v>
      </c>
      <c r="F585" s="2" t="s">
        <v>13</v>
      </c>
      <c r="G585" s="2" t="s">
        <v>20</v>
      </c>
      <c r="H585" s="2" t="s">
        <v>15</v>
      </c>
      <c r="I585" s="2" t="s">
        <v>22</v>
      </c>
      <c r="J585" s="44" t="s">
        <v>22</v>
      </c>
    </row>
    <row r="586" spans="1:10" x14ac:dyDescent="0.3">
      <c r="A586" s="43" t="s">
        <v>60</v>
      </c>
      <c r="B586" s="2" t="s">
        <v>25</v>
      </c>
      <c r="C586" s="2" t="s">
        <v>33</v>
      </c>
      <c r="D586" s="2">
        <v>5</v>
      </c>
      <c r="E586" s="2">
        <v>8472602880</v>
      </c>
      <c r="F586" s="2" t="s">
        <v>19</v>
      </c>
      <c r="G586" s="2" t="s">
        <v>20</v>
      </c>
      <c r="H586" s="2" t="s">
        <v>21</v>
      </c>
      <c r="I586" s="2" t="s">
        <v>16</v>
      </c>
      <c r="J586" s="44" t="s">
        <v>22</v>
      </c>
    </row>
    <row r="587" spans="1:10" x14ac:dyDescent="0.3">
      <c r="A587" s="43" t="s">
        <v>586</v>
      </c>
      <c r="B587" s="2" t="s">
        <v>25</v>
      </c>
      <c r="C587" s="2" t="s">
        <v>12</v>
      </c>
      <c r="D587" s="2">
        <v>5</v>
      </c>
      <c r="E587" s="2">
        <v>6362530497</v>
      </c>
      <c r="F587" s="2" t="s">
        <v>13</v>
      </c>
      <c r="G587" s="2" t="s">
        <v>20</v>
      </c>
      <c r="H587" s="2" t="s">
        <v>15</v>
      </c>
      <c r="I587" s="2" t="s">
        <v>29</v>
      </c>
      <c r="J587" s="44" t="s">
        <v>22</v>
      </c>
    </row>
    <row r="588" spans="1:10" x14ac:dyDescent="0.3">
      <c r="A588" s="43" t="s">
        <v>587</v>
      </c>
      <c r="B588" s="2" t="s">
        <v>32</v>
      </c>
      <c r="C588" s="2" t="s">
        <v>43</v>
      </c>
      <c r="D588" s="2">
        <v>7</v>
      </c>
      <c r="E588" s="2">
        <v>8222411847</v>
      </c>
      <c r="F588" s="2" t="s">
        <v>19</v>
      </c>
      <c r="G588" s="2" t="s">
        <v>14</v>
      </c>
      <c r="H588" s="2" t="s">
        <v>15</v>
      </c>
      <c r="I588" s="2" t="s">
        <v>29</v>
      </c>
      <c r="J588" s="44" t="s">
        <v>17</v>
      </c>
    </row>
    <row r="589" spans="1:10" x14ac:dyDescent="0.3">
      <c r="A589" s="43" t="s">
        <v>588</v>
      </c>
      <c r="B589" s="2" t="s">
        <v>25</v>
      </c>
      <c r="C589" s="2" t="s">
        <v>36</v>
      </c>
      <c r="D589" s="2">
        <v>5</v>
      </c>
      <c r="E589" s="2">
        <v>6121596566</v>
      </c>
      <c r="F589" s="2" t="s">
        <v>19</v>
      </c>
      <c r="G589" s="2" t="s">
        <v>20</v>
      </c>
      <c r="H589" s="2" t="s">
        <v>21</v>
      </c>
      <c r="I589" s="2" t="s">
        <v>27</v>
      </c>
      <c r="J589" s="44" t="s">
        <v>22</v>
      </c>
    </row>
    <row r="590" spans="1:10" x14ac:dyDescent="0.3">
      <c r="A590" s="43" t="s">
        <v>589</v>
      </c>
      <c r="B590" s="2" t="s">
        <v>25</v>
      </c>
      <c r="C590" s="2" t="s">
        <v>33</v>
      </c>
      <c r="D590" s="2">
        <v>5</v>
      </c>
      <c r="E590" s="2">
        <v>8856174190</v>
      </c>
      <c r="F590" s="2" t="s">
        <v>13</v>
      </c>
      <c r="G590" s="2" t="s">
        <v>14</v>
      </c>
      <c r="H590" s="2" t="s">
        <v>15</v>
      </c>
      <c r="I590" s="2" t="s">
        <v>22</v>
      </c>
      <c r="J590" s="44" t="s">
        <v>22</v>
      </c>
    </row>
    <row r="591" spans="1:10" x14ac:dyDescent="0.3">
      <c r="A591" s="43" t="s">
        <v>590</v>
      </c>
      <c r="B591" s="2" t="s">
        <v>35</v>
      </c>
      <c r="C591" s="2" t="s">
        <v>36</v>
      </c>
      <c r="D591" s="2">
        <v>1</v>
      </c>
      <c r="E591" s="2">
        <v>7814362402</v>
      </c>
      <c r="F591" s="2" t="s">
        <v>19</v>
      </c>
      <c r="G591" s="2" t="s">
        <v>20</v>
      </c>
      <c r="H591" s="2" t="s">
        <v>15</v>
      </c>
      <c r="I591" s="2" t="s">
        <v>37</v>
      </c>
      <c r="J591" s="44" t="s">
        <v>17</v>
      </c>
    </row>
    <row r="592" spans="1:10" x14ac:dyDescent="0.3">
      <c r="A592" s="43" t="s">
        <v>591</v>
      </c>
      <c r="B592" s="2" t="s">
        <v>11</v>
      </c>
      <c r="C592" s="2" t="s">
        <v>36</v>
      </c>
      <c r="D592" s="2">
        <v>3</v>
      </c>
      <c r="E592" s="2">
        <v>8508206749</v>
      </c>
      <c r="F592" s="2" t="s">
        <v>13</v>
      </c>
      <c r="G592" s="2" t="s">
        <v>20</v>
      </c>
      <c r="H592" s="2" t="s">
        <v>15</v>
      </c>
      <c r="I592" s="2" t="s">
        <v>27</v>
      </c>
      <c r="J592" s="44" t="s">
        <v>22</v>
      </c>
    </row>
    <row r="593" spans="1:10" x14ac:dyDescent="0.3">
      <c r="A593" s="43" t="s">
        <v>592</v>
      </c>
      <c r="B593" s="2" t="s">
        <v>11</v>
      </c>
      <c r="C593" s="2" t="s">
        <v>26</v>
      </c>
      <c r="D593" s="2">
        <v>3</v>
      </c>
      <c r="E593" s="2">
        <v>9184741974</v>
      </c>
      <c r="F593" s="2" t="s">
        <v>13</v>
      </c>
      <c r="G593" s="2" t="s">
        <v>14</v>
      </c>
      <c r="H593" s="2" t="s">
        <v>21</v>
      </c>
      <c r="I593" s="2" t="s">
        <v>16</v>
      </c>
      <c r="J593" s="44" t="s">
        <v>17</v>
      </c>
    </row>
    <row r="594" spans="1:10" x14ac:dyDescent="0.3">
      <c r="A594" s="43" t="s">
        <v>593</v>
      </c>
      <c r="B594" s="2" t="s">
        <v>32</v>
      </c>
      <c r="C594" s="2" t="s">
        <v>33</v>
      </c>
      <c r="D594" s="2">
        <v>7</v>
      </c>
      <c r="E594" s="2">
        <v>8306373241</v>
      </c>
      <c r="F594" s="2" t="s">
        <v>13</v>
      </c>
      <c r="G594" s="2" t="s">
        <v>14</v>
      </c>
      <c r="H594" s="2" t="s">
        <v>21</v>
      </c>
      <c r="I594" s="2" t="s">
        <v>27</v>
      </c>
      <c r="J594" s="44" t="s">
        <v>23</v>
      </c>
    </row>
    <row r="595" spans="1:10" x14ac:dyDescent="0.3">
      <c r="A595" s="43" t="s">
        <v>594</v>
      </c>
      <c r="B595" s="2" t="s">
        <v>32</v>
      </c>
      <c r="C595" s="2" t="s">
        <v>33</v>
      </c>
      <c r="D595" s="2">
        <v>7</v>
      </c>
      <c r="E595" s="2">
        <v>6583374756</v>
      </c>
      <c r="F595" s="2" t="s">
        <v>19</v>
      </c>
      <c r="G595" s="2" t="s">
        <v>14</v>
      </c>
      <c r="H595" s="2" t="s">
        <v>15</v>
      </c>
      <c r="I595" s="2" t="s">
        <v>22</v>
      </c>
      <c r="J595" s="44" t="s">
        <v>17</v>
      </c>
    </row>
    <row r="596" spans="1:10" x14ac:dyDescent="0.3">
      <c r="A596" s="43" t="s">
        <v>595</v>
      </c>
      <c r="B596" s="2" t="s">
        <v>11</v>
      </c>
      <c r="C596" s="2" t="s">
        <v>36</v>
      </c>
      <c r="D596" s="2">
        <v>3</v>
      </c>
      <c r="E596" s="2">
        <v>6326243264</v>
      </c>
      <c r="F596" s="2" t="s">
        <v>13</v>
      </c>
      <c r="G596" s="2" t="s">
        <v>20</v>
      </c>
      <c r="H596" s="2" t="s">
        <v>15</v>
      </c>
      <c r="I596" s="2" t="s">
        <v>16</v>
      </c>
      <c r="J596" s="44" t="s">
        <v>17</v>
      </c>
    </row>
    <row r="597" spans="1:10" x14ac:dyDescent="0.3">
      <c r="A597" s="43" t="s">
        <v>596</v>
      </c>
      <c r="B597" s="2" t="s">
        <v>35</v>
      </c>
      <c r="C597" s="2" t="s">
        <v>43</v>
      </c>
      <c r="D597" s="2">
        <v>1</v>
      </c>
      <c r="E597" s="2">
        <v>6858107343</v>
      </c>
      <c r="F597" s="2" t="s">
        <v>13</v>
      </c>
      <c r="G597" s="2" t="s">
        <v>14</v>
      </c>
      <c r="H597" s="2" t="s">
        <v>21</v>
      </c>
      <c r="I597" s="2" t="s">
        <v>41</v>
      </c>
      <c r="J597" s="44" t="s">
        <v>22</v>
      </c>
    </row>
    <row r="598" spans="1:10" x14ac:dyDescent="0.3">
      <c r="A598" s="43" t="s">
        <v>597</v>
      </c>
      <c r="B598" s="2" t="s">
        <v>11</v>
      </c>
      <c r="C598" s="2" t="s">
        <v>33</v>
      </c>
      <c r="D598" s="2">
        <v>3</v>
      </c>
      <c r="E598" s="2">
        <v>6711963659</v>
      </c>
      <c r="F598" s="2" t="s">
        <v>19</v>
      </c>
      <c r="G598" s="2" t="s">
        <v>14</v>
      </c>
      <c r="H598" s="2" t="s">
        <v>15</v>
      </c>
      <c r="I598" s="2" t="s">
        <v>37</v>
      </c>
      <c r="J598" s="44" t="s">
        <v>17</v>
      </c>
    </row>
    <row r="599" spans="1:10" x14ac:dyDescent="0.3">
      <c r="A599" s="43" t="s">
        <v>165</v>
      </c>
      <c r="B599" s="2" t="s">
        <v>25</v>
      </c>
      <c r="C599" s="2" t="s">
        <v>36</v>
      </c>
      <c r="D599" s="2">
        <v>5</v>
      </c>
      <c r="E599" s="2">
        <v>6259634603</v>
      </c>
      <c r="F599" s="2" t="s">
        <v>13</v>
      </c>
      <c r="G599" s="2" t="s">
        <v>20</v>
      </c>
      <c r="H599" s="2" t="s">
        <v>15</v>
      </c>
      <c r="I599" s="2" t="s">
        <v>22</v>
      </c>
      <c r="J599" s="44" t="s">
        <v>22</v>
      </c>
    </row>
    <row r="600" spans="1:10" x14ac:dyDescent="0.3">
      <c r="A600" s="43" t="s">
        <v>598</v>
      </c>
      <c r="B600" s="2" t="s">
        <v>25</v>
      </c>
      <c r="C600" s="2" t="s">
        <v>36</v>
      </c>
      <c r="D600" s="2">
        <v>5</v>
      </c>
      <c r="E600" s="2">
        <v>8400810214</v>
      </c>
      <c r="F600" s="2" t="s">
        <v>19</v>
      </c>
      <c r="G600" s="2" t="s">
        <v>20</v>
      </c>
      <c r="H600" s="2" t="s">
        <v>15</v>
      </c>
      <c r="I600" s="2" t="s">
        <v>22</v>
      </c>
      <c r="J600" s="44" t="s">
        <v>22</v>
      </c>
    </row>
    <row r="601" spans="1:10" x14ac:dyDescent="0.3">
      <c r="A601" s="48" t="s">
        <v>599</v>
      </c>
      <c r="B601" s="49" t="s">
        <v>25</v>
      </c>
      <c r="C601" s="49" t="s">
        <v>33</v>
      </c>
      <c r="D601" s="49">
        <v>5</v>
      </c>
      <c r="E601" s="49">
        <v>8782214667</v>
      </c>
      <c r="F601" s="49" t="s">
        <v>13</v>
      </c>
      <c r="G601" s="49" t="s">
        <v>14</v>
      </c>
      <c r="H601" s="49" t="s">
        <v>21</v>
      </c>
      <c r="I601" s="49" t="s">
        <v>16</v>
      </c>
      <c r="J601" s="50" t="s">
        <v>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173FE-1602-4352-9464-F199334A181A}">
  <dimension ref="A1:Z34"/>
  <sheetViews>
    <sheetView zoomScale="92" zoomScaleNormal="92" workbookViewId="0">
      <selection activeCell="A12" sqref="A12:D13"/>
    </sheetView>
  </sheetViews>
  <sheetFormatPr defaultRowHeight="14.4" x14ac:dyDescent="0.3"/>
  <cols>
    <col min="1" max="1" width="13.109375" bestFit="1" customWidth="1"/>
    <col min="2" max="2" width="18.5546875" bestFit="1" customWidth="1"/>
    <col min="6" max="7" width="13.109375" bestFit="1" customWidth="1"/>
    <col min="8" max="8" width="18.5546875" bestFit="1" customWidth="1"/>
    <col min="9" max="10" width="4" bestFit="1" customWidth="1"/>
    <col min="11" max="11" width="10.77734375" bestFit="1" customWidth="1"/>
  </cols>
  <sheetData>
    <row r="1" spans="1:26" x14ac:dyDescent="0.3">
      <c r="A1" s="88" t="s">
        <v>671</v>
      </c>
      <c r="B1" s="89"/>
      <c r="C1" s="89"/>
      <c r="D1" s="89"/>
      <c r="E1" s="89"/>
      <c r="F1" s="89"/>
      <c r="G1" s="89"/>
      <c r="H1" s="89"/>
      <c r="I1" s="89"/>
      <c r="J1" s="89"/>
      <c r="K1" s="89"/>
      <c r="L1" s="89"/>
      <c r="M1" s="89"/>
      <c r="N1" s="89"/>
      <c r="O1" s="89"/>
      <c r="P1" s="89"/>
      <c r="Q1" s="89"/>
      <c r="R1" s="89"/>
      <c r="S1" s="89"/>
      <c r="T1" s="89"/>
      <c r="U1" s="90" t="s">
        <v>672</v>
      </c>
      <c r="V1" s="91"/>
      <c r="W1" s="91"/>
      <c r="X1" s="91"/>
      <c r="Y1" s="91"/>
      <c r="Z1" s="91"/>
    </row>
    <row r="2" spans="1:26" x14ac:dyDescent="0.3">
      <c r="A2" s="89"/>
      <c r="B2" s="89"/>
      <c r="C2" s="89"/>
      <c r="D2" s="89"/>
      <c r="E2" s="89"/>
      <c r="F2" s="89"/>
      <c r="G2" s="89"/>
      <c r="H2" s="89"/>
      <c r="I2" s="89"/>
      <c r="J2" s="89"/>
      <c r="K2" s="89"/>
      <c r="L2" s="89"/>
      <c r="M2" s="89"/>
      <c r="N2" s="89"/>
      <c r="O2" s="89"/>
      <c r="P2" s="89"/>
      <c r="Q2" s="89"/>
      <c r="R2" s="89"/>
      <c r="S2" s="89"/>
      <c r="T2" s="89"/>
      <c r="U2" s="91"/>
      <c r="V2" s="91"/>
      <c r="W2" s="91"/>
      <c r="X2" s="91"/>
      <c r="Y2" s="91"/>
      <c r="Z2" s="91"/>
    </row>
    <row r="3" spans="1:26" x14ac:dyDescent="0.3">
      <c r="A3" s="89"/>
      <c r="B3" s="89"/>
      <c r="C3" s="89"/>
      <c r="D3" s="89"/>
      <c r="E3" s="89"/>
      <c r="F3" s="89"/>
      <c r="G3" s="89"/>
      <c r="H3" s="89"/>
      <c r="I3" s="89"/>
      <c r="J3" s="89"/>
      <c r="K3" s="89"/>
      <c r="L3" s="89"/>
      <c r="M3" s="89"/>
      <c r="N3" s="89"/>
      <c r="O3" s="89"/>
      <c r="P3" s="89"/>
      <c r="Q3" s="89"/>
      <c r="R3" s="89"/>
      <c r="S3" s="89"/>
      <c r="T3" s="89"/>
      <c r="U3" s="90" t="s">
        <v>673</v>
      </c>
      <c r="V3" s="91"/>
      <c r="W3" s="91"/>
      <c r="X3" s="91"/>
      <c r="Y3" s="91"/>
      <c r="Z3" s="91"/>
    </row>
    <row r="4" spans="1:26" x14ac:dyDescent="0.3">
      <c r="A4" s="89"/>
      <c r="B4" s="89"/>
      <c r="C4" s="89"/>
      <c r="D4" s="89"/>
      <c r="E4" s="89"/>
      <c r="F4" s="89"/>
      <c r="G4" s="89"/>
      <c r="H4" s="89"/>
      <c r="I4" s="89"/>
      <c r="J4" s="89"/>
      <c r="K4" s="89"/>
      <c r="L4" s="89"/>
      <c r="M4" s="89"/>
      <c r="N4" s="89"/>
      <c r="O4" s="89"/>
      <c r="P4" s="89"/>
      <c r="Q4" s="89"/>
      <c r="R4" s="89"/>
      <c r="S4" s="89"/>
      <c r="T4" s="89"/>
      <c r="U4" s="91"/>
      <c r="V4" s="91"/>
      <c r="W4" s="91"/>
      <c r="X4" s="91"/>
      <c r="Y4" s="91"/>
      <c r="Z4" s="91"/>
    </row>
    <row r="5" spans="1:26" x14ac:dyDescent="0.3">
      <c r="A5" s="89"/>
      <c r="B5" s="89"/>
      <c r="C5" s="89"/>
      <c r="D5" s="89"/>
      <c r="E5" s="89"/>
      <c r="F5" s="89"/>
      <c r="G5" s="89"/>
      <c r="H5" s="89"/>
      <c r="I5" s="89"/>
      <c r="J5" s="89"/>
      <c r="K5" s="89"/>
      <c r="L5" s="89"/>
      <c r="M5" s="89"/>
      <c r="N5" s="89"/>
      <c r="O5" s="89"/>
      <c r="P5" s="89"/>
      <c r="Q5" s="89"/>
      <c r="R5" s="89"/>
      <c r="S5" s="89"/>
      <c r="T5" s="89"/>
      <c r="U5" s="92" t="s">
        <v>674</v>
      </c>
      <c r="V5" s="91"/>
      <c r="W5" s="91"/>
      <c r="X5" s="91"/>
      <c r="Y5" s="91"/>
      <c r="Z5" s="91"/>
    </row>
    <row r="6" spans="1:26" x14ac:dyDescent="0.3">
      <c r="A6" s="93" t="s">
        <v>675</v>
      </c>
      <c r="B6" s="57"/>
      <c r="C6" s="57"/>
      <c r="D6" s="58"/>
      <c r="E6" s="94" t="s">
        <v>676</v>
      </c>
      <c r="F6" s="62"/>
      <c r="G6" s="62"/>
      <c r="H6" s="63"/>
      <c r="I6" s="95" t="s">
        <v>677</v>
      </c>
      <c r="J6" s="67"/>
      <c r="K6" s="67"/>
      <c r="L6" s="68"/>
      <c r="M6" s="96" t="s">
        <v>678</v>
      </c>
      <c r="N6" s="72"/>
      <c r="O6" s="72"/>
      <c r="P6" s="73"/>
      <c r="Q6" s="97" t="s">
        <v>679</v>
      </c>
      <c r="R6" s="77"/>
      <c r="S6" s="77"/>
      <c r="T6" s="78"/>
    </row>
    <row r="7" spans="1:26" x14ac:dyDescent="0.3">
      <c r="A7" s="59"/>
      <c r="B7" s="60"/>
      <c r="C7" s="60"/>
      <c r="D7" s="61"/>
      <c r="E7" s="64"/>
      <c r="F7" s="65"/>
      <c r="G7" s="65"/>
      <c r="H7" s="66"/>
      <c r="I7" s="69"/>
      <c r="J7" s="70"/>
      <c r="K7" s="70"/>
      <c r="L7" s="71"/>
      <c r="M7" s="74"/>
      <c r="N7" s="75"/>
      <c r="O7" s="75"/>
      <c r="P7" s="76"/>
      <c r="Q7" s="79"/>
      <c r="R7" s="80"/>
      <c r="S7" s="80"/>
      <c r="T7" s="81"/>
    </row>
    <row r="8" spans="1:26" x14ac:dyDescent="0.3">
      <c r="A8" s="82" t="s">
        <v>680</v>
      </c>
      <c r="B8" s="57"/>
      <c r="C8" s="57"/>
      <c r="D8" s="58"/>
      <c r="E8" s="98" t="s">
        <v>681</v>
      </c>
      <c r="F8" s="99"/>
      <c r="G8" s="99"/>
      <c r="H8" s="100"/>
      <c r="I8" s="104" t="s">
        <v>682</v>
      </c>
      <c r="J8" s="105"/>
      <c r="K8" s="105"/>
      <c r="L8" s="106"/>
      <c r="M8" s="110" t="s">
        <v>683</v>
      </c>
      <c r="N8" s="111"/>
      <c r="O8" s="111"/>
      <c r="P8" s="112"/>
      <c r="Q8" s="116" t="s">
        <v>684</v>
      </c>
      <c r="R8" s="117"/>
      <c r="S8" s="117"/>
      <c r="T8" s="118"/>
    </row>
    <row r="9" spans="1:26" x14ac:dyDescent="0.3">
      <c r="A9" s="59"/>
      <c r="B9" s="60"/>
      <c r="C9" s="60"/>
      <c r="D9" s="61"/>
      <c r="E9" s="101"/>
      <c r="F9" s="102"/>
      <c r="G9" s="102"/>
      <c r="H9" s="103"/>
      <c r="I9" s="107"/>
      <c r="J9" s="108"/>
      <c r="K9" s="108"/>
      <c r="L9" s="109"/>
      <c r="M9" s="113"/>
      <c r="N9" s="114"/>
      <c r="O9" s="114"/>
      <c r="P9" s="115"/>
      <c r="Q9" s="119"/>
      <c r="R9" s="120"/>
      <c r="S9" s="120"/>
      <c r="T9" s="121"/>
    </row>
    <row r="10" spans="1:26" x14ac:dyDescent="0.3">
      <c r="A10" s="83" t="s">
        <v>685</v>
      </c>
      <c r="B10" s="57"/>
      <c r="C10" s="57"/>
      <c r="D10" s="58"/>
      <c r="E10" s="84" t="s">
        <v>686</v>
      </c>
      <c r="F10" s="62"/>
      <c r="G10" s="62"/>
      <c r="H10" s="63"/>
      <c r="I10" s="85" t="s">
        <v>687</v>
      </c>
      <c r="J10" s="67"/>
      <c r="K10" s="67"/>
      <c r="L10" s="68"/>
      <c r="M10" s="86" t="s">
        <v>688</v>
      </c>
      <c r="N10" s="72"/>
      <c r="O10" s="72"/>
      <c r="P10" s="73"/>
      <c r="Q10" s="87" t="s">
        <v>689</v>
      </c>
      <c r="R10" s="77"/>
      <c r="S10" s="77"/>
      <c r="T10" s="78"/>
    </row>
    <row r="11" spans="1:26" x14ac:dyDescent="0.3">
      <c r="A11" s="59"/>
      <c r="B11" s="60"/>
      <c r="C11" s="60"/>
      <c r="D11" s="61"/>
      <c r="E11" s="64"/>
      <c r="F11" s="65"/>
      <c r="G11" s="65"/>
      <c r="H11" s="66"/>
      <c r="I11" s="69"/>
      <c r="J11" s="70"/>
      <c r="K11" s="70"/>
      <c r="L11" s="71"/>
      <c r="M11" s="74"/>
      <c r="N11" s="75"/>
      <c r="O11" s="75"/>
      <c r="P11" s="76"/>
      <c r="Q11" s="79"/>
      <c r="R11" s="80"/>
      <c r="S11" s="80"/>
      <c r="T11" s="81"/>
    </row>
    <row r="12" spans="1:26" x14ac:dyDescent="0.3">
      <c r="A12" s="146" t="s">
        <v>690</v>
      </c>
      <c r="B12" s="147"/>
      <c r="C12" s="147"/>
      <c r="D12" s="148"/>
      <c r="E12" s="140" t="s">
        <v>691</v>
      </c>
      <c r="F12" s="141"/>
      <c r="G12" s="141"/>
      <c r="H12" s="142"/>
      <c r="I12" s="134" t="s">
        <v>692</v>
      </c>
      <c r="J12" s="135"/>
      <c r="K12" s="135"/>
      <c r="L12" s="136"/>
      <c r="M12" s="128" t="s">
        <v>693</v>
      </c>
      <c r="N12" s="129"/>
      <c r="O12" s="129"/>
      <c r="P12" s="130"/>
      <c r="Q12" s="122" t="s">
        <v>694</v>
      </c>
      <c r="R12" s="123"/>
      <c r="S12" s="123"/>
      <c r="T12" s="124"/>
    </row>
    <row r="13" spans="1:26" x14ac:dyDescent="0.3">
      <c r="A13" s="149"/>
      <c r="B13" s="150"/>
      <c r="C13" s="150"/>
      <c r="D13" s="151"/>
      <c r="E13" s="143"/>
      <c r="F13" s="144"/>
      <c r="G13" s="144"/>
      <c r="H13" s="145"/>
      <c r="I13" s="137"/>
      <c r="J13" s="138"/>
      <c r="K13" s="138"/>
      <c r="L13" s="139"/>
      <c r="M13" s="131"/>
      <c r="N13" s="132"/>
      <c r="O13" s="132"/>
      <c r="P13" s="133"/>
      <c r="Q13" s="125"/>
      <c r="R13" s="126"/>
      <c r="S13" s="126"/>
      <c r="T13" s="127"/>
    </row>
    <row r="14" spans="1:26" x14ac:dyDescent="0.3">
      <c r="A14" s="51" t="s">
        <v>669</v>
      </c>
      <c r="B14" t="s">
        <v>640</v>
      </c>
    </row>
    <row r="15" spans="1:26" x14ac:dyDescent="0.3">
      <c r="A15" s="37" t="s">
        <v>16</v>
      </c>
      <c r="B15" s="152">
        <v>3</v>
      </c>
    </row>
    <row r="16" spans="1:26" x14ac:dyDescent="0.3">
      <c r="A16" s="37" t="s">
        <v>41</v>
      </c>
      <c r="B16" s="152">
        <v>5</v>
      </c>
    </row>
    <row r="17" spans="1:2" x14ac:dyDescent="0.3">
      <c r="A17" s="37" t="s">
        <v>29</v>
      </c>
      <c r="B17" s="152">
        <v>5</v>
      </c>
    </row>
    <row r="18" spans="1:2" x14ac:dyDescent="0.3">
      <c r="A18" s="37" t="s">
        <v>22</v>
      </c>
      <c r="B18" s="152">
        <v>12</v>
      </c>
    </row>
    <row r="19" spans="1:2" x14ac:dyDescent="0.3">
      <c r="A19" s="37" t="s">
        <v>37</v>
      </c>
      <c r="B19" s="152">
        <v>4</v>
      </c>
    </row>
    <row r="20" spans="1:2" x14ac:dyDescent="0.3">
      <c r="A20" s="37" t="s">
        <v>27</v>
      </c>
      <c r="B20" s="152">
        <v>5</v>
      </c>
    </row>
    <row r="21" spans="1:2" x14ac:dyDescent="0.3">
      <c r="A21" s="37" t="s">
        <v>634</v>
      </c>
      <c r="B21" s="152">
        <v>34</v>
      </c>
    </row>
    <row r="23" spans="1:2" x14ac:dyDescent="0.3">
      <c r="A23" s="51" t="s">
        <v>669</v>
      </c>
    </row>
    <row r="24" spans="1:2" x14ac:dyDescent="0.3">
      <c r="A24" s="37" t="s">
        <v>35</v>
      </c>
    </row>
    <row r="25" spans="1:2" x14ac:dyDescent="0.3">
      <c r="A25" s="52" t="s">
        <v>26</v>
      </c>
    </row>
    <row r="26" spans="1:2" x14ac:dyDescent="0.3">
      <c r="A26" s="37" t="s">
        <v>634</v>
      </c>
    </row>
    <row r="27" spans="1:2" x14ac:dyDescent="0.3">
      <c r="A27" s="53" t="s">
        <v>2</v>
      </c>
      <c r="B27" s="5" t="s">
        <v>26</v>
      </c>
    </row>
    <row r="28" spans="1:2" x14ac:dyDescent="0.3">
      <c r="A28" s="5"/>
      <c r="B28" s="5"/>
    </row>
    <row r="29" spans="1:2" x14ac:dyDescent="0.3">
      <c r="A29" s="53" t="s">
        <v>669</v>
      </c>
      <c r="B29" s="54" t="s">
        <v>670</v>
      </c>
    </row>
    <row r="30" spans="1:2" x14ac:dyDescent="0.3">
      <c r="A30" s="55" t="s">
        <v>13</v>
      </c>
      <c r="B30" s="153">
        <v>15</v>
      </c>
    </row>
    <row r="31" spans="1:2" x14ac:dyDescent="0.3">
      <c r="A31" s="56" t="s">
        <v>35</v>
      </c>
      <c r="B31" s="153">
        <v>15</v>
      </c>
    </row>
    <row r="32" spans="1:2" x14ac:dyDescent="0.3">
      <c r="A32" s="55" t="s">
        <v>19</v>
      </c>
      <c r="B32" s="153">
        <v>19</v>
      </c>
    </row>
    <row r="33" spans="1:2" x14ac:dyDescent="0.3">
      <c r="A33" s="56" t="s">
        <v>35</v>
      </c>
      <c r="B33" s="153">
        <v>19</v>
      </c>
    </row>
    <row r="34" spans="1:2" x14ac:dyDescent="0.3">
      <c r="A34" s="55" t="s">
        <v>634</v>
      </c>
      <c r="B34" s="153">
        <v>34</v>
      </c>
    </row>
  </sheetData>
  <mergeCells count="24">
    <mergeCell ref="A1:T5"/>
    <mergeCell ref="U1:Z2"/>
    <mergeCell ref="U3:Z4"/>
    <mergeCell ref="U5:Z5"/>
    <mergeCell ref="A6:D7"/>
    <mergeCell ref="E6:H7"/>
    <mergeCell ref="I6:L7"/>
    <mergeCell ref="M6:P7"/>
    <mergeCell ref="Q6:T7"/>
    <mergeCell ref="A10:D11"/>
    <mergeCell ref="E10:H11"/>
    <mergeCell ref="I10:L11"/>
    <mergeCell ref="M10:P11"/>
    <mergeCell ref="Q10:T11"/>
    <mergeCell ref="A8:D9"/>
    <mergeCell ref="E8:H9"/>
    <mergeCell ref="I8:L9"/>
    <mergeCell ref="M8:P9"/>
    <mergeCell ref="Q8:T9"/>
    <mergeCell ref="A12:D13"/>
    <mergeCell ref="E12:H13"/>
    <mergeCell ref="I12:L13"/>
    <mergeCell ref="M12:P13"/>
    <mergeCell ref="Q12:T13"/>
  </mergeCells>
  <phoneticPr fontId="26" type="noConversion"/>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college_fest_dataset</vt:lpstr>
      <vt:lpstr>Questions </vt:lpstr>
      <vt:lpstr>Easy_Level_Solved</vt:lpstr>
      <vt:lpstr>Medium_Level_Solved</vt:lpstr>
      <vt:lpstr>Hard_Level_Solved</vt:lpstr>
      <vt:lpstr>StudentTable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AYAN THE DON</dc:creator>
  <cp:lastModifiedBy>AYAN MONDAL</cp:lastModifiedBy>
  <dcterms:created xsi:type="dcterms:W3CDTF">2026-03-21T06:45:10Z</dcterms:created>
  <dcterms:modified xsi:type="dcterms:W3CDTF">2026-03-23T17:52:47Z</dcterms:modified>
</cp:coreProperties>
</file>