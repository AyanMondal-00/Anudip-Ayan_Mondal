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.C\Desktop\Anudip Assinment\"/>
    </mc:Choice>
  </mc:AlternateContent>
  <xr:revisionPtr revIDLastSave="0" documentId="8_{1C68C835-E00D-4B21-AB07-D3C0D490FD36}" xr6:coauthVersionLast="47" xr6:coauthVersionMax="47" xr10:uidLastSave="{00000000-0000-0000-0000-000000000000}"/>
  <bookViews>
    <workbookView xWindow="-108" yWindow="-108" windowWidth="23256" windowHeight="12456" xr2:uid="{7C66AA12-17D7-4C18-9571-79084A8F6F55}"/>
  </bookViews>
  <sheets>
    <sheet name="Sheet1" sheetId="1" r:id="rId1"/>
    <sheet name="Sheet2" sheetId="2" r:id="rId2"/>
  </sheets>
  <definedNames>
    <definedName name="_xlnm._FilterDatabase" localSheetId="0" hidden="1">Sheet1!$P$2:$P$11</definedName>
    <definedName name="_xlnm._FilterDatabase" localSheetId="1" hidden="1">Sheet2!$A$1:$I$11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1" l="1"/>
  <c r="O23" i="1"/>
  <c r="P22" i="1"/>
  <c r="O21" i="1"/>
  <c r="P13" i="1"/>
  <c r="P12" i="1"/>
  <c r="K12" i="1"/>
  <c r="N17" i="1"/>
  <c r="N16" i="1"/>
  <c r="Q12" i="1"/>
  <c r="S12" i="1"/>
</calcChain>
</file>

<file path=xl/sharedStrings.xml><?xml version="1.0" encoding="utf-8"?>
<sst xmlns="http://schemas.openxmlformats.org/spreadsheetml/2006/main" count="223" uniqueCount="50">
  <si>
    <t>Order_ID</t>
  </si>
  <si>
    <t>Date</t>
  </si>
  <si>
    <t>Region</t>
  </si>
  <si>
    <t>Salesperson</t>
  </si>
  <si>
    <t>Product</t>
  </si>
  <si>
    <t>Category</t>
  </si>
  <si>
    <t>Quantity</t>
  </si>
  <si>
    <t>Unit_Price</t>
  </si>
  <si>
    <t>Total_Sales</t>
  </si>
  <si>
    <t>East</t>
  </si>
  <si>
    <t>Amit</t>
  </si>
  <si>
    <t>Laptop</t>
  </si>
  <si>
    <t>Electronics</t>
  </si>
  <si>
    <t>West</t>
  </si>
  <si>
    <t>Priya</t>
  </si>
  <si>
    <t>Phone</t>
  </si>
  <si>
    <t>North</t>
  </si>
  <si>
    <t>Rahul</t>
  </si>
  <si>
    <t>Chair</t>
  </si>
  <si>
    <t>Furniture</t>
  </si>
  <si>
    <t>South</t>
  </si>
  <si>
    <t>Neha</t>
  </si>
  <si>
    <t>Table</t>
  </si>
  <si>
    <t>Desk</t>
  </si>
  <si>
    <t>Q1. Sort Total_Sales from Highest to Lowest.</t>
  </si>
  <si>
    <t>Q2. Filter data to show only "Electronics" category.</t>
  </si>
  <si>
    <t>Q3. Filter sales done by Amit in East region.</t>
  </si>
  <si>
    <t>Q4. Find total sales of all orders.</t>
  </si>
  <si>
    <t>Q5. Find total quantity sold.</t>
  </si>
  <si>
    <t>Q6. Find average Total_Sales.</t>
  </si>
  <si>
    <t>Q7. Find average quantity sold per order.</t>
  </si>
  <si>
    <t>Q8. Count total number of orders.</t>
  </si>
  <si>
    <t>Q9. Count number of Furniture orders.</t>
  </si>
  <si>
    <t>Q10. Find total sales for Electronics category.</t>
  </si>
  <si>
    <t>Q11. Find total sales done by Amit.</t>
  </si>
  <si>
    <t>Q12. Total sales of Electronics in East region.</t>
  </si>
  <si>
    <t>Q13. Total sales by Priya in West region.</t>
  </si>
  <si>
    <t>Q14. Highlight Total_Sales greater than 1,00,000.</t>
  </si>
  <si>
    <t>Q15. Highlight Quantity less than 3.</t>
  </si>
  <si>
    <t>Q16. Count orders where:</t>
  </si>
  <si>
    <t>Category = Electronics</t>
  </si>
  <si>
    <t>Quantity &gt; 3</t>
  </si>
  <si>
    <t>Total=&gt;</t>
  </si>
  <si>
    <t>Avg of total Sales =&gt;</t>
  </si>
  <si>
    <t>Quantity =&gt;</t>
  </si>
  <si>
    <t xml:space="preserve">total sales done by Amit. =&gt; </t>
  </si>
  <si>
    <t xml:space="preserve">Total sales of Electronics in East region.=&gt; </t>
  </si>
  <si>
    <t xml:space="preserve">Total sales by Priya in West region. =&gt; </t>
  </si>
  <si>
    <t xml:space="preserve"> Ans =&gt; Go to Sheet 2</t>
  </si>
  <si>
    <t xml:space="preserve">Q12 =&gt;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</si>
</sst>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5D5D"/>
      <name val="Calibri"/>
      <family val="2"/>
      <scheme val="minor"/>
    </font>
    <font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FF00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horizontal="right"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right"/>
    </xf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14" borderId="0" xfId="0" applyFont="1" applyFill="1"/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2" fillId="15" borderId="0" xfId="0" applyFont="1" applyFill="1"/>
    <xf numFmtId="0" fontId="2" fillId="16" borderId="0" xfId="0" applyFont="1" applyFill="1"/>
    <xf numFmtId="0" fontId="0" fillId="17" borderId="0" xfId="0" applyFill="1"/>
    <xf numFmtId="0" fontId="0" fillId="17" borderId="0" xfId="0" applyFill="1" applyAlignment="1">
      <alignment horizontal="left" vertical="center" indent="1"/>
    </xf>
  </cellXfs>
  <cellStyles count="1">
    <cellStyle name="Normal" xfId="0" builtinId="0"/>
  </cellStyles>
  <dxfs count="4">
    <dxf>
      <font>
        <color theme="0"/>
      </font>
      <fill>
        <patternFill>
          <bgColor rgb="FF990033"/>
        </patternFill>
      </fill>
    </dxf>
    <dxf>
      <fill>
        <patternFill>
          <bgColor rgb="FF3333FF"/>
        </patternFill>
      </fill>
    </dxf>
    <dxf>
      <fill>
        <patternFill>
          <bgColor rgb="FF3333FF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0066"/>
      <color rgb="FF990033"/>
      <color rgb="FF660033"/>
      <color rgb="FF3333FF"/>
      <color rgb="FF6600CC"/>
      <color rgb="FFFF99FF"/>
      <color rgb="FF00CC99"/>
      <color rgb="FF00FFCC"/>
      <color rgb="FFCCFF33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91440</xdr:colOff>
      <xdr:row>0</xdr:row>
      <xdr:rowOff>7620</xdr:rowOff>
    </xdr:from>
    <xdr:to>
      <xdr:col>9</xdr:col>
      <xdr:colOff>91440</xdr:colOff>
      <xdr:row>47</xdr:row>
      <xdr:rowOff>167640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C546FB1-EF67-5C09-8064-1A2EA250C605}"/>
            </a:ext>
          </a:extLst>
        </xdr:cNvPr>
        <xdr:cNvCxnSpPr/>
      </xdr:nvCxnSpPr>
      <xdr:spPr>
        <a:xfrm>
          <a:off x="5760720" y="7620"/>
          <a:ext cx="0" cy="8023860"/>
        </a:xfrm>
        <a:prstGeom prst="line">
          <a:avLst/>
        </a:prstGeom>
        <a:ln w="57150">
          <a:solidFill>
            <a:schemeClr val="accent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992E534-625F-4E8B-90E0-A8899155603A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6149-8E81-489F-91E3-C4CF917A52EE}">
  <dimension ref="A1:T43"/>
  <sheetViews>
    <sheetView tabSelected="1" workbookViewId="0">
      <selection activeCell="I20" sqref="I20"/>
    </sheetView>
  </sheetViews>
  <sheetFormatPr defaultRowHeight="14.4" x14ac:dyDescent="0.3"/>
  <cols>
    <col min="1" max="1" width="8.5546875" bestFit="1" customWidth="1"/>
    <col min="2" max="2" width="10.33203125" bestFit="1" customWidth="1"/>
    <col min="3" max="3" width="6.77734375" bestFit="1" customWidth="1"/>
    <col min="4" max="4" width="11" bestFit="1" customWidth="1"/>
    <col min="5" max="5" width="7.6640625" bestFit="1" customWidth="1"/>
    <col min="6" max="6" width="9.88671875" bestFit="1" customWidth="1"/>
    <col min="7" max="7" width="8.33203125" bestFit="1" customWidth="1"/>
    <col min="8" max="8" width="9.6640625" bestFit="1" customWidth="1"/>
    <col min="9" max="9" width="10.44140625" bestFit="1" customWidth="1"/>
    <col min="12" max="13" width="10.33203125" bestFit="1" customWidth="1"/>
    <col min="14" max="14" width="10.88671875" customWidth="1"/>
    <col min="15" max="15" width="12.33203125" customWidth="1"/>
    <col min="16" max="16" width="10.21875" customWidth="1"/>
    <col min="17" max="17" width="12.21875" customWidth="1"/>
    <col min="18" max="18" width="9.6640625" customWidth="1"/>
    <col min="19" max="19" width="11" customWidth="1"/>
    <col min="20" max="20" width="13.109375" customWidth="1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8" t="s">
        <v>8</v>
      </c>
    </row>
    <row r="2" spans="1:19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  <c r="K2" s="5">
        <v>1008</v>
      </c>
      <c r="L2" s="6">
        <v>45319</v>
      </c>
      <c r="M2" s="5" t="s">
        <v>20</v>
      </c>
      <c r="N2" s="5" t="s">
        <v>21</v>
      </c>
      <c r="O2" s="5" t="s">
        <v>15</v>
      </c>
      <c r="P2" s="5" t="s">
        <v>12</v>
      </c>
      <c r="Q2" s="5">
        <v>6</v>
      </c>
      <c r="R2" s="5">
        <v>20000</v>
      </c>
      <c r="S2" s="26">
        <v>120000</v>
      </c>
    </row>
    <row r="3" spans="1:19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  <c r="K3" s="5">
        <v>1001</v>
      </c>
      <c r="L3" s="6">
        <v>45296</v>
      </c>
      <c r="M3" s="5" t="s">
        <v>9</v>
      </c>
      <c r="N3" s="5" t="s">
        <v>10</v>
      </c>
      <c r="O3" s="5" t="s">
        <v>11</v>
      </c>
      <c r="P3" s="5" t="s">
        <v>12</v>
      </c>
      <c r="Q3" s="5">
        <v>2</v>
      </c>
      <c r="R3" s="5">
        <v>50000</v>
      </c>
      <c r="S3" s="27">
        <v>100000</v>
      </c>
    </row>
    <row r="4" spans="1:19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  <c r="K4" s="5">
        <v>1002</v>
      </c>
      <c r="L4" s="6">
        <v>45299</v>
      </c>
      <c r="M4" s="5" t="s">
        <v>13</v>
      </c>
      <c r="N4" s="5" t="s">
        <v>14</v>
      </c>
      <c r="O4" s="5" t="s">
        <v>15</v>
      </c>
      <c r="P4" s="5" t="s">
        <v>12</v>
      </c>
      <c r="Q4" s="5">
        <v>5</v>
      </c>
      <c r="R4" s="5">
        <v>20000</v>
      </c>
      <c r="S4" s="27">
        <v>100000</v>
      </c>
    </row>
    <row r="5" spans="1:19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  <c r="K5" s="5">
        <v>1005</v>
      </c>
      <c r="L5" s="6">
        <v>45309</v>
      </c>
      <c r="M5" s="5" t="s">
        <v>9</v>
      </c>
      <c r="N5" s="5" t="s">
        <v>10</v>
      </c>
      <c r="O5" s="5" t="s">
        <v>15</v>
      </c>
      <c r="P5" s="5" t="s">
        <v>12</v>
      </c>
      <c r="Q5" s="5">
        <v>4</v>
      </c>
      <c r="R5" s="5">
        <v>20000</v>
      </c>
      <c r="S5" s="27">
        <v>80000</v>
      </c>
    </row>
    <row r="6" spans="1:19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  <c r="K6" s="5">
        <v>1006</v>
      </c>
      <c r="L6" s="6">
        <v>45311</v>
      </c>
      <c r="M6" s="5" t="s">
        <v>13</v>
      </c>
      <c r="N6" s="5" t="s">
        <v>14</v>
      </c>
      <c r="O6" s="5" t="s">
        <v>11</v>
      </c>
      <c r="P6" s="5" t="s">
        <v>12</v>
      </c>
      <c r="Q6" s="5">
        <v>1</v>
      </c>
      <c r="R6" s="5">
        <v>50000</v>
      </c>
      <c r="S6" s="27">
        <v>50000</v>
      </c>
    </row>
    <row r="7" spans="1:19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  <c r="K7" s="5">
        <v>1009</v>
      </c>
      <c r="L7" s="6">
        <v>45324</v>
      </c>
      <c r="M7" s="5" t="s">
        <v>9</v>
      </c>
      <c r="N7" s="5" t="s">
        <v>10</v>
      </c>
      <c r="O7" s="5" t="s">
        <v>22</v>
      </c>
      <c r="P7" s="5" t="s">
        <v>19</v>
      </c>
      <c r="Q7" s="5">
        <v>5</v>
      </c>
      <c r="R7" s="5">
        <v>7000</v>
      </c>
      <c r="S7" s="27">
        <v>35000</v>
      </c>
    </row>
    <row r="8" spans="1:19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  <c r="K8" s="5">
        <v>1003</v>
      </c>
      <c r="L8" s="6">
        <v>45303</v>
      </c>
      <c r="M8" s="5" t="s">
        <v>16</v>
      </c>
      <c r="N8" s="5" t="s">
        <v>17</v>
      </c>
      <c r="O8" s="5" t="s">
        <v>18</v>
      </c>
      <c r="P8" s="5" t="s">
        <v>19</v>
      </c>
      <c r="Q8" s="5">
        <v>10</v>
      </c>
      <c r="R8" s="5">
        <v>3000</v>
      </c>
      <c r="S8" s="27">
        <v>30000</v>
      </c>
    </row>
    <row r="9" spans="1:19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  <c r="K9" s="5">
        <v>1004</v>
      </c>
      <c r="L9" s="6">
        <v>45306</v>
      </c>
      <c r="M9" s="5" t="s">
        <v>20</v>
      </c>
      <c r="N9" s="5" t="s">
        <v>21</v>
      </c>
      <c r="O9" s="5" t="s">
        <v>22</v>
      </c>
      <c r="P9" s="5" t="s">
        <v>19</v>
      </c>
      <c r="Q9" s="5">
        <v>3</v>
      </c>
      <c r="R9" s="5">
        <v>7000</v>
      </c>
      <c r="S9" s="27">
        <v>21000</v>
      </c>
    </row>
    <row r="10" spans="1:19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  <c r="K10" s="5">
        <v>1010</v>
      </c>
      <c r="L10" s="6">
        <v>45327</v>
      </c>
      <c r="M10" s="5" t="s">
        <v>13</v>
      </c>
      <c r="N10" s="5" t="s">
        <v>14</v>
      </c>
      <c r="O10" s="5" t="s">
        <v>18</v>
      </c>
      <c r="P10" s="5" t="s">
        <v>19</v>
      </c>
      <c r="Q10" s="5">
        <v>7</v>
      </c>
      <c r="R10" s="5">
        <v>3000</v>
      </c>
      <c r="S10" s="27">
        <v>21000</v>
      </c>
    </row>
    <row r="11" spans="1:19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  <c r="K11" s="5">
        <v>1007</v>
      </c>
      <c r="L11" s="6">
        <v>45316</v>
      </c>
      <c r="M11" s="5" t="s">
        <v>16</v>
      </c>
      <c r="N11" s="5" t="s">
        <v>17</v>
      </c>
      <c r="O11" s="5" t="s">
        <v>23</v>
      </c>
      <c r="P11" s="5" t="s">
        <v>19</v>
      </c>
      <c r="Q11" s="5">
        <v>2</v>
      </c>
      <c r="R11" s="5">
        <v>10000</v>
      </c>
      <c r="S11" s="27">
        <v>20000</v>
      </c>
    </row>
    <row r="12" spans="1:19" x14ac:dyDescent="0.3">
      <c r="J12" s="14" t="s">
        <v>42</v>
      </c>
      <c r="K12" s="20">
        <f>COUNT(K2:K11)</f>
        <v>10</v>
      </c>
      <c r="P12" s="21">
        <f>COUNTIF(P2:P11,"Furniture")</f>
        <v>5</v>
      </c>
      <c r="Q12" s="16">
        <f>SUM(Q2:Q11)</f>
        <v>45</v>
      </c>
      <c r="S12" s="15">
        <f>SUM(S2:S11)</f>
        <v>577000</v>
      </c>
    </row>
    <row r="13" spans="1:19" x14ac:dyDescent="0.3">
      <c r="P13" s="22">
        <f>COUNTIF(P2:P11,"Furniture")</f>
        <v>5</v>
      </c>
    </row>
    <row r="14" spans="1:19" x14ac:dyDescent="0.3">
      <c r="B14" s="7" t="s">
        <v>24</v>
      </c>
      <c r="C14" s="7"/>
      <c r="D14" s="7"/>
      <c r="E14" s="7"/>
      <c r="F14" s="7"/>
    </row>
    <row r="15" spans="1:19" x14ac:dyDescent="0.3">
      <c r="B15" s="12" t="s">
        <v>25</v>
      </c>
      <c r="C15" s="12"/>
      <c r="D15" s="12"/>
      <c r="E15" s="12"/>
      <c r="F15" s="12"/>
    </row>
    <row r="16" spans="1:19" x14ac:dyDescent="0.3">
      <c r="B16" s="13" t="s">
        <v>26</v>
      </c>
      <c r="C16" s="13"/>
      <c r="D16" s="13"/>
      <c r="E16" s="13"/>
      <c r="F16" s="13" t="s">
        <v>48</v>
      </c>
      <c r="G16" s="13"/>
      <c r="L16" s="18" t="s">
        <v>43</v>
      </c>
      <c r="M16" s="18"/>
      <c r="N16" s="18">
        <f>AVERAGE(S2:S11)</f>
        <v>57700</v>
      </c>
    </row>
    <row r="17" spans="2:16" x14ac:dyDescent="0.3">
      <c r="B17" s="15" t="s">
        <v>27</v>
      </c>
      <c r="C17" s="15"/>
      <c r="D17" s="15"/>
      <c r="E17" s="15"/>
      <c r="F17" s="15"/>
      <c r="G17" s="15"/>
      <c r="L17" s="19" t="s">
        <v>43</v>
      </c>
      <c r="M17" s="19" t="s">
        <v>44</v>
      </c>
      <c r="N17" s="19">
        <f>AVERAGE(Q2:Q11)</f>
        <v>4.5</v>
      </c>
    </row>
    <row r="18" spans="2:16" x14ac:dyDescent="0.3">
      <c r="B18" s="16" t="s">
        <v>28</v>
      </c>
      <c r="C18" s="16"/>
      <c r="D18" s="16"/>
      <c r="E18" s="16"/>
      <c r="F18" s="16"/>
      <c r="G18" s="16"/>
    </row>
    <row r="19" spans="2:16" x14ac:dyDescent="0.3">
      <c r="B19" s="18" t="s">
        <v>29</v>
      </c>
      <c r="C19" s="18"/>
      <c r="D19" s="18"/>
      <c r="E19" s="18"/>
      <c r="F19" s="18"/>
      <c r="G19" s="18"/>
    </row>
    <row r="20" spans="2:16" x14ac:dyDescent="0.3">
      <c r="B20" s="19" t="s">
        <v>30</v>
      </c>
      <c r="C20" s="19"/>
      <c r="D20" s="19"/>
      <c r="E20" s="19"/>
      <c r="F20" s="19"/>
      <c r="G20" s="19"/>
      <c r="K20" s="4"/>
    </row>
    <row r="21" spans="2:16" x14ac:dyDescent="0.3">
      <c r="B21" s="20" t="s">
        <v>31</v>
      </c>
      <c r="C21" s="20"/>
      <c r="D21" s="20"/>
      <c r="E21" s="20"/>
      <c r="F21" s="20"/>
      <c r="G21" s="20"/>
      <c r="K21" s="4"/>
      <c r="L21" s="23" t="s">
        <v>45</v>
      </c>
      <c r="M21" s="23"/>
      <c r="N21" s="23"/>
      <c r="O21" s="23">
        <f>SUMIF(N2:N10,"Amit",S2:S11)</f>
        <v>215000</v>
      </c>
    </row>
    <row r="22" spans="2:16" x14ac:dyDescent="0.3">
      <c r="B22" s="21" t="s">
        <v>32</v>
      </c>
      <c r="C22" s="21"/>
      <c r="D22" s="21"/>
      <c r="E22" s="21"/>
      <c r="F22" s="21"/>
      <c r="G22" s="21"/>
      <c r="L22" s="24" t="s">
        <v>46</v>
      </c>
      <c r="M22" s="24"/>
      <c r="N22" s="24"/>
      <c r="O22" s="24"/>
      <c r="P22" s="24">
        <f>SUMIFS(I2:I11,F2:F11,"Electronics",M2:M11,"East")</f>
        <v>150000</v>
      </c>
    </row>
    <row r="23" spans="2:16" x14ac:dyDescent="0.3">
      <c r="B23" s="22" t="s">
        <v>33</v>
      </c>
      <c r="C23" s="22"/>
      <c r="D23" s="22"/>
      <c r="E23" s="22"/>
      <c r="F23" s="22"/>
      <c r="G23" s="22"/>
      <c r="L23" s="25" t="s">
        <v>47</v>
      </c>
      <c r="M23" s="25"/>
      <c r="N23" s="25"/>
      <c r="O23" s="25">
        <f>SUMIFS(S2:S11,N2:N11,"Priya",M2:M11,"West")</f>
        <v>171000</v>
      </c>
    </row>
    <row r="24" spans="2:16" x14ac:dyDescent="0.3">
      <c r="B24" s="23" t="s">
        <v>34</v>
      </c>
      <c r="C24" s="23"/>
      <c r="D24" s="23"/>
      <c r="E24" s="23"/>
      <c r="F24" s="23"/>
      <c r="G24" s="23"/>
    </row>
    <row r="25" spans="2:16" x14ac:dyDescent="0.3">
      <c r="B25" s="24" t="s">
        <v>35</v>
      </c>
      <c r="C25" s="24"/>
      <c r="D25" s="24"/>
      <c r="E25" s="24"/>
      <c r="F25" s="24"/>
      <c r="G25" s="24"/>
      <c r="K25" s="17"/>
      <c r="L25" s="30" t="s">
        <v>49</v>
      </c>
      <c r="M25" s="30">
        <f>COUNTIFS(P2:P11,"Electronics",Q2:Q11,"&gt;3")</f>
        <v>3</v>
      </c>
    </row>
    <row r="26" spans="2:16" x14ac:dyDescent="0.3">
      <c r="B26" s="25" t="s">
        <v>36</v>
      </c>
      <c r="C26" s="25"/>
      <c r="D26" s="25"/>
      <c r="E26" s="25"/>
      <c r="F26" s="25"/>
      <c r="G26" s="25"/>
    </row>
    <row r="27" spans="2:16" x14ac:dyDescent="0.3">
      <c r="B27" s="28" t="s">
        <v>37</v>
      </c>
      <c r="C27" s="28"/>
      <c r="D27" s="28"/>
      <c r="E27" s="28"/>
      <c r="F27" s="28"/>
      <c r="G27" s="28"/>
    </row>
    <row r="28" spans="2:16" x14ac:dyDescent="0.3">
      <c r="B28" s="29" t="s">
        <v>38</v>
      </c>
      <c r="C28" s="29"/>
      <c r="D28" s="29"/>
      <c r="E28" s="29"/>
      <c r="F28" s="29"/>
      <c r="G28" s="29"/>
    </row>
    <row r="29" spans="2:16" x14ac:dyDescent="0.3">
      <c r="B29" s="30" t="s">
        <v>39</v>
      </c>
      <c r="C29" s="30"/>
      <c r="D29" s="30"/>
      <c r="E29" s="30"/>
      <c r="F29" s="30"/>
      <c r="G29" s="30"/>
    </row>
    <row r="30" spans="2:16" x14ac:dyDescent="0.3">
      <c r="B30" s="31"/>
      <c r="C30" s="31" t="s">
        <v>40</v>
      </c>
      <c r="D30" s="30"/>
      <c r="E30" s="30"/>
      <c r="F30" s="30"/>
      <c r="G30" s="30"/>
    </row>
    <row r="31" spans="2:16" x14ac:dyDescent="0.3">
      <c r="B31" s="31"/>
      <c r="C31" s="31" t="s">
        <v>41</v>
      </c>
      <c r="D31" s="30"/>
      <c r="E31" s="30"/>
      <c r="F31" s="30"/>
      <c r="G31" s="30"/>
    </row>
    <row r="33" spans="12:20" x14ac:dyDescent="0.3">
      <c r="L33" s="9" t="s">
        <v>0</v>
      </c>
      <c r="M33" s="9" t="s">
        <v>1</v>
      </c>
      <c r="N33" s="9" t="s">
        <v>2</v>
      </c>
      <c r="O33" s="9" t="s">
        <v>3</v>
      </c>
      <c r="P33" s="9" t="s">
        <v>4</v>
      </c>
      <c r="Q33" s="10" t="s">
        <v>5</v>
      </c>
      <c r="R33" s="9" t="s">
        <v>6</v>
      </c>
      <c r="S33" s="9" t="s">
        <v>7</v>
      </c>
      <c r="T33" s="9" t="s">
        <v>8</v>
      </c>
    </row>
    <row r="34" spans="12:20" x14ac:dyDescent="0.3">
      <c r="L34" s="5">
        <v>1001</v>
      </c>
      <c r="M34" s="6">
        <v>45296</v>
      </c>
      <c r="N34" s="5" t="s">
        <v>9</v>
      </c>
      <c r="O34" s="5" t="s">
        <v>10</v>
      </c>
      <c r="P34" s="5" t="s">
        <v>11</v>
      </c>
      <c r="Q34" s="11" t="s">
        <v>12</v>
      </c>
      <c r="R34" s="5">
        <v>2</v>
      </c>
      <c r="S34" s="5">
        <v>50000</v>
      </c>
      <c r="T34" s="5">
        <v>100000</v>
      </c>
    </row>
    <row r="35" spans="12:20" x14ac:dyDescent="0.3">
      <c r="L35" s="5">
        <v>1002</v>
      </c>
      <c r="M35" s="6">
        <v>45299</v>
      </c>
      <c r="N35" s="5" t="s">
        <v>13</v>
      </c>
      <c r="O35" s="5" t="s">
        <v>14</v>
      </c>
      <c r="P35" s="5" t="s">
        <v>15</v>
      </c>
      <c r="Q35" s="11" t="s">
        <v>12</v>
      </c>
      <c r="R35" s="5">
        <v>5</v>
      </c>
      <c r="S35" s="5">
        <v>20000</v>
      </c>
      <c r="T35" s="5">
        <v>100000</v>
      </c>
    </row>
    <row r="36" spans="12:20" x14ac:dyDescent="0.3">
      <c r="L36" s="5">
        <v>1003</v>
      </c>
      <c r="M36" s="6">
        <v>45303</v>
      </c>
      <c r="N36" s="5" t="s">
        <v>16</v>
      </c>
      <c r="O36" s="5" t="s">
        <v>17</v>
      </c>
      <c r="P36" s="5" t="s">
        <v>18</v>
      </c>
      <c r="Q36" s="5" t="s">
        <v>19</v>
      </c>
      <c r="R36" s="5">
        <v>10</v>
      </c>
      <c r="S36" s="5">
        <v>3000</v>
      </c>
      <c r="T36" s="5">
        <v>30000</v>
      </c>
    </row>
    <row r="37" spans="12:20" x14ac:dyDescent="0.3">
      <c r="L37" s="5">
        <v>1004</v>
      </c>
      <c r="M37" s="6">
        <v>45306</v>
      </c>
      <c r="N37" s="5" t="s">
        <v>20</v>
      </c>
      <c r="O37" s="5" t="s">
        <v>21</v>
      </c>
      <c r="P37" s="5" t="s">
        <v>22</v>
      </c>
      <c r="Q37" s="5" t="s">
        <v>19</v>
      </c>
      <c r="R37" s="5">
        <v>3</v>
      </c>
      <c r="S37" s="5">
        <v>7000</v>
      </c>
      <c r="T37" s="5">
        <v>21000</v>
      </c>
    </row>
    <row r="38" spans="12:20" x14ac:dyDescent="0.3">
      <c r="L38" s="5">
        <v>1005</v>
      </c>
      <c r="M38" s="6">
        <v>45309</v>
      </c>
      <c r="N38" s="5" t="s">
        <v>9</v>
      </c>
      <c r="O38" s="5" t="s">
        <v>10</v>
      </c>
      <c r="P38" s="5" t="s">
        <v>15</v>
      </c>
      <c r="Q38" s="11" t="s">
        <v>12</v>
      </c>
      <c r="R38" s="5">
        <v>4</v>
      </c>
      <c r="S38" s="5">
        <v>20000</v>
      </c>
      <c r="T38" s="5">
        <v>80000</v>
      </c>
    </row>
    <row r="39" spans="12:20" x14ac:dyDescent="0.3">
      <c r="L39" s="5">
        <v>1006</v>
      </c>
      <c r="M39" s="6">
        <v>45311</v>
      </c>
      <c r="N39" s="5" t="s">
        <v>13</v>
      </c>
      <c r="O39" s="5" t="s">
        <v>14</v>
      </c>
      <c r="P39" s="5" t="s">
        <v>11</v>
      </c>
      <c r="Q39" s="11" t="s">
        <v>12</v>
      </c>
      <c r="R39" s="5">
        <v>1</v>
      </c>
      <c r="S39" s="5">
        <v>50000</v>
      </c>
      <c r="T39" s="5">
        <v>50000</v>
      </c>
    </row>
    <row r="40" spans="12:20" x14ac:dyDescent="0.3">
      <c r="L40" s="5">
        <v>1007</v>
      </c>
      <c r="M40" s="6">
        <v>45316</v>
      </c>
      <c r="N40" s="5" t="s">
        <v>16</v>
      </c>
      <c r="O40" s="5" t="s">
        <v>17</v>
      </c>
      <c r="P40" s="5" t="s">
        <v>23</v>
      </c>
      <c r="Q40" s="5" t="s">
        <v>19</v>
      </c>
      <c r="R40" s="5">
        <v>2</v>
      </c>
      <c r="S40" s="5">
        <v>10000</v>
      </c>
      <c r="T40" s="5">
        <v>20000</v>
      </c>
    </row>
    <row r="41" spans="12:20" x14ac:dyDescent="0.3">
      <c r="L41" s="5">
        <v>1008</v>
      </c>
      <c r="M41" s="6">
        <v>45319</v>
      </c>
      <c r="N41" s="5" t="s">
        <v>20</v>
      </c>
      <c r="O41" s="5" t="s">
        <v>21</v>
      </c>
      <c r="P41" s="5" t="s">
        <v>15</v>
      </c>
      <c r="Q41" s="11" t="s">
        <v>12</v>
      </c>
      <c r="R41" s="5">
        <v>6</v>
      </c>
      <c r="S41" s="5">
        <v>20000</v>
      </c>
      <c r="T41" s="5">
        <v>120000</v>
      </c>
    </row>
    <row r="42" spans="12:20" x14ac:dyDescent="0.3">
      <c r="L42" s="5">
        <v>1009</v>
      </c>
      <c r="M42" s="6">
        <v>45324</v>
      </c>
      <c r="N42" s="5" t="s">
        <v>9</v>
      </c>
      <c r="O42" s="5" t="s">
        <v>10</v>
      </c>
      <c r="P42" s="5" t="s">
        <v>22</v>
      </c>
      <c r="Q42" s="5" t="s">
        <v>19</v>
      </c>
      <c r="R42" s="5">
        <v>5</v>
      </c>
      <c r="S42" s="5">
        <v>7000</v>
      </c>
      <c r="T42" s="5">
        <v>35000</v>
      </c>
    </row>
    <row r="43" spans="12:20" x14ac:dyDescent="0.3">
      <c r="L43" s="5">
        <v>1010</v>
      </c>
      <c r="M43" s="6">
        <v>45327</v>
      </c>
      <c r="N43" s="5" t="s">
        <v>13</v>
      </c>
      <c r="O43" s="5" t="s">
        <v>14</v>
      </c>
      <c r="P43" s="5" t="s">
        <v>18</v>
      </c>
      <c r="Q43" s="5" t="s">
        <v>19</v>
      </c>
      <c r="R43" s="5">
        <v>7</v>
      </c>
      <c r="S43" s="5">
        <v>3000</v>
      </c>
      <c r="T43" s="5">
        <v>21000</v>
      </c>
    </row>
  </sheetData>
  <sortState xmlns:xlrd2="http://schemas.microsoft.com/office/spreadsheetml/2017/richdata2" ref="L47:T56">
    <sortCondition sortBy="cellColor" ref="O47:O56" dxfId="3"/>
  </sortState>
  <conditionalFormatting sqref="S2:S11">
    <cfRule type="cellIs" dxfId="2" priority="2" operator="greaterThan">
      <formula>100000</formula>
    </cfRule>
  </conditionalFormatting>
  <conditionalFormatting sqref="Q2:Q11">
    <cfRule type="cellIs" dxfId="0" priority="1" operator="lessThan">
      <formula>3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F776-2FE6-434E-89F1-7834E77872AD}">
  <sheetPr filterMode="1"/>
  <dimension ref="A1:I11"/>
  <sheetViews>
    <sheetView workbookViewId="0">
      <selection activeCell="F23" sqref="F23"/>
    </sheetView>
  </sheetViews>
  <sheetFormatPr defaultRowHeight="14.4" x14ac:dyDescent="0.3"/>
  <cols>
    <col min="1" max="1" width="8.5546875" bestFit="1" customWidth="1"/>
    <col min="2" max="2" width="10.33203125" bestFit="1" customWidth="1"/>
    <col min="4" max="4" width="13.5546875" customWidth="1"/>
    <col min="8" max="8" width="12" customWidth="1"/>
    <col min="9" max="9" width="13.777343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1001</v>
      </c>
      <c r="B2" s="3">
        <v>45296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2</v>
      </c>
      <c r="H2" s="2">
        <v>50000</v>
      </c>
      <c r="I2" s="2">
        <v>100000</v>
      </c>
    </row>
    <row r="3" spans="1:9" ht="28.8" hidden="1" x14ac:dyDescent="0.3">
      <c r="A3" s="2">
        <v>1002</v>
      </c>
      <c r="B3" s="3">
        <v>45299</v>
      </c>
      <c r="C3" s="2" t="s">
        <v>13</v>
      </c>
      <c r="D3" s="2" t="s">
        <v>14</v>
      </c>
      <c r="E3" s="2" t="s">
        <v>15</v>
      </c>
      <c r="F3" s="2" t="s">
        <v>12</v>
      </c>
      <c r="G3" s="2">
        <v>5</v>
      </c>
      <c r="H3" s="2">
        <v>20000</v>
      </c>
      <c r="I3" s="2">
        <v>100000</v>
      </c>
    </row>
    <row r="4" spans="1:9" hidden="1" x14ac:dyDescent="0.3">
      <c r="A4" s="2">
        <v>1003</v>
      </c>
      <c r="B4" s="3">
        <v>45303</v>
      </c>
      <c r="C4" s="2" t="s">
        <v>16</v>
      </c>
      <c r="D4" s="2" t="s">
        <v>17</v>
      </c>
      <c r="E4" s="2" t="s">
        <v>18</v>
      </c>
      <c r="F4" s="2" t="s">
        <v>19</v>
      </c>
      <c r="G4" s="2">
        <v>10</v>
      </c>
      <c r="H4" s="2">
        <v>3000</v>
      </c>
      <c r="I4" s="2">
        <v>30000</v>
      </c>
    </row>
    <row r="5" spans="1:9" hidden="1" x14ac:dyDescent="0.3">
      <c r="A5" s="2">
        <v>1004</v>
      </c>
      <c r="B5" s="3">
        <v>45306</v>
      </c>
      <c r="C5" s="2" t="s">
        <v>20</v>
      </c>
      <c r="D5" s="2" t="s">
        <v>21</v>
      </c>
      <c r="E5" s="2" t="s">
        <v>22</v>
      </c>
      <c r="F5" s="2" t="s">
        <v>19</v>
      </c>
      <c r="G5" s="2">
        <v>3</v>
      </c>
      <c r="H5" s="2">
        <v>7000</v>
      </c>
      <c r="I5" s="2">
        <v>21000</v>
      </c>
    </row>
    <row r="6" spans="1:9" ht="28.8" x14ac:dyDescent="0.3">
      <c r="A6" s="2">
        <v>1005</v>
      </c>
      <c r="B6" s="3">
        <v>45309</v>
      </c>
      <c r="C6" s="2" t="s">
        <v>9</v>
      </c>
      <c r="D6" s="2" t="s">
        <v>10</v>
      </c>
      <c r="E6" s="2" t="s">
        <v>15</v>
      </c>
      <c r="F6" s="2" t="s">
        <v>12</v>
      </c>
      <c r="G6" s="2">
        <v>4</v>
      </c>
      <c r="H6" s="2">
        <v>20000</v>
      </c>
      <c r="I6" s="2">
        <v>80000</v>
      </c>
    </row>
    <row r="7" spans="1:9" ht="28.8" hidden="1" x14ac:dyDescent="0.3">
      <c r="A7" s="2">
        <v>1006</v>
      </c>
      <c r="B7" s="3">
        <v>45311</v>
      </c>
      <c r="C7" s="2" t="s">
        <v>13</v>
      </c>
      <c r="D7" s="2" t="s">
        <v>14</v>
      </c>
      <c r="E7" s="2" t="s">
        <v>11</v>
      </c>
      <c r="F7" s="2" t="s">
        <v>12</v>
      </c>
      <c r="G7" s="2">
        <v>1</v>
      </c>
      <c r="H7" s="2">
        <v>50000</v>
      </c>
      <c r="I7" s="2">
        <v>50000</v>
      </c>
    </row>
    <row r="8" spans="1:9" hidden="1" x14ac:dyDescent="0.3">
      <c r="A8" s="2">
        <v>1007</v>
      </c>
      <c r="B8" s="3">
        <v>45316</v>
      </c>
      <c r="C8" s="2" t="s">
        <v>16</v>
      </c>
      <c r="D8" s="2" t="s">
        <v>17</v>
      </c>
      <c r="E8" s="2" t="s">
        <v>23</v>
      </c>
      <c r="F8" s="2" t="s">
        <v>19</v>
      </c>
      <c r="G8" s="2">
        <v>2</v>
      </c>
      <c r="H8" s="2">
        <v>10000</v>
      </c>
      <c r="I8" s="2">
        <v>20000</v>
      </c>
    </row>
    <row r="9" spans="1:9" ht="28.8" hidden="1" x14ac:dyDescent="0.3">
      <c r="A9" s="2">
        <v>1008</v>
      </c>
      <c r="B9" s="3">
        <v>45319</v>
      </c>
      <c r="C9" s="2" t="s">
        <v>20</v>
      </c>
      <c r="D9" s="2" t="s">
        <v>21</v>
      </c>
      <c r="E9" s="2" t="s">
        <v>15</v>
      </c>
      <c r="F9" s="2" t="s">
        <v>12</v>
      </c>
      <c r="G9" s="2">
        <v>6</v>
      </c>
      <c r="H9" s="2">
        <v>20000</v>
      </c>
      <c r="I9" s="2">
        <v>120000</v>
      </c>
    </row>
    <row r="10" spans="1:9" x14ac:dyDescent="0.3">
      <c r="A10" s="2">
        <v>1009</v>
      </c>
      <c r="B10" s="3">
        <v>45324</v>
      </c>
      <c r="C10" s="2" t="s">
        <v>9</v>
      </c>
      <c r="D10" s="2" t="s">
        <v>10</v>
      </c>
      <c r="E10" s="2" t="s">
        <v>22</v>
      </c>
      <c r="F10" s="2" t="s">
        <v>19</v>
      </c>
      <c r="G10" s="2">
        <v>5</v>
      </c>
      <c r="H10" s="2">
        <v>7000</v>
      </c>
      <c r="I10" s="2">
        <v>35000</v>
      </c>
    </row>
    <row r="11" spans="1:9" hidden="1" x14ac:dyDescent="0.3">
      <c r="A11" s="2">
        <v>1010</v>
      </c>
      <c r="B11" s="3">
        <v>45327</v>
      </c>
      <c r="C11" s="2" t="s">
        <v>13</v>
      </c>
      <c r="D11" s="2" t="s">
        <v>14</v>
      </c>
      <c r="E11" s="2" t="s">
        <v>18</v>
      </c>
      <c r="F11" s="2" t="s">
        <v>19</v>
      </c>
      <c r="G11" s="2">
        <v>7</v>
      </c>
      <c r="H11" s="2">
        <v>3000</v>
      </c>
      <c r="I11" s="2">
        <v>21000</v>
      </c>
    </row>
  </sheetData>
  <autoFilter ref="A1:I11" xr:uid="{B1EBF776-2FE6-434E-89F1-7834E77872AD}">
    <filterColumn colId="2">
      <filters>
        <filter val="Ea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AYAN THE DON</cp:lastModifiedBy>
  <dcterms:created xsi:type="dcterms:W3CDTF">2026-03-04T02:35:16Z</dcterms:created>
  <dcterms:modified xsi:type="dcterms:W3CDTF">2026-03-04T19:07:42Z</dcterms:modified>
</cp:coreProperties>
</file>